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4277DA-F36D-4D2B-A5DA-CF0C78E8389D}" xr6:coauthVersionLast="47" xr6:coauthVersionMax="47" xr10:uidLastSave="{00000000-0000-0000-0000-000000000000}"/>
  <bookViews>
    <workbookView xWindow="-120" yWindow="-120" windowWidth="23640" windowHeight="15720" activeTab="4" xr2:uid="{00000000-000D-0000-FFFF-FFFF00000000}"/>
  </bookViews>
  <sheets>
    <sheet name="Pipeline_Activity_Data" sheetId="1" r:id="rId1"/>
    <sheet name="Summary_Check" sheetId="2" r:id="rId2"/>
    <sheet name="Data_Dictionary" sheetId="3" r:id="rId3"/>
    <sheet name="Testing_Guide" sheetId="4" r:id="rId4"/>
    <sheet name="Expected_Patter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2" l="1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B10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<sst xmlns="http://schemas.openxmlformats.org/spreadsheetml/2006/main" count="55673" uniqueCount="3187">
  <si>
    <t>Case ID</t>
  </si>
  <si>
    <t>Tanggal</t>
  </si>
  <si>
    <t>Periode</t>
  </si>
  <si>
    <t>Minggu</t>
  </si>
  <si>
    <t>Region</t>
  </si>
  <si>
    <t>Area</t>
  </si>
  <si>
    <t>Cabang</t>
  </si>
  <si>
    <t>Supervisor</t>
  </si>
  <si>
    <t>Sales</t>
  </si>
  <si>
    <t>NIP Sales</t>
  </si>
  <si>
    <t>Produk</t>
  </si>
  <si>
    <t>Sumber Pipeline</t>
  </si>
  <si>
    <t>Segment Nasabah</t>
  </si>
  <si>
    <t>Stage Pipeline</t>
  </si>
  <si>
    <t>Stage Score</t>
  </si>
  <si>
    <t>Activity</t>
  </si>
  <si>
    <t>Jenis Activity</t>
  </si>
  <si>
    <t>Tanggal Follow Up Terakhir</t>
  </si>
  <si>
    <t>Aging Pipeline</t>
  </si>
  <si>
    <t>Plafond</t>
  </si>
  <si>
    <t>Status Cair</t>
  </si>
  <si>
    <t>Status Dokumen</t>
  </si>
  <si>
    <t>Kendala</t>
  </si>
  <si>
    <t>Alasan Batal Reject</t>
  </si>
  <si>
    <t>Next Action</t>
  </si>
  <si>
    <t>Keterangan</t>
  </si>
  <si>
    <t>Quality Tag</t>
  </si>
  <si>
    <t>Risiko</t>
  </si>
  <si>
    <t>Expected Insight Label</t>
  </si>
  <si>
    <t>CASE-00001</t>
  </si>
  <si>
    <t>2026-06</t>
  </si>
  <si>
    <t>W5</t>
  </si>
  <si>
    <t>RO JAKARTA 1</t>
  </si>
  <si>
    <t>JAKARTA UTARA</t>
  </si>
  <si>
    <t>KCP KELAPA GADING</t>
  </si>
  <si>
    <t>SPV Kartika Nugroho</t>
  </si>
  <si>
    <t>Taufik Pertiwi</t>
  </si>
  <si>
    <t>Pensiun Berkah</t>
  </si>
  <si>
    <t>Event Sosialisasi</t>
  </si>
  <si>
    <t>Pensiunan</t>
  </si>
  <si>
    <t>Dingin</t>
  </si>
  <si>
    <t>Kunjungan</t>
  </si>
  <si>
    <t>Belum Cair</t>
  </si>
  <si>
    <t>Belum Ada</t>
  </si>
  <si>
    <t>Perlu edukasi manfaat</t>
  </si>
  <si>
    <t>Follow-up berkala</t>
  </si>
  <si>
    <t>Pipeline awal dominan</t>
  </si>
  <si>
    <t>Pipeline awal + activity rendah</t>
  </si>
  <si>
    <t>CASE-00002</t>
  </si>
  <si>
    <t>W4</t>
  </si>
  <si>
    <t>RO BANDUNG</t>
  </si>
  <si>
    <t>GARUT</t>
  </si>
  <si>
    <t>KC CIMAHI</t>
  </si>
  <si>
    <t>SPV Dimas Wijaya</t>
  </si>
  <si>
    <t>Fajar Utami</t>
  </si>
  <si>
    <t>Telemarketing</t>
  </si>
  <si>
    <t>Pra Pensiun</t>
  </si>
  <si>
    <t>Hangat</t>
  </si>
  <si>
    <t>Koordinasi Cabang</t>
  </si>
  <si>
    <t>Sebagian</t>
  </si>
  <si>
    <t>Menunggu keputusan keluarga</t>
  </si>
  <si>
    <t>Follow-up komitmen</t>
  </si>
  <si>
    <t>Konversi cukup baik</t>
  </si>
  <si>
    <t>Butuh penguatan follow-up</t>
  </si>
  <si>
    <t>CASE-00003</t>
  </si>
  <si>
    <t>KC BANDUNG</t>
  </si>
  <si>
    <t>SPV Hani Kusuma</t>
  </si>
  <si>
    <t>Bella Nugroho</t>
  </si>
  <si>
    <t>Nasabah Eksisting</t>
  </si>
  <si>
    <t>Reminder Pemberkasan</t>
  </si>
  <si>
    <t>Lengkap</t>
  </si>
  <si>
    <t>Perlu simulasi angsuran</t>
  </si>
  <si>
    <t>Handling objection</t>
  </si>
  <si>
    <t>CASE-00004</t>
  </si>
  <si>
    <t>W3</t>
  </si>
  <si>
    <t>RO SEMARANG</t>
  </si>
  <si>
    <t>SEMARANG KOTA</t>
  </si>
  <si>
    <t>KC SOLO</t>
  </si>
  <si>
    <t>SPV Nabila Anggraini</t>
  </si>
  <si>
    <t>Nabila Saputra</t>
  </si>
  <si>
    <t>Database Internal</t>
  </si>
  <si>
    <t>BUMN</t>
  </si>
  <si>
    <t>Tidak Bertemu</t>
  </si>
  <si>
    <t>Follow-up WA</t>
  </si>
  <si>
    <t>Nasabah belum dapat dihubungi</t>
  </si>
  <si>
    <t>Cek database alternatif</t>
  </si>
  <si>
    <t>Pipeline menengah berkembang</t>
  </si>
  <si>
    <t>Perlu monitoring</t>
  </si>
  <si>
    <t>CASE-00005</t>
  </si>
  <si>
    <t>BANDUNG KOTA</t>
  </si>
  <si>
    <t>SPV Eka Saputra</t>
  </si>
  <si>
    <t>Lukman Santoso</t>
  </si>
  <si>
    <t>Pensiun Reguler</t>
  </si>
  <si>
    <t>Swasta</t>
  </si>
  <si>
    <t>Panas</t>
  </si>
  <si>
    <t>Menunggu jadwal collect dokumen</t>
  </si>
  <si>
    <t>Konfirmasi komitmen</t>
  </si>
  <si>
    <t>Bottleneck tahap akhir</t>
  </si>
  <si>
    <t>CASE-00006</t>
  </si>
  <si>
    <t>W2</t>
  </si>
  <si>
    <t>RO SURABAYA 1</t>
  </si>
  <si>
    <t>SURABAYA KOTA</t>
  </si>
  <si>
    <t>KC GRESIK</t>
  </si>
  <si>
    <t>SPV Lukman Lestari</t>
  </si>
  <si>
    <t>Yoga Pertiwi</t>
  </si>
  <si>
    <t>Mitraguna</t>
  </si>
  <si>
    <t>ASN</t>
  </si>
  <si>
    <t>Validasi Data</t>
  </si>
  <si>
    <t>Eskalasi jika tertahan</t>
  </si>
  <si>
    <t>High performer</t>
  </si>
  <si>
    <t>CASE-00007</t>
  </si>
  <si>
    <t>RO MAKASSAR</t>
  </si>
  <si>
    <t>MAROS</t>
  </si>
  <si>
    <t>KCP PANAKKUKANG</t>
  </si>
  <si>
    <t>SPV Dewi Aulia</t>
  </si>
  <si>
    <t>Dimas Santoso</t>
  </si>
  <si>
    <t>Top Up Pensiun</t>
  </si>
  <si>
    <t>Menunggu kelengkapan dokumen</t>
  </si>
  <si>
    <t>Pipeline matang stabil</t>
  </si>
  <si>
    <t>CASE-00008</t>
  </si>
  <si>
    <t>RO ACEH</t>
  </si>
  <si>
    <t>BANDA ACEH</t>
  </si>
  <si>
    <t>KC BANDA ACEH</t>
  </si>
  <si>
    <t>SPV Jihan Fauzi</t>
  </si>
  <si>
    <t>Rizal Pratama</t>
  </si>
  <si>
    <t>CASE-00009</t>
  </si>
  <si>
    <t>KC MAKASSAR</t>
  </si>
  <si>
    <t>SPV Citra Hidayat</t>
  </si>
  <si>
    <t>Putri Rahman</t>
  </si>
  <si>
    <t>Payroll</t>
  </si>
  <si>
    <t>Pemberkasan</t>
  </si>
  <si>
    <t>Menunggu proses administrasi</t>
  </si>
  <si>
    <t>Lengkapi berkas</t>
  </si>
  <si>
    <t>CASE-00010</t>
  </si>
  <si>
    <t>W1</t>
  </si>
  <si>
    <t>KCP SAKTI</t>
  </si>
  <si>
    <t>SPV Hendra Pratama</t>
  </si>
  <si>
    <t>Gita Ananda</t>
  </si>
  <si>
    <t>Collect Dokumen</t>
  </si>
  <si>
    <t>CASE-00011</t>
  </si>
  <si>
    <t>SIDOARJO</t>
  </si>
  <si>
    <t>Jihan Permata</t>
  </si>
  <si>
    <t>Follow-up Telepon</t>
  </si>
  <si>
    <t>Perlu Revisi</t>
  </si>
  <si>
    <t>Dokumen pendukung belum lengkap</t>
  </si>
  <si>
    <t>CASE-00012</t>
  </si>
  <si>
    <t>GRESIK</t>
  </si>
  <si>
    <t>KCP WARU</t>
  </si>
  <si>
    <t>SPV Taufik Rahman</t>
  </si>
  <si>
    <t>Vina Lestari</t>
  </si>
  <si>
    <t>Sapa Kebun</t>
  </si>
  <si>
    <t>CASE-00013</t>
  </si>
  <si>
    <t>RO JAKARTA 2</t>
  </si>
  <si>
    <t>JAKARTA TIMUR</t>
  </si>
  <si>
    <t>KC BEKASI</t>
  </si>
  <si>
    <t>SPV Kurnia Pratama</t>
  </si>
  <si>
    <t>Sinta Maulana</t>
  </si>
  <si>
    <t>Butuh follow-up lanjutan</t>
  </si>
  <si>
    <t>Tetapkan next step</t>
  </si>
  <si>
    <t>Activity tinggi namun hasil rendah</t>
  </si>
  <si>
    <t>CASE-00014</t>
  </si>
  <si>
    <t>KUDUS</t>
  </si>
  <si>
    <t>KCP UNGARAN</t>
  </si>
  <si>
    <t>Zaki Pratama</t>
  </si>
  <si>
    <t>Non Payroll</t>
  </si>
  <si>
    <t>Simulasi angsuran</t>
  </si>
  <si>
    <t>CASE-00015</t>
  </si>
  <si>
    <t>ACEH TIMUR</t>
  </si>
  <si>
    <t>Dimas Saputra</t>
  </si>
  <si>
    <t>Walk-in</t>
  </si>
  <si>
    <t>Menunggu komitmen nasabah</t>
  </si>
  <si>
    <t>CASE-00016</t>
  </si>
  <si>
    <t>RO MEDAN</t>
  </si>
  <si>
    <t>DELI SERDANG</t>
  </si>
  <si>
    <t>KCP MARELAN</t>
  </si>
  <si>
    <t>SPV Ulfa Saputra</t>
  </si>
  <si>
    <t>Ulfa Lestari</t>
  </si>
  <si>
    <t>Tidak Cair</t>
  </si>
  <si>
    <t>Minat masih rendah</t>
  </si>
  <si>
    <t>BI Checking</t>
  </si>
  <si>
    <t>Segmentasi ulang prospek</t>
  </si>
  <si>
    <t>Kinerja seimbang</t>
  </si>
  <si>
    <t>CASE-00017</t>
  </si>
  <si>
    <t>SOLO</t>
  </si>
  <si>
    <t>KC SEMARANG</t>
  </si>
  <si>
    <t>SPV Sinta Aulia</t>
  </si>
  <si>
    <t>Naufal Pertiwi</t>
  </si>
  <si>
    <t>Referal Cabang</t>
  </si>
  <si>
    <t>Perlu validasi plafond</t>
  </si>
  <si>
    <t>CASE-00018</t>
  </si>
  <si>
    <t>GOWA</t>
  </si>
  <si>
    <t>SPV Lina Maulana</t>
  </si>
  <si>
    <t>Galih Syahputra</t>
  </si>
  <si>
    <t>Activity tinggi belum cair</t>
  </si>
  <si>
    <t>CASE-00019</t>
  </si>
  <si>
    <t>BINJAI</t>
  </si>
  <si>
    <t>Cair</t>
  </si>
  <si>
    <t>Dokumen selesai</t>
  </si>
  <si>
    <t>Dokumentasi realisasi</t>
  </si>
  <si>
    <t>Terkonversi</t>
  </si>
  <si>
    <t>CASE-00020</t>
  </si>
  <si>
    <t>SPV Ulfa Permata</t>
  </si>
  <si>
    <t>Ulfa Aulia</t>
  </si>
  <si>
    <t>Nasabah masih mempertimbangkan</t>
  </si>
  <si>
    <t>CASE-00021</t>
  </si>
  <si>
    <t>JAKARTA SELATAN</t>
  </si>
  <si>
    <t>KC JAKARTA FATMAWATI</t>
  </si>
  <si>
    <t>SPV Yuni Nugroho</t>
  </si>
  <si>
    <t>Vina Pratama</t>
  </si>
  <si>
    <t>Realisasi selesai</t>
  </si>
  <si>
    <t>Maintenance nasabah</t>
  </si>
  <si>
    <t>CASE-00022</t>
  </si>
  <si>
    <t>KCP MANYAR</t>
  </si>
  <si>
    <t>Perjanjian</t>
  </si>
  <si>
    <t>Menunggu Pencairan</t>
  </si>
  <si>
    <t>Administrasi akhir belum selesai</t>
  </si>
  <si>
    <t>Cek administrasi akhir</t>
  </si>
  <si>
    <t>CASE-00023</t>
  </si>
  <si>
    <t>KCP GROGOL</t>
  </si>
  <si>
    <t>Sinta Lestari</t>
  </si>
  <si>
    <t>CASE-00024</t>
  </si>
  <si>
    <t>BEKASI</t>
  </si>
  <si>
    <t>Oscar Pratama</t>
  </si>
  <si>
    <t>CASE-00025</t>
  </si>
  <si>
    <t>KCP BANDAR BARU</t>
  </si>
  <si>
    <t>Vina Permata</t>
  </si>
  <si>
    <t>CASE-00026</t>
  </si>
  <si>
    <t>KC LHOKSEUMAWE</t>
  </si>
  <si>
    <t>Validasi dokumen</t>
  </si>
  <si>
    <t>CASE-00027</t>
  </si>
  <si>
    <t>KC KUDUS</t>
  </si>
  <si>
    <t>Dewi Wijaya</t>
  </si>
  <si>
    <t>Terealisasi</t>
  </si>
  <si>
    <t>CASE-00028</t>
  </si>
  <si>
    <t>KCP DAGO</t>
  </si>
  <si>
    <t>Farah Ananda</t>
  </si>
  <si>
    <t>CASE-00029</t>
  </si>
  <si>
    <t>KC SIDOARJO</t>
  </si>
  <si>
    <t>Andi Nugroho</t>
  </si>
  <si>
    <t>Belum ada urgensi</t>
  </si>
  <si>
    <t>CASE-00030</t>
  </si>
  <si>
    <t>SPV Fajar Ananda</t>
  </si>
  <si>
    <t>Zaki Permata</t>
  </si>
  <si>
    <t>Proses selesai</t>
  </si>
  <si>
    <t>Update laporan hasil</t>
  </si>
  <si>
    <t>CASE-00031</t>
  </si>
  <si>
    <t>ACEH BARAT</t>
  </si>
  <si>
    <t>Fajar Mahendra</t>
  </si>
  <si>
    <t>Menunggu jadwal pencairan</t>
  </si>
  <si>
    <t>Pastikan tanda tangan</t>
  </si>
  <si>
    <t>CASE-00032</t>
  </si>
  <si>
    <t>KCP SUNGGUMINASA</t>
  </si>
  <si>
    <t>Berkas perlu revisi</t>
  </si>
  <si>
    <t>Menunggu jadwal proses</t>
  </si>
  <si>
    <t>Koordinasi cabang</t>
  </si>
  <si>
    <t>CASE-00033</t>
  </si>
  <si>
    <t>JAKARTA PUSAT</t>
  </si>
  <si>
    <t>KC JAKARTA THAMRIN</t>
  </si>
  <si>
    <t>SPV Joko Wijaya</t>
  </si>
  <si>
    <t>Zaki Fauzi</t>
  </si>
  <si>
    <t>Batal Cair</t>
  </si>
  <si>
    <t>Nasabah berubah keputusan</t>
  </si>
  <si>
    <t>Monitor status pengajuan</t>
  </si>
  <si>
    <t>CASE-00034</t>
  </si>
  <si>
    <t>MAKASSAR KOTA</t>
  </si>
  <si>
    <t>KC GOWA</t>
  </si>
  <si>
    <t>Vina Santoso</t>
  </si>
  <si>
    <t>Dokumen awal belum lengkap</t>
  </si>
  <si>
    <t>Collect dokumen</t>
  </si>
  <si>
    <t>CASE-00035</t>
  </si>
  <si>
    <t>KCP SOREANG</t>
  </si>
  <si>
    <t>Rizal Nugroho</t>
  </si>
  <si>
    <t>CASE-00036</t>
  </si>
  <si>
    <t>JAKARTA BARAT</t>
  </si>
  <si>
    <t>CASE-00037</t>
  </si>
  <si>
    <t>Rizal Utami</t>
  </si>
  <si>
    <t>CASE-00038</t>
  </si>
  <si>
    <t>MEDAN KOTA</t>
  </si>
  <si>
    <t>KC MEDAN</t>
  </si>
  <si>
    <t>CASE-00039</t>
  </si>
  <si>
    <t>Maya Rahman</t>
  </si>
  <si>
    <t>Edukasi manfaat produk</t>
  </si>
  <si>
    <t>CASE-00040</t>
  </si>
  <si>
    <t>SPV Eka Ananda</t>
  </si>
  <si>
    <t>Kurnia Fauzi</t>
  </si>
  <si>
    <t>CASE-00041</t>
  </si>
  <si>
    <t>KCP PASAR MINGGU</t>
  </si>
  <si>
    <t>Hani Ananda</t>
  </si>
  <si>
    <t>CASE-00042</t>
  </si>
  <si>
    <t>KC LUBUK PAKAM</t>
  </si>
  <si>
    <t>Alamat perlu validasi</t>
  </si>
  <si>
    <t>Atur jadwal kunjungan</t>
  </si>
  <si>
    <t>CASE-00043</t>
  </si>
  <si>
    <t>CASE-00044</t>
  </si>
  <si>
    <t>KCP RAWAMANGUN</t>
  </si>
  <si>
    <t>Taufik Anggraini</t>
  </si>
  <si>
    <t>CASE-00045</t>
  </si>
  <si>
    <t>Qori Ananda</t>
  </si>
  <si>
    <t>Nasabah masih membandingkan opsi</t>
  </si>
  <si>
    <t>CASE-00046</t>
  </si>
  <si>
    <t>SPV Joko Lestari</t>
  </si>
  <si>
    <t>Galih Ananda</t>
  </si>
  <si>
    <t>CASE-00047</t>
  </si>
  <si>
    <t>SPV Putri Ananda</t>
  </si>
  <si>
    <t>Ilham Aulia</t>
  </si>
  <si>
    <t>Validasi kontak</t>
  </si>
  <si>
    <t>CASE-00048</t>
  </si>
  <si>
    <t>Gita Saputra</t>
  </si>
  <si>
    <t>Kendala administrasi</t>
  </si>
  <si>
    <t>Gali kebutuhan nasabah</t>
  </si>
  <si>
    <t>CASE-00049</t>
  </si>
  <si>
    <t>Bella Pratama</t>
  </si>
  <si>
    <t>CASE-00050</t>
  </si>
  <si>
    <t>KC SURABAYA</t>
  </si>
  <si>
    <t>CASE-00051</t>
  </si>
  <si>
    <t>Qori Pertiwi</t>
  </si>
  <si>
    <t>CASE-00052</t>
  </si>
  <si>
    <t>SPV Galih Syahputra</t>
  </si>
  <si>
    <t>Wahyu Lestari</t>
  </si>
  <si>
    <t>CASE-00053</t>
  </si>
  <si>
    <t>Jihan Wijaya</t>
  </si>
  <si>
    <t>CASE-00054</t>
  </si>
  <si>
    <t>CASE-00055</t>
  </si>
  <si>
    <t>Jihan Rahman</t>
  </si>
  <si>
    <t>CASE-00056</t>
  </si>
  <si>
    <t>CASE-00057</t>
  </si>
  <si>
    <t>Intan Pertiwi</t>
  </si>
  <si>
    <t>CASE-00058</t>
  </si>
  <si>
    <t>KCP CIBUBUR</t>
  </si>
  <si>
    <t>CASE-00059</t>
  </si>
  <si>
    <t>Follow-up ulang H+1</t>
  </si>
  <si>
    <t>CASE-00060</t>
  </si>
  <si>
    <t>CASE-00061</t>
  </si>
  <si>
    <t>Galih Santoso</t>
  </si>
  <si>
    <t>Eskalasi revisi dokumen</t>
  </si>
  <si>
    <t>CASE-00062</t>
  </si>
  <si>
    <t>Farah Mahendra</t>
  </si>
  <si>
    <t>CASE-00063</t>
  </si>
  <si>
    <t>KCP STABAT</t>
  </si>
  <si>
    <t>CASE-00064</t>
  </si>
  <si>
    <t>CASE-00065</t>
  </si>
  <si>
    <t>Farah Santoso</t>
  </si>
  <si>
    <t>CASE-00066</t>
  </si>
  <si>
    <t>KC GARUT</t>
  </si>
  <si>
    <t>Putri Lestari</t>
  </si>
  <si>
    <t>CASE-00067</t>
  </si>
  <si>
    <t>Gita Kusuma</t>
  </si>
  <si>
    <t>CASE-00068</t>
  </si>
  <si>
    <t>KC MAROS</t>
  </si>
  <si>
    <t>Joko Utami</t>
  </si>
  <si>
    <t>CASE-00069</t>
  </si>
  <si>
    <t>CIMAHI</t>
  </si>
  <si>
    <t>Putri Permata</t>
  </si>
  <si>
    <t>CASE-00070</t>
  </si>
  <si>
    <t>Sinta Saputra</t>
  </si>
  <si>
    <t>Koordinasi cabang belum selesai</t>
  </si>
  <si>
    <t>CASE-00071</t>
  </si>
  <si>
    <t>CASE-00072</t>
  </si>
  <si>
    <t>Qori Santoso</t>
  </si>
  <si>
    <t>Nomor kontak tidak aktif</t>
  </si>
  <si>
    <t>CASE-00073</t>
  </si>
  <si>
    <t>KC JAKARTA KOTA</t>
  </si>
  <si>
    <t>CASE-00074</t>
  </si>
  <si>
    <t>CASE-00075</t>
  </si>
  <si>
    <t>CASE-00076</t>
  </si>
  <si>
    <t>Hendra Utami</t>
  </si>
  <si>
    <t>CASE-00077</t>
  </si>
  <si>
    <t>CASE-00078</t>
  </si>
  <si>
    <t>Putri Aulia</t>
  </si>
  <si>
    <t>Cari pipeline baru</t>
  </si>
  <si>
    <t>CASE-00079</t>
  </si>
  <si>
    <t>Gita Aulia</t>
  </si>
  <si>
    <t>CASE-00080</t>
  </si>
  <si>
    <t>Lukman Pratama</t>
  </si>
  <si>
    <t>CASE-00081</t>
  </si>
  <si>
    <t>Hendra Syahputra</t>
  </si>
  <si>
    <t>CASE-00082</t>
  </si>
  <si>
    <t>Citra Maulana</t>
  </si>
  <si>
    <t>CASE-00083</t>
  </si>
  <si>
    <t>Sari Aulia</t>
  </si>
  <si>
    <t>CASE-00084</t>
  </si>
  <si>
    <t>Dokumen tidak lengkap</t>
  </si>
  <si>
    <t>CASE-00085</t>
  </si>
  <si>
    <t>Eka Santoso</t>
  </si>
  <si>
    <t>CASE-00086</t>
  </si>
  <si>
    <t>CASE-00087</t>
  </si>
  <si>
    <t>CASE-00088</t>
  </si>
  <si>
    <t>KCP PATI</t>
  </si>
  <si>
    <t>SPV Rahma Ananda</t>
  </si>
  <si>
    <t>Kartika Saputra</t>
  </si>
  <si>
    <t>Konfirmasi akhir nasabah</t>
  </si>
  <si>
    <t>CASE-00089</t>
  </si>
  <si>
    <t>CASE-00090</t>
  </si>
  <si>
    <t>Intan Santoso</t>
  </si>
  <si>
    <t>CASE-00091</t>
  </si>
  <si>
    <t>CASE-00092</t>
  </si>
  <si>
    <t>CASE-00093</t>
  </si>
  <si>
    <t>Bella Utami</t>
  </si>
  <si>
    <t>CASE-00094</t>
  </si>
  <si>
    <t>CASE-00095</t>
  </si>
  <si>
    <t>Wahyu Fauzi</t>
  </si>
  <si>
    <t>CASE-00096</t>
  </si>
  <si>
    <t>CASE-00097</t>
  </si>
  <si>
    <t>CASE-00098</t>
  </si>
  <si>
    <t>Jadwal kunjungan belum sesuai</t>
  </si>
  <si>
    <t>CASE-00099</t>
  </si>
  <si>
    <t>CASE-00100</t>
  </si>
  <si>
    <t>Sinta Wijaya</t>
  </si>
  <si>
    <t>CASE-00101</t>
  </si>
  <si>
    <t>Jihan Pertiwi</t>
  </si>
  <si>
    <t>CASE-00102</t>
  </si>
  <si>
    <t>Lukman Hidayat</t>
  </si>
  <si>
    <t>CASE-00103</t>
  </si>
  <si>
    <t>CASE-00104</t>
  </si>
  <si>
    <t>CASE-00105</t>
  </si>
  <si>
    <t>CASE-00106</t>
  </si>
  <si>
    <t>Nabila Maulana</t>
  </si>
  <si>
    <t>CASE-00107</t>
  </si>
  <si>
    <t>Dewi Utami</t>
  </si>
  <si>
    <t>CASE-00108</t>
  </si>
  <si>
    <t>KC LANGSA</t>
  </si>
  <si>
    <t>Vina Rahman</t>
  </si>
  <si>
    <t>Tidak ada feedback nasabah</t>
  </si>
  <si>
    <t>CASE-00109</t>
  </si>
  <si>
    <t>Kawal proses akhir</t>
  </si>
  <si>
    <t>CASE-00110</t>
  </si>
  <si>
    <t>Reject</t>
  </si>
  <si>
    <t>CASE-00111</t>
  </si>
  <si>
    <t>Yoga Aulia</t>
  </si>
  <si>
    <t>CASE-00112</t>
  </si>
  <si>
    <t>Qori Saputra</t>
  </si>
  <si>
    <t>CASE-00113</t>
  </si>
  <si>
    <t>Konfirmasi jadwal pencairan</t>
  </si>
  <si>
    <t>CASE-00114</t>
  </si>
  <si>
    <t>Ilham Pratama</t>
  </si>
  <si>
    <t>CASE-00115</t>
  </si>
  <si>
    <t>Eka Utami</t>
  </si>
  <si>
    <t>CASE-00116</t>
  </si>
  <si>
    <t>Menunggu tanda tangan perjanjian</t>
  </si>
  <si>
    <t>CASE-00117</t>
  </si>
  <si>
    <t>CASE-00118</t>
  </si>
  <si>
    <t>Citra Utami</t>
  </si>
  <si>
    <t>CASE-00119</t>
  </si>
  <si>
    <t>Naufal Aulia</t>
  </si>
  <si>
    <t>CASE-00120</t>
  </si>
  <si>
    <t>Gita Syahputra</t>
  </si>
  <si>
    <t>CASE-00121</t>
  </si>
  <si>
    <t>Yuni Hidayat</t>
  </si>
  <si>
    <t>CASE-00122</t>
  </si>
  <si>
    <t>Gita Anggraini</t>
  </si>
  <si>
    <t>CASE-00123</t>
  </si>
  <si>
    <t>CASE-00124</t>
  </si>
  <si>
    <t>CASE-00125</t>
  </si>
  <si>
    <t>Taufik Nugroho</t>
  </si>
  <si>
    <t>CASE-00126</t>
  </si>
  <si>
    <t>Oscar Lestari</t>
  </si>
  <si>
    <t>CASE-00127</t>
  </si>
  <si>
    <t>Maya Aulia</t>
  </si>
  <si>
    <t>CASE-00128</t>
  </si>
  <si>
    <t>Budi Ananda</t>
  </si>
  <si>
    <t>CASE-00129</t>
  </si>
  <si>
    <t>Kartika Wijaya</t>
  </si>
  <si>
    <t>CASE-00130</t>
  </si>
  <si>
    <t>KCP TANAH ABANG</t>
  </si>
  <si>
    <t>Yuni Utami</t>
  </si>
  <si>
    <t>CASE-00131</t>
  </si>
  <si>
    <t>CASE-00132</t>
  </si>
  <si>
    <t>Rizal Wijaya</t>
  </si>
  <si>
    <t>CASE-00133</t>
  </si>
  <si>
    <t>CASE-00134</t>
  </si>
  <si>
    <t>CASE-00135</t>
  </si>
  <si>
    <t>CASE-00136</t>
  </si>
  <si>
    <t>Kartika Permata</t>
  </si>
  <si>
    <t>CASE-00137</t>
  </si>
  <si>
    <t>Lukman Lestari</t>
  </si>
  <si>
    <t>CASE-00138</t>
  </si>
  <si>
    <t>KC BINJAI</t>
  </si>
  <si>
    <t>CASE-00139</t>
  </si>
  <si>
    <t>Kartika Nugroho</t>
  </si>
  <si>
    <t>CASE-00140</t>
  </si>
  <si>
    <t>CASE-00141</t>
  </si>
  <si>
    <t>CASE-00142</t>
  </si>
  <si>
    <t>CASE-00143</t>
  </si>
  <si>
    <t>Lukman Permata</t>
  </si>
  <si>
    <t>CASE-00144</t>
  </si>
  <si>
    <t>Oscar Saputra</t>
  </si>
  <si>
    <t>CASE-00145</t>
  </si>
  <si>
    <t>Rahma Kusuma</t>
  </si>
  <si>
    <t>CASE-00146</t>
  </si>
  <si>
    <t>CASE-00147</t>
  </si>
  <si>
    <t>Hendra Rahman</t>
  </si>
  <si>
    <t>CASE-00148</t>
  </si>
  <si>
    <t>CASE-00149</t>
  </si>
  <si>
    <t>CASE-00150</t>
  </si>
  <si>
    <t>Dimas Ananda</t>
  </si>
  <si>
    <t>CASE-00151</t>
  </si>
  <si>
    <t>CASE-00152</t>
  </si>
  <si>
    <t>Hani Utami</t>
  </si>
  <si>
    <t>CASE-00153</t>
  </si>
  <si>
    <t>CASE-00154</t>
  </si>
  <si>
    <t>CASE-00155</t>
  </si>
  <si>
    <t>Maya Hidayat</t>
  </si>
  <si>
    <t>CASE-00156</t>
  </si>
  <si>
    <t>CASE-00157</t>
  </si>
  <si>
    <t>CASE-00158</t>
  </si>
  <si>
    <t>CASE-00159</t>
  </si>
  <si>
    <t>CASE-00160</t>
  </si>
  <si>
    <t>CASE-00161</t>
  </si>
  <si>
    <t>CASE-00162</t>
  </si>
  <si>
    <t>CASE-00163</t>
  </si>
  <si>
    <t>CASE-00164</t>
  </si>
  <si>
    <t>CASE-00165</t>
  </si>
  <si>
    <t>Sari Fauzi</t>
  </si>
  <si>
    <t>CASE-00166</t>
  </si>
  <si>
    <t>CASE-00167</t>
  </si>
  <si>
    <t>CASE-00168</t>
  </si>
  <si>
    <t>Ulfa Anggraini</t>
  </si>
  <si>
    <t>CASE-00169</t>
  </si>
  <si>
    <t>CASE-00170</t>
  </si>
  <si>
    <t>Maya Ananda</t>
  </si>
  <si>
    <t>Plafond tidak sesuai</t>
  </si>
  <si>
    <t>CASE-00171</t>
  </si>
  <si>
    <t>CASE-00172</t>
  </si>
  <si>
    <t>CASE-00173</t>
  </si>
  <si>
    <t>CASE-00174</t>
  </si>
  <si>
    <t>CASE-00175</t>
  </si>
  <si>
    <t>CASE-00176</t>
  </si>
  <si>
    <t>Fajar Anggraini</t>
  </si>
  <si>
    <t>CASE-00177</t>
  </si>
  <si>
    <t>CASE-00178</t>
  </si>
  <si>
    <t>CASE-00179</t>
  </si>
  <si>
    <t>CASE-00180</t>
  </si>
  <si>
    <t>Mega Santoso</t>
  </si>
  <si>
    <t>CASE-00181</t>
  </si>
  <si>
    <t>Mega Utami</t>
  </si>
  <si>
    <t>CASE-00182</t>
  </si>
  <si>
    <t>CASE-00183</t>
  </si>
  <si>
    <t>Fajar Ramadhan</t>
  </si>
  <si>
    <t>CASE-00184</t>
  </si>
  <si>
    <t>CASE-00185</t>
  </si>
  <si>
    <t>Rahma Ramadhan</t>
  </si>
  <si>
    <t>CASE-00186</t>
  </si>
  <si>
    <t>Bella Mahendra</t>
  </si>
  <si>
    <t>CASE-00187</t>
  </si>
  <si>
    <t>CASE-00188</t>
  </si>
  <si>
    <t>CASE-00189</t>
  </si>
  <si>
    <t>CASE-00190</t>
  </si>
  <si>
    <t>Oscar Aulia</t>
  </si>
  <si>
    <t>CASE-00191</t>
  </si>
  <si>
    <t>CASE-00192</t>
  </si>
  <si>
    <t>CASE-00193</t>
  </si>
  <si>
    <t>CASE-00194</t>
  </si>
  <si>
    <t>CASE-00195</t>
  </si>
  <si>
    <t>CASE-00196</t>
  </si>
  <si>
    <t>Arman Santoso</t>
  </si>
  <si>
    <t>CASE-00197</t>
  </si>
  <si>
    <t>Dewi Maulana</t>
  </si>
  <si>
    <t>CASE-00198</t>
  </si>
  <si>
    <t>CASE-00199</t>
  </si>
  <si>
    <t>Yuni Mahendra</t>
  </si>
  <si>
    <t>CASE-00200</t>
  </si>
  <si>
    <t>CASE-00201</t>
  </si>
  <si>
    <t>CASE-00202</t>
  </si>
  <si>
    <t>Andi Ananda</t>
  </si>
  <si>
    <t>Sudah Cair</t>
  </si>
  <si>
    <t>CASE-00203</t>
  </si>
  <si>
    <t>CASE-00204</t>
  </si>
  <si>
    <t>CASE-00205</t>
  </si>
  <si>
    <t>Galih Pertiwi</t>
  </si>
  <si>
    <t>CASE-00206</t>
  </si>
  <si>
    <t>CASE-00207</t>
  </si>
  <si>
    <t>Rahma Ananda</t>
  </si>
  <si>
    <t>CASE-00208</t>
  </si>
  <si>
    <t>CASE-00209</t>
  </si>
  <si>
    <t>CASE-00210</t>
  </si>
  <si>
    <t>CASE-00211</t>
  </si>
  <si>
    <t>Lina Aulia</t>
  </si>
  <si>
    <t>CASE-00212</t>
  </si>
  <si>
    <t>Citra Ramadhan</t>
  </si>
  <si>
    <t>CASE-00213</t>
  </si>
  <si>
    <t>CASE-00214</t>
  </si>
  <si>
    <t>Budi Aulia</t>
  </si>
  <si>
    <t>CASE-00215</t>
  </si>
  <si>
    <t>CASE-00216</t>
  </si>
  <si>
    <t>CASE-00217</t>
  </si>
  <si>
    <t>Naufal Mahendra</t>
  </si>
  <si>
    <t>CASE-00218</t>
  </si>
  <si>
    <t>CASE-00219</t>
  </si>
  <si>
    <t>CASE-00220</t>
  </si>
  <si>
    <t>CASE-00221</t>
  </si>
  <si>
    <t>CASE-00222</t>
  </si>
  <si>
    <t>CASE-00223</t>
  </si>
  <si>
    <t>CASE-00224</t>
  </si>
  <si>
    <t>Andi Rahman</t>
  </si>
  <si>
    <t>CASE-00225</t>
  </si>
  <si>
    <t>Joko Syahputra</t>
  </si>
  <si>
    <t>CASE-00226</t>
  </si>
  <si>
    <t>CASE-00227</t>
  </si>
  <si>
    <t>CASE-00228</t>
  </si>
  <si>
    <t>CASE-00229</t>
  </si>
  <si>
    <t>CASE-00230</t>
  </si>
  <si>
    <t>CASE-00231</t>
  </si>
  <si>
    <t>Nabila Mahendra</t>
  </si>
  <si>
    <t>CASE-00232</t>
  </si>
  <si>
    <t>Andi Permata</t>
  </si>
  <si>
    <t>CASE-00233</t>
  </si>
  <si>
    <t>Eka Permata</t>
  </si>
  <si>
    <t>CASE-00234</t>
  </si>
  <si>
    <t>Yoga Mahendra</t>
  </si>
  <si>
    <t>CASE-00235</t>
  </si>
  <si>
    <t>CASE-00236</t>
  </si>
  <si>
    <t>CASE-00237</t>
  </si>
  <si>
    <t>CASE-00238</t>
  </si>
  <si>
    <t>Citra Pratama</t>
  </si>
  <si>
    <t>CASE-00239</t>
  </si>
  <si>
    <t>CASE-00240</t>
  </si>
  <si>
    <t>CASE-00241</t>
  </si>
  <si>
    <t>CASE-00242</t>
  </si>
  <si>
    <t>CASE-00243</t>
  </si>
  <si>
    <t>CASE-00244</t>
  </si>
  <si>
    <t>CASE-00245</t>
  </si>
  <si>
    <t>CASE-00246</t>
  </si>
  <si>
    <t>CASE-00247</t>
  </si>
  <si>
    <t>CASE-00248</t>
  </si>
  <si>
    <t>CASE-00249</t>
  </si>
  <si>
    <t>CASE-00250</t>
  </si>
  <si>
    <t>CASE-00251</t>
  </si>
  <si>
    <t>Oscar Santoso</t>
  </si>
  <si>
    <t>CASE-00252</t>
  </si>
  <si>
    <t>CASE-00253</t>
  </si>
  <si>
    <t>Dewi Saputra</t>
  </si>
  <si>
    <t>CASE-00254</t>
  </si>
  <si>
    <t>Oscar Rahman</t>
  </si>
  <si>
    <t>CASE-00255</t>
  </si>
  <si>
    <t>CASE-00256</t>
  </si>
  <si>
    <t>CASE-00257</t>
  </si>
  <si>
    <t>CASE-00258</t>
  </si>
  <si>
    <t>Kurnia Nugroho</t>
  </si>
  <si>
    <t>CASE-00259</t>
  </si>
  <si>
    <t>CASE-00260</t>
  </si>
  <si>
    <t>CASE-00261</t>
  </si>
  <si>
    <t>CASE-00262</t>
  </si>
  <si>
    <t>CASE-00263</t>
  </si>
  <si>
    <t>Maya Anggraini</t>
  </si>
  <si>
    <t>CASE-00264</t>
  </si>
  <si>
    <t>Qori Wijaya</t>
  </si>
  <si>
    <t>CASE-00265</t>
  </si>
  <si>
    <t>CASE-00266</t>
  </si>
  <si>
    <t>Bella Fauzi</t>
  </si>
  <si>
    <t>CASE-00267</t>
  </si>
  <si>
    <t>CASE-00268</t>
  </si>
  <si>
    <t>Dimas Fauzi</t>
  </si>
  <si>
    <t>CASE-00269</t>
  </si>
  <si>
    <t>CASE-00270</t>
  </si>
  <si>
    <t>Yuni Saputra</t>
  </si>
  <si>
    <t>CASE-00271</t>
  </si>
  <si>
    <t>CASE-00272</t>
  </si>
  <si>
    <t>CASE-00273</t>
  </si>
  <si>
    <t>Nabila Utami</t>
  </si>
  <si>
    <t>CASE-00274</t>
  </si>
  <si>
    <t>CASE-00275</t>
  </si>
  <si>
    <t>Jihan Aulia</t>
  </si>
  <si>
    <t>CASE-00276</t>
  </si>
  <si>
    <t>Dimas Lestari</t>
  </si>
  <si>
    <t>CASE-00277</t>
  </si>
  <si>
    <t>CASE-00278</t>
  </si>
  <si>
    <t>CASE-00279</t>
  </si>
  <si>
    <t>CASE-00280</t>
  </si>
  <si>
    <t>CASE-00281</t>
  </si>
  <si>
    <t>CASE-00282</t>
  </si>
  <si>
    <t>CASE-00283</t>
  </si>
  <si>
    <t>CASE-00284</t>
  </si>
  <si>
    <t>CASE-00285</t>
  </si>
  <si>
    <t>Hendra Mahendra</t>
  </si>
  <si>
    <t>CASE-00286</t>
  </si>
  <si>
    <t>Tidak ada kendala</t>
  </si>
  <si>
    <t>CASE-00287</t>
  </si>
  <si>
    <t>CASE-00288</t>
  </si>
  <si>
    <t>CASE-00289</t>
  </si>
  <si>
    <t>CASE-00290</t>
  </si>
  <si>
    <t>CASE-00291</t>
  </si>
  <si>
    <t>CASE-00292</t>
  </si>
  <si>
    <t>CASE-00293</t>
  </si>
  <si>
    <t>CASE-00294</t>
  </si>
  <si>
    <t>CASE-00295</t>
  </si>
  <si>
    <t>CASE-00296</t>
  </si>
  <si>
    <t>CASE-00297</t>
  </si>
  <si>
    <t>CASE-00298</t>
  </si>
  <si>
    <t>CASE-00299</t>
  </si>
  <si>
    <t>CASE-00300</t>
  </si>
  <si>
    <t>CASE-00301</t>
  </si>
  <si>
    <t>CASE-00302</t>
  </si>
  <si>
    <t>CASE-00303</t>
  </si>
  <si>
    <t>CASE-00304</t>
  </si>
  <si>
    <t>CASE-00305</t>
  </si>
  <si>
    <t>CASE-00306</t>
  </si>
  <si>
    <t>CASE-00307</t>
  </si>
  <si>
    <t>CASE-00308</t>
  </si>
  <si>
    <t>CASE-00309</t>
  </si>
  <si>
    <t>CASE-00310</t>
  </si>
  <si>
    <t>CASE-00311</t>
  </si>
  <si>
    <t>CASE-00312</t>
  </si>
  <si>
    <t>CASE-00313</t>
  </si>
  <si>
    <t>CASE-00314</t>
  </si>
  <si>
    <t>CASE-00315</t>
  </si>
  <si>
    <t>CASE-00316</t>
  </si>
  <si>
    <t>CASE-00317</t>
  </si>
  <si>
    <t>CASE-00318</t>
  </si>
  <si>
    <t>CASE-00319</t>
  </si>
  <si>
    <t>CASE-00320</t>
  </si>
  <si>
    <t>CASE-00321</t>
  </si>
  <si>
    <t>CASE-00322</t>
  </si>
  <si>
    <t>CASE-00323</t>
  </si>
  <si>
    <t>CASE-00324</t>
  </si>
  <si>
    <t>CASE-00325</t>
  </si>
  <si>
    <t>CASE-00326</t>
  </si>
  <si>
    <t>CASE-00327</t>
  </si>
  <si>
    <t>CASE-00328</t>
  </si>
  <si>
    <t>CASE-00329</t>
  </si>
  <si>
    <t>CASE-00330</t>
  </si>
  <si>
    <t>CASE-00331</t>
  </si>
  <si>
    <t>Putri Anggraini</t>
  </si>
  <si>
    <t>CASE-00332</t>
  </si>
  <si>
    <t>CASE-00333</t>
  </si>
  <si>
    <t>Rizal Hidayat</t>
  </si>
  <si>
    <t>CASE-00334</t>
  </si>
  <si>
    <t>CASE-00335</t>
  </si>
  <si>
    <t>CASE-00336</t>
  </si>
  <si>
    <t>CASE-00337</t>
  </si>
  <si>
    <t>Taufik Utami</t>
  </si>
  <si>
    <t>CASE-00338</t>
  </si>
  <si>
    <t>CASE-00339</t>
  </si>
  <si>
    <t>CASE-00340</t>
  </si>
  <si>
    <t>CASE-00341</t>
  </si>
  <si>
    <t>Wahyu Ananda</t>
  </si>
  <si>
    <t>CASE-00342</t>
  </si>
  <si>
    <t>CASE-00343</t>
  </si>
  <si>
    <t>CASE-00344</t>
  </si>
  <si>
    <t>CASE-00345</t>
  </si>
  <si>
    <t>CASE-00346</t>
  </si>
  <si>
    <t>Ilham Lestari</t>
  </si>
  <si>
    <t>CASE-00347</t>
  </si>
  <si>
    <t>CASE-00348</t>
  </si>
  <si>
    <t>CASE-00349</t>
  </si>
  <si>
    <t>CASE-00350</t>
  </si>
  <si>
    <t>CASE-00351</t>
  </si>
  <si>
    <t>CASE-00352</t>
  </si>
  <si>
    <t>CASE-00353</t>
  </si>
  <si>
    <t>CASE-00354</t>
  </si>
  <si>
    <t>CASE-00355</t>
  </si>
  <si>
    <t>CASE-00356</t>
  </si>
  <si>
    <t>CASE-00357</t>
  </si>
  <si>
    <t>CASE-00358</t>
  </si>
  <si>
    <t>CASE-00359</t>
  </si>
  <si>
    <t>CASE-00360</t>
  </si>
  <si>
    <t>CASE-00361</t>
  </si>
  <si>
    <t>Rizal Aulia</t>
  </si>
  <si>
    <t>CASE-00362</t>
  </si>
  <si>
    <t>CASE-00363</t>
  </si>
  <si>
    <t>CASE-00364</t>
  </si>
  <si>
    <t>CASE-00365</t>
  </si>
  <si>
    <t>CASE-00366</t>
  </si>
  <si>
    <t>CASE-00367</t>
  </si>
  <si>
    <t>CASE-00368</t>
  </si>
  <si>
    <t>CASE-00369</t>
  </si>
  <si>
    <t>CASE-00370</t>
  </si>
  <si>
    <t>CASE-00371</t>
  </si>
  <si>
    <t>CASE-00372</t>
  </si>
  <si>
    <t>CASE-00373</t>
  </si>
  <si>
    <t>CASE-00374</t>
  </si>
  <si>
    <t>CASE-00375</t>
  </si>
  <si>
    <t>CASE-00376</t>
  </si>
  <si>
    <t>CASE-00377</t>
  </si>
  <si>
    <t>Oscar Mahendra</t>
  </si>
  <si>
    <t>CASE-00378</t>
  </si>
  <si>
    <t>CASE-00379</t>
  </si>
  <si>
    <t>CASE-00380</t>
  </si>
  <si>
    <t>CASE-00381</t>
  </si>
  <si>
    <t>CASE-00382</t>
  </si>
  <si>
    <t>CASE-00383</t>
  </si>
  <si>
    <t>CASE-00384</t>
  </si>
  <si>
    <t>CASE-00385</t>
  </si>
  <si>
    <t>CASE-00386</t>
  </si>
  <si>
    <t>CASE-00387</t>
  </si>
  <si>
    <t>CASE-00388</t>
  </si>
  <si>
    <t>CASE-00389</t>
  </si>
  <si>
    <t>CASE-00390</t>
  </si>
  <si>
    <t>Ilham Ramadhan</t>
  </si>
  <si>
    <t>CASE-00391</t>
  </si>
  <si>
    <t>CASE-00392</t>
  </si>
  <si>
    <t>CASE-00393</t>
  </si>
  <si>
    <t>CASE-00394</t>
  </si>
  <si>
    <t>CASE-00395</t>
  </si>
  <si>
    <t>CASE-00396</t>
  </si>
  <si>
    <t>CASE-00397</t>
  </si>
  <si>
    <t>Putri Mahendra</t>
  </si>
  <si>
    <t>CASE-00398</t>
  </si>
  <si>
    <t>CASE-00399</t>
  </si>
  <si>
    <t>CASE-00400</t>
  </si>
  <si>
    <t>CASE-00401</t>
  </si>
  <si>
    <t>Intan Permata</t>
  </si>
  <si>
    <t>CASE-00402</t>
  </si>
  <si>
    <t>CASE-00403</t>
  </si>
  <si>
    <t>CASE-00404</t>
  </si>
  <si>
    <t>CASE-00405</t>
  </si>
  <si>
    <t>CASE-00406</t>
  </si>
  <si>
    <t>CASE-00407</t>
  </si>
  <si>
    <t>CASE-00408</t>
  </si>
  <si>
    <t>CASE-00409</t>
  </si>
  <si>
    <t>CASE-00410</t>
  </si>
  <si>
    <t>Galih Hidayat</t>
  </si>
  <si>
    <t>CASE-00411</t>
  </si>
  <si>
    <t>CASE-00412</t>
  </si>
  <si>
    <t>CASE-00413</t>
  </si>
  <si>
    <t>CASE-00414</t>
  </si>
  <si>
    <t>Lukman Utami</t>
  </si>
  <si>
    <t>CASE-00415</t>
  </si>
  <si>
    <t>CASE-00416</t>
  </si>
  <si>
    <t>CASE-00417</t>
  </si>
  <si>
    <t>CASE-00418</t>
  </si>
  <si>
    <t>CASE-00419</t>
  </si>
  <si>
    <t>CASE-00420</t>
  </si>
  <si>
    <t>CASE-00421</t>
  </si>
  <si>
    <t>CASE-00422</t>
  </si>
  <si>
    <t>CASE-00423</t>
  </si>
  <si>
    <t>CASE-00424</t>
  </si>
  <si>
    <t>CASE-00425</t>
  </si>
  <si>
    <t>CASE-00426</t>
  </si>
  <si>
    <t>CASE-00427</t>
  </si>
  <si>
    <t>CASE-00428</t>
  </si>
  <si>
    <t>Hendra Anggraini</t>
  </si>
  <si>
    <t>CASE-00429</t>
  </si>
  <si>
    <t>CASE-00430</t>
  </si>
  <si>
    <t>CASE-00431</t>
  </si>
  <si>
    <t>CASE-00432</t>
  </si>
  <si>
    <t>CASE-00433</t>
  </si>
  <si>
    <t>CASE-00434</t>
  </si>
  <si>
    <t>CASE-00435</t>
  </si>
  <si>
    <t>Kartika Kusuma</t>
  </si>
  <si>
    <t>CASE-00436</t>
  </si>
  <si>
    <t>CASE-00437</t>
  </si>
  <si>
    <t>CASE-00438</t>
  </si>
  <si>
    <t>Eka Pertiwi</t>
  </si>
  <si>
    <t>CASE-00439</t>
  </si>
  <si>
    <t>CASE-00440</t>
  </si>
  <si>
    <t>CASE-00441</t>
  </si>
  <si>
    <t>CASE-00442</t>
  </si>
  <si>
    <t>CASE-00443</t>
  </si>
  <si>
    <t>CASE-00444</t>
  </si>
  <si>
    <t>Dewi Anggraini</t>
  </si>
  <si>
    <t>CASE-00445</t>
  </si>
  <si>
    <t>Ilham Permata</t>
  </si>
  <si>
    <t>CASE-00446</t>
  </si>
  <si>
    <t>CASE-00447</t>
  </si>
  <si>
    <t>CASE-00448</t>
  </si>
  <si>
    <t>CASE-00449</t>
  </si>
  <si>
    <t>CASE-00450</t>
  </si>
  <si>
    <t>CASE-00451</t>
  </si>
  <si>
    <t>CASE-00452</t>
  </si>
  <si>
    <t>CASE-00453</t>
  </si>
  <si>
    <t>CASE-00454</t>
  </si>
  <si>
    <t>CASE-00455</t>
  </si>
  <si>
    <t>Kartika Ananda</t>
  </si>
  <si>
    <t>CASE-00456</t>
  </si>
  <si>
    <t>CASE-00457</t>
  </si>
  <si>
    <t>CASE-00458</t>
  </si>
  <si>
    <t>CASE-00459</t>
  </si>
  <si>
    <t>CASE-00460</t>
  </si>
  <si>
    <t>CASE-00461</t>
  </si>
  <si>
    <t>CASE-00462</t>
  </si>
  <si>
    <t>CASE-00463</t>
  </si>
  <si>
    <t>CASE-00464</t>
  </si>
  <si>
    <t>CASE-00465</t>
  </si>
  <si>
    <t>CASE-00466</t>
  </si>
  <si>
    <t>CASE-00467</t>
  </si>
  <si>
    <t>CASE-00468</t>
  </si>
  <si>
    <t>CASE-00469</t>
  </si>
  <si>
    <t>CASE-00470</t>
  </si>
  <si>
    <t>CASE-00471</t>
  </si>
  <si>
    <t>CASE-00472</t>
  </si>
  <si>
    <t>CASE-00473</t>
  </si>
  <si>
    <t>CASE-00474</t>
  </si>
  <si>
    <t>CASE-00475</t>
  </si>
  <si>
    <t>CASE-00476</t>
  </si>
  <si>
    <t>CASE-00477</t>
  </si>
  <si>
    <t>CASE-00478</t>
  </si>
  <si>
    <t>CASE-00479</t>
  </si>
  <si>
    <t>CASE-00480</t>
  </si>
  <si>
    <t>CASE-00481</t>
  </si>
  <si>
    <t>CASE-00482</t>
  </si>
  <si>
    <t>CASE-00483</t>
  </si>
  <si>
    <t>CASE-00484</t>
  </si>
  <si>
    <t>CASE-00485</t>
  </si>
  <si>
    <t>CASE-00486</t>
  </si>
  <si>
    <t>CASE-00487</t>
  </si>
  <si>
    <t>CASE-00488</t>
  </si>
  <si>
    <t>CASE-00489</t>
  </si>
  <si>
    <t>CASE-00490</t>
  </si>
  <si>
    <t>CASE-00491</t>
  </si>
  <si>
    <t>CASE-00492</t>
  </si>
  <si>
    <t>CASE-00493</t>
  </si>
  <si>
    <t>CASE-00494</t>
  </si>
  <si>
    <t>Wahyu Kusuma</t>
  </si>
  <si>
    <t>CASE-00495</t>
  </si>
  <si>
    <t>CASE-00496</t>
  </si>
  <si>
    <t>CASE-00497</t>
  </si>
  <si>
    <t>CASE-00498</t>
  </si>
  <si>
    <t>CASE-00499</t>
  </si>
  <si>
    <t>CASE-00500</t>
  </si>
  <si>
    <t>CASE-00501</t>
  </si>
  <si>
    <t>CASE-00502</t>
  </si>
  <si>
    <t>CASE-00503</t>
  </si>
  <si>
    <t>CASE-00504</t>
  </si>
  <si>
    <t>CASE-00505</t>
  </si>
  <si>
    <t>CASE-00506</t>
  </si>
  <si>
    <t>CASE-00507</t>
  </si>
  <si>
    <t>CASE-00508</t>
  </si>
  <si>
    <t>CASE-00509</t>
  </si>
  <si>
    <t>CASE-00510</t>
  </si>
  <si>
    <t>CASE-00511</t>
  </si>
  <si>
    <t>CASE-00512</t>
  </si>
  <si>
    <t>CASE-00513</t>
  </si>
  <si>
    <t>CASE-00514</t>
  </si>
  <si>
    <t>CASE-00515</t>
  </si>
  <si>
    <t>CASE-00516</t>
  </si>
  <si>
    <t>CASE-00517</t>
  </si>
  <si>
    <t>CASE-00518</t>
  </si>
  <si>
    <t>CASE-00519</t>
  </si>
  <si>
    <t>CASE-00520</t>
  </si>
  <si>
    <t>CASE-00521</t>
  </si>
  <si>
    <t>CASE-00522</t>
  </si>
  <si>
    <t>CASE-00523</t>
  </si>
  <si>
    <t>CASE-00524</t>
  </si>
  <si>
    <t>CASE-00525</t>
  </si>
  <si>
    <t>CASE-00526</t>
  </si>
  <si>
    <t>CASE-00527</t>
  </si>
  <si>
    <t>CASE-00528</t>
  </si>
  <si>
    <t>CASE-00529</t>
  </si>
  <si>
    <t>CASE-00530</t>
  </si>
  <si>
    <t>CASE-00531</t>
  </si>
  <si>
    <t>CASE-00532</t>
  </si>
  <si>
    <t>CASE-00533</t>
  </si>
  <si>
    <t>CASE-00534</t>
  </si>
  <si>
    <t>CASE-00535</t>
  </si>
  <si>
    <t>CASE-00536</t>
  </si>
  <si>
    <t>CASE-00537</t>
  </si>
  <si>
    <t>CASE-00538</t>
  </si>
  <si>
    <t>CASE-00539</t>
  </si>
  <si>
    <t>CASE-00540</t>
  </si>
  <si>
    <t>CASE-00541</t>
  </si>
  <si>
    <t>CASE-00542</t>
  </si>
  <si>
    <t>CASE-00543</t>
  </si>
  <si>
    <t>CASE-00544</t>
  </si>
  <si>
    <t>CASE-00545</t>
  </si>
  <si>
    <t>CASE-00546</t>
  </si>
  <si>
    <t>CASE-00547</t>
  </si>
  <si>
    <t>Ilham Anggraini</t>
  </si>
  <si>
    <t>CASE-00548</t>
  </si>
  <si>
    <t>CASE-00549</t>
  </si>
  <si>
    <t>CASE-00550</t>
  </si>
  <si>
    <t>CASE-00551</t>
  </si>
  <si>
    <t>CASE-00552</t>
  </si>
  <si>
    <t>CASE-00553</t>
  </si>
  <si>
    <t>CASE-00554</t>
  </si>
  <si>
    <t>Dewi Rahman</t>
  </si>
  <si>
    <t>CASE-00555</t>
  </si>
  <si>
    <t>CASE-00556</t>
  </si>
  <si>
    <t>CASE-00557</t>
  </si>
  <si>
    <t>CASE-00558</t>
  </si>
  <si>
    <t>CASE-00559</t>
  </si>
  <si>
    <t>CASE-00560</t>
  </si>
  <si>
    <t>CASE-00561</t>
  </si>
  <si>
    <t>CASE-00562</t>
  </si>
  <si>
    <t>CASE-00563</t>
  </si>
  <si>
    <t>CASE-00564</t>
  </si>
  <si>
    <t>CASE-00565</t>
  </si>
  <si>
    <t>CASE-00566</t>
  </si>
  <si>
    <t>CASE-00567</t>
  </si>
  <si>
    <t>CASE-00568</t>
  </si>
  <si>
    <t>CASE-00569</t>
  </si>
  <si>
    <t>CASE-00570</t>
  </si>
  <si>
    <t>CASE-00571</t>
  </si>
  <si>
    <t>CASE-00572</t>
  </si>
  <si>
    <t>CASE-00573</t>
  </si>
  <si>
    <t>CASE-00574</t>
  </si>
  <si>
    <t>CASE-00575</t>
  </si>
  <si>
    <t>CASE-00576</t>
  </si>
  <si>
    <t>CASE-00577</t>
  </si>
  <si>
    <t>Dimas Permata</t>
  </si>
  <si>
    <t>CASE-00578</t>
  </si>
  <si>
    <t>CASE-00579</t>
  </si>
  <si>
    <t>CASE-00580</t>
  </si>
  <si>
    <t>CASE-00581</t>
  </si>
  <si>
    <t>CASE-00582</t>
  </si>
  <si>
    <t>Intan Syahputra</t>
  </si>
  <si>
    <t>CASE-00583</t>
  </si>
  <si>
    <t>CASE-00584</t>
  </si>
  <si>
    <t>CASE-00585</t>
  </si>
  <si>
    <t>CASE-00586</t>
  </si>
  <si>
    <t>CASE-00587</t>
  </si>
  <si>
    <t>CASE-00588</t>
  </si>
  <si>
    <t>CASE-00589</t>
  </si>
  <si>
    <t>CASE-00590</t>
  </si>
  <si>
    <t>CASE-00591</t>
  </si>
  <si>
    <t>CASE-00592</t>
  </si>
  <si>
    <t>CASE-00593</t>
  </si>
  <si>
    <t>CASE-00594</t>
  </si>
  <si>
    <t>CASE-00595</t>
  </si>
  <si>
    <t>Sari Kusuma</t>
  </si>
  <si>
    <t>CASE-00596</t>
  </si>
  <si>
    <t>CASE-00597</t>
  </si>
  <si>
    <t>CASE-00598</t>
  </si>
  <si>
    <t>CASE-00599</t>
  </si>
  <si>
    <t>CASE-00600</t>
  </si>
  <si>
    <t>CASE-00601</t>
  </si>
  <si>
    <t>CASE-00602</t>
  </si>
  <si>
    <t>CASE-00603</t>
  </si>
  <si>
    <t>CASE-00604</t>
  </si>
  <si>
    <t>CASE-00605</t>
  </si>
  <si>
    <t>CASE-00606</t>
  </si>
  <si>
    <t>CASE-00607</t>
  </si>
  <si>
    <t>Rahma Anggraini</t>
  </si>
  <si>
    <t>CASE-00608</t>
  </si>
  <si>
    <t>CASE-00609</t>
  </si>
  <si>
    <t>CASE-00610</t>
  </si>
  <si>
    <t>CASE-00611</t>
  </si>
  <si>
    <t>CASE-00612</t>
  </si>
  <si>
    <t>CASE-00613</t>
  </si>
  <si>
    <t>CASE-00614</t>
  </si>
  <si>
    <t>CASE-00615</t>
  </si>
  <si>
    <t>CASE-00616</t>
  </si>
  <si>
    <t>CASE-00617</t>
  </si>
  <si>
    <t>CASE-00618</t>
  </si>
  <si>
    <t>CASE-00619</t>
  </si>
  <si>
    <t>CASE-00620</t>
  </si>
  <si>
    <t>CASE-00621</t>
  </si>
  <si>
    <t>CASE-00622</t>
  </si>
  <si>
    <t>CASE-00623</t>
  </si>
  <si>
    <t>CASE-00624</t>
  </si>
  <si>
    <t>CASE-00625</t>
  </si>
  <si>
    <t>CASE-00626</t>
  </si>
  <si>
    <t>CASE-00627</t>
  </si>
  <si>
    <t>CASE-00628</t>
  </si>
  <si>
    <t>CASE-00629</t>
  </si>
  <si>
    <t>CASE-00630</t>
  </si>
  <si>
    <t>CASE-00631</t>
  </si>
  <si>
    <t>CASE-00632</t>
  </si>
  <si>
    <t>CASE-00633</t>
  </si>
  <si>
    <t>CASE-00634</t>
  </si>
  <si>
    <t>CASE-00635</t>
  </si>
  <si>
    <t>CASE-00636</t>
  </si>
  <si>
    <t>CASE-00637</t>
  </si>
  <si>
    <t>CASE-00638</t>
  </si>
  <si>
    <t>CASE-00639</t>
  </si>
  <si>
    <t>CASE-00640</t>
  </si>
  <si>
    <t>CASE-00641</t>
  </si>
  <si>
    <t>CASE-00642</t>
  </si>
  <si>
    <t>CASE-00643</t>
  </si>
  <si>
    <t>CASE-00644</t>
  </si>
  <si>
    <t>CASE-00645</t>
  </si>
  <si>
    <t>CASE-00646</t>
  </si>
  <si>
    <t>CASE-00647</t>
  </si>
  <si>
    <t>CASE-00648</t>
  </si>
  <si>
    <t>CASE-00649</t>
  </si>
  <si>
    <t>CASE-00650</t>
  </si>
  <si>
    <t>CASE-00651</t>
  </si>
  <si>
    <t>CASE-00652</t>
  </si>
  <si>
    <t>CASE-00653</t>
  </si>
  <si>
    <t>CASE-00654</t>
  </si>
  <si>
    <t>CASE-00655</t>
  </si>
  <si>
    <t>CASE-00656</t>
  </si>
  <si>
    <t>CASE-00657</t>
  </si>
  <si>
    <t>CASE-00658</t>
  </si>
  <si>
    <t>CASE-00659</t>
  </si>
  <si>
    <t>CASE-00660</t>
  </si>
  <si>
    <t>CASE-00661</t>
  </si>
  <si>
    <t>CASE-00662</t>
  </si>
  <si>
    <t>CASE-00663</t>
  </si>
  <si>
    <t>Lukman Saputra</t>
  </si>
  <si>
    <t>CASE-00664</t>
  </si>
  <si>
    <t>CASE-00665</t>
  </si>
  <si>
    <t>CASE-00666</t>
  </si>
  <si>
    <t>CASE-00667</t>
  </si>
  <si>
    <t>CASE-00668</t>
  </si>
  <si>
    <t>CASE-00669</t>
  </si>
  <si>
    <t>CASE-00670</t>
  </si>
  <si>
    <t>CASE-00671</t>
  </si>
  <si>
    <t>CASE-00672</t>
  </si>
  <si>
    <t>CASE-00673</t>
  </si>
  <si>
    <t>CASE-00674</t>
  </si>
  <si>
    <t>CASE-00675</t>
  </si>
  <si>
    <t>CASE-00676</t>
  </si>
  <si>
    <t>CASE-00677</t>
  </si>
  <si>
    <t>CASE-00678</t>
  </si>
  <si>
    <t>CASE-00679</t>
  </si>
  <si>
    <t>CASE-00680</t>
  </si>
  <si>
    <t>CASE-00681</t>
  </si>
  <si>
    <t>CASE-00682</t>
  </si>
  <si>
    <t>CASE-00683</t>
  </si>
  <si>
    <t>CASE-00684</t>
  </si>
  <si>
    <t>CASE-00685</t>
  </si>
  <si>
    <t>CASE-00686</t>
  </si>
  <si>
    <t>CASE-00687</t>
  </si>
  <si>
    <t>CASE-00688</t>
  </si>
  <si>
    <t>CASE-00689</t>
  </si>
  <si>
    <t>CASE-00690</t>
  </si>
  <si>
    <t>CASE-00691</t>
  </si>
  <si>
    <t>CASE-00692</t>
  </si>
  <si>
    <t>CASE-00693</t>
  </si>
  <si>
    <t>CASE-00694</t>
  </si>
  <si>
    <t>CASE-00695</t>
  </si>
  <si>
    <t>CASE-00696</t>
  </si>
  <si>
    <t>CASE-00697</t>
  </si>
  <si>
    <t>CASE-00698</t>
  </si>
  <si>
    <t>CASE-00699</t>
  </si>
  <si>
    <t>CASE-00700</t>
  </si>
  <si>
    <t>CASE-00701</t>
  </si>
  <si>
    <t>CASE-00702</t>
  </si>
  <si>
    <t>CASE-00703</t>
  </si>
  <si>
    <t>CASE-00704</t>
  </si>
  <si>
    <t>CASE-00705</t>
  </si>
  <si>
    <t>CASE-00706</t>
  </si>
  <si>
    <t>CASE-00707</t>
  </si>
  <si>
    <t>CASE-00708</t>
  </si>
  <si>
    <t>Kartika Syahputra</t>
  </si>
  <si>
    <t>CASE-00709</t>
  </si>
  <si>
    <t>CASE-00710</t>
  </si>
  <si>
    <t>CASE-00711</t>
  </si>
  <si>
    <t>CASE-00712</t>
  </si>
  <si>
    <t>CASE-00713</t>
  </si>
  <si>
    <t>CASE-00714</t>
  </si>
  <si>
    <t>CASE-00715</t>
  </si>
  <si>
    <t>CASE-00716</t>
  </si>
  <si>
    <t>CASE-00717</t>
  </si>
  <si>
    <t>CASE-00718</t>
  </si>
  <si>
    <t>CASE-00719</t>
  </si>
  <si>
    <t>CASE-00720</t>
  </si>
  <si>
    <t>CASE-00721</t>
  </si>
  <si>
    <t>CASE-00722</t>
  </si>
  <si>
    <t>CASE-00723</t>
  </si>
  <si>
    <t>CASE-00724</t>
  </si>
  <si>
    <t>CASE-00725</t>
  </si>
  <si>
    <t>CASE-00726</t>
  </si>
  <si>
    <t>CASE-00727</t>
  </si>
  <si>
    <t>CASE-00728</t>
  </si>
  <si>
    <t>Ilham Santoso</t>
  </si>
  <si>
    <t>CASE-00729</t>
  </si>
  <si>
    <t>CASE-00730</t>
  </si>
  <si>
    <t>CASE-00731</t>
  </si>
  <si>
    <t>CASE-00732</t>
  </si>
  <si>
    <t>CASE-00733</t>
  </si>
  <si>
    <t>CASE-00734</t>
  </si>
  <si>
    <t>CASE-00735</t>
  </si>
  <si>
    <t>CASE-00736</t>
  </si>
  <si>
    <t>CASE-00737</t>
  </si>
  <si>
    <t>CASE-00738</t>
  </si>
  <si>
    <t>CASE-00739</t>
  </si>
  <si>
    <t>CASE-00740</t>
  </si>
  <si>
    <t>CASE-00741</t>
  </si>
  <si>
    <t>CASE-00742</t>
  </si>
  <si>
    <t>CASE-00743</t>
  </si>
  <si>
    <t>CASE-00744</t>
  </si>
  <si>
    <t>CASE-00745</t>
  </si>
  <si>
    <t>CASE-00746</t>
  </si>
  <si>
    <t>CASE-00747</t>
  </si>
  <si>
    <t>CASE-00748</t>
  </si>
  <si>
    <t>CASE-00749</t>
  </si>
  <si>
    <t>CASE-00750</t>
  </si>
  <si>
    <t>CASE-00751</t>
  </si>
  <si>
    <t>CASE-00752</t>
  </si>
  <si>
    <t>CASE-00753</t>
  </si>
  <si>
    <t>CASE-00754</t>
  </si>
  <si>
    <t>CASE-00755</t>
  </si>
  <si>
    <t>CASE-00756</t>
  </si>
  <si>
    <t>CASE-00757</t>
  </si>
  <si>
    <t>CASE-00758</t>
  </si>
  <si>
    <t>CASE-00759</t>
  </si>
  <si>
    <t>CASE-00760</t>
  </si>
  <si>
    <t>CASE-00761</t>
  </si>
  <si>
    <t>CASE-00762</t>
  </si>
  <si>
    <t>CASE-00763</t>
  </si>
  <si>
    <t>CASE-00764</t>
  </si>
  <si>
    <t>CASE-00765</t>
  </si>
  <si>
    <t>CASE-00766</t>
  </si>
  <si>
    <t>CASE-00767</t>
  </si>
  <si>
    <t>CASE-00768</t>
  </si>
  <si>
    <t>CASE-00769</t>
  </si>
  <si>
    <t>CASE-00770</t>
  </si>
  <si>
    <t>CASE-00771</t>
  </si>
  <si>
    <t>CASE-00772</t>
  </si>
  <si>
    <t>CASE-00773</t>
  </si>
  <si>
    <t>CASE-00774</t>
  </si>
  <si>
    <t>CASE-00775</t>
  </si>
  <si>
    <t>CASE-00776</t>
  </si>
  <si>
    <t>CASE-00777</t>
  </si>
  <si>
    <t>CASE-00778</t>
  </si>
  <si>
    <t>CASE-00779</t>
  </si>
  <si>
    <t>CASE-00780</t>
  </si>
  <si>
    <t>CASE-00781</t>
  </si>
  <si>
    <t>CASE-00782</t>
  </si>
  <si>
    <t>CASE-00783</t>
  </si>
  <si>
    <t>CASE-00784</t>
  </si>
  <si>
    <t>CASE-00785</t>
  </si>
  <si>
    <t>CASE-00786</t>
  </si>
  <si>
    <t>CASE-00787</t>
  </si>
  <si>
    <t>CASE-00788</t>
  </si>
  <si>
    <t>CASE-00789</t>
  </si>
  <si>
    <t>CASE-00790</t>
  </si>
  <si>
    <t>CASE-00791</t>
  </si>
  <si>
    <t>CASE-00792</t>
  </si>
  <si>
    <t>CASE-00793</t>
  </si>
  <si>
    <t>CASE-00794</t>
  </si>
  <si>
    <t>CASE-00795</t>
  </si>
  <si>
    <t>CASE-00796</t>
  </si>
  <si>
    <t>CASE-00797</t>
  </si>
  <si>
    <t>CASE-00798</t>
  </si>
  <si>
    <t>CASE-00799</t>
  </si>
  <si>
    <t>CASE-00800</t>
  </si>
  <si>
    <t>CASE-00801</t>
  </si>
  <si>
    <t>CASE-00802</t>
  </si>
  <si>
    <t>CASE-00803</t>
  </si>
  <si>
    <t>CASE-00804</t>
  </si>
  <si>
    <t>CASE-00805</t>
  </si>
  <si>
    <t>CASE-00806</t>
  </si>
  <si>
    <t>CASE-00807</t>
  </si>
  <si>
    <t>CASE-00808</t>
  </si>
  <si>
    <t>CASE-00809</t>
  </si>
  <si>
    <t>CASE-00810</t>
  </si>
  <si>
    <t>CASE-00811</t>
  </si>
  <si>
    <t>CASE-00812</t>
  </si>
  <si>
    <t>CASE-00813</t>
  </si>
  <si>
    <t>CASE-00814</t>
  </si>
  <si>
    <t>CASE-00815</t>
  </si>
  <si>
    <t>CASE-00816</t>
  </si>
  <si>
    <t>CASE-00817</t>
  </si>
  <si>
    <t>CASE-00818</t>
  </si>
  <si>
    <t>CASE-00819</t>
  </si>
  <si>
    <t>CASE-00820</t>
  </si>
  <si>
    <t>CASE-00821</t>
  </si>
  <si>
    <t>CASE-00822</t>
  </si>
  <si>
    <t>CASE-00823</t>
  </si>
  <si>
    <t>CASE-00824</t>
  </si>
  <si>
    <t>CASE-00825</t>
  </si>
  <si>
    <t>CASE-00826</t>
  </si>
  <si>
    <t>CASE-00827</t>
  </si>
  <si>
    <t>CASE-00828</t>
  </si>
  <si>
    <t>CASE-00829</t>
  </si>
  <si>
    <t>CASE-00830</t>
  </si>
  <si>
    <t>CASE-00831</t>
  </si>
  <si>
    <t>CASE-00832</t>
  </si>
  <si>
    <t>CASE-00833</t>
  </si>
  <si>
    <t>CASE-00834</t>
  </si>
  <si>
    <t>CASE-00835</t>
  </si>
  <si>
    <t>CASE-00836</t>
  </si>
  <si>
    <t>CASE-00837</t>
  </si>
  <si>
    <t>CASE-00838</t>
  </si>
  <si>
    <t>CASE-00839</t>
  </si>
  <si>
    <t>CASE-00840</t>
  </si>
  <si>
    <t>CASE-00841</t>
  </si>
  <si>
    <t>CASE-00842</t>
  </si>
  <si>
    <t>CASE-00843</t>
  </si>
  <si>
    <t>CASE-00844</t>
  </si>
  <si>
    <t>CASE-00845</t>
  </si>
  <si>
    <t>CASE-00846</t>
  </si>
  <si>
    <t>CASE-00847</t>
  </si>
  <si>
    <t>CASE-00848</t>
  </si>
  <si>
    <t>CASE-00849</t>
  </si>
  <si>
    <t>CASE-00850</t>
  </si>
  <si>
    <t>CASE-00851</t>
  </si>
  <si>
    <t>CASE-00852</t>
  </si>
  <si>
    <t>CASE-00853</t>
  </si>
  <si>
    <t>CASE-00854</t>
  </si>
  <si>
    <t>CASE-00855</t>
  </si>
  <si>
    <t>CASE-00856</t>
  </si>
  <si>
    <t>CASE-00857</t>
  </si>
  <si>
    <t>CASE-00858</t>
  </si>
  <si>
    <t>CASE-00859</t>
  </si>
  <si>
    <t>CASE-00860</t>
  </si>
  <si>
    <t>CASE-00861</t>
  </si>
  <si>
    <t>CASE-00862</t>
  </si>
  <si>
    <t>CASE-00863</t>
  </si>
  <si>
    <t>CASE-00864</t>
  </si>
  <si>
    <t>CASE-00865</t>
  </si>
  <si>
    <t>CASE-00866</t>
  </si>
  <si>
    <t>CASE-00867</t>
  </si>
  <si>
    <t>CASE-00868</t>
  </si>
  <si>
    <t>CASE-00869</t>
  </si>
  <si>
    <t>CASE-00870</t>
  </si>
  <si>
    <t>CASE-00871</t>
  </si>
  <si>
    <t>CASE-00872</t>
  </si>
  <si>
    <t>CASE-00873</t>
  </si>
  <si>
    <t>CASE-00874</t>
  </si>
  <si>
    <t>CASE-00875</t>
  </si>
  <si>
    <t>CASE-00876</t>
  </si>
  <si>
    <t>CASE-00877</t>
  </si>
  <si>
    <t>CASE-00878</t>
  </si>
  <si>
    <t>CASE-00879</t>
  </si>
  <si>
    <t>CASE-00880</t>
  </si>
  <si>
    <t>CASE-00881</t>
  </si>
  <si>
    <t>CASE-00882</t>
  </si>
  <si>
    <t>CASE-00883</t>
  </si>
  <si>
    <t>CASE-00884</t>
  </si>
  <si>
    <t>CASE-00885</t>
  </si>
  <si>
    <t>CASE-00886</t>
  </si>
  <si>
    <t>CASE-00887</t>
  </si>
  <si>
    <t>CASE-00888</t>
  </si>
  <si>
    <t>CASE-00889</t>
  </si>
  <si>
    <t>CASE-00890</t>
  </si>
  <si>
    <t>CASE-00891</t>
  </si>
  <si>
    <t>CASE-00892</t>
  </si>
  <si>
    <t>CASE-00893</t>
  </si>
  <si>
    <t>CASE-00894</t>
  </si>
  <si>
    <t>CASE-00895</t>
  </si>
  <si>
    <t>CASE-00896</t>
  </si>
  <si>
    <t>CASE-00897</t>
  </si>
  <si>
    <t>CASE-00898</t>
  </si>
  <si>
    <t>CASE-00899</t>
  </si>
  <si>
    <t>CASE-00900</t>
  </si>
  <si>
    <t>CASE-00901</t>
  </si>
  <si>
    <t>CASE-00902</t>
  </si>
  <si>
    <t>CASE-00903</t>
  </si>
  <si>
    <t>CASE-00904</t>
  </si>
  <si>
    <t>CASE-00905</t>
  </si>
  <si>
    <t>CASE-00906</t>
  </si>
  <si>
    <t>CASE-00907</t>
  </si>
  <si>
    <t>CASE-00908</t>
  </si>
  <si>
    <t>CASE-00909</t>
  </si>
  <si>
    <t>CASE-00910</t>
  </si>
  <si>
    <t>CASE-00911</t>
  </si>
  <si>
    <t>CASE-00912</t>
  </si>
  <si>
    <t>CASE-00913</t>
  </si>
  <si>
    <t>CASE-00914</t>
  </si>
  <si>
    <t>CASE-00915</t>
  </si>
  <si>
    <t>CASE-00916</t>
  </si>
  <si>
    <t>CASE-00917</t>
  </si>
  <si>
    <t>CASE-00918</t>
  </si>
  <si>
    <t>CASE-00919</t>
  </si>
  <si>
    <t>CASE-00920</t>
  </si>
  <si>
    <t>CASE-00921</t>
  </si>
  <si>
    <t>CASE-00922</t>
  </si>
  <si>
    <t>CASE-00923</t>
  </si>
  <si>
    <t>CASE-00924</t>
  </si>
  <si>
    <t>CASE-00925</t>
  </si>
  <si>
    <t>CASE-00926</t>
  </si>
  <si>
    <t>CASE-00927</t>
  </si>
  <si>
    <t>CASE-00928</t>
  </si>
  <si>
    <t>CASE-00929</t>
  </si>
  <si>
    <t>CASE-00930</t>
  </si>
  <si>
    <t>CASE-00931</t>
  </si>
  <si>
    <t>CASE-00932</t>
  </si>
  <si>
    <t>CASE-00933</t>
  </si>
  <si>
    <t>CASE-00934</t>
  </si>
  <si>
    <t>CASE-00935</t>
  </si>
  <si>
    <t>CASE-00936</t>
  </si>
  <si>
    <t>CASE-00937</t>
  </si>
  <si>
    <t>CASE-00938</t>
  </si>
  <si>
    <t>CASE-00939</t>
  </si>
  <si>
    <t>CASE-00940</t>
  </si>
  <si>
    <t>CASE-00941</t>
  </si>
  <si>
    <t>CASE-00942</t>
  </si>
  <si>
    <t>CASE-00943</t>
  </si>
  <si>
    <t>CASE-00944</t>
  </si>
  <si>
    <t>CASE-00945</t>
  </si>
  <si>
    <t>CASE-00946</t>
  </si>
  <si>
    <t>CASE-00947</t>
  </si>
  <si>
    <t>CASE-00948</t>
  </si>
  <si>
    <t>CASE-00949</t>
  </si>
  <si>
    <t>CASE-00950</t>
  </si>
  <si>
    <t>CASE-00951</t>
  </si>
  <si>
    <t>CASE-00952</t>
  </si>
  <si>
    <t>CASE-00953</t>
  </si>
  <si>
    <t>CASE-00954</t>
  </si>
  <si>
    <t>CASE-00955</t>
  </si>
  <si>
    <t>CASE-00956</t>
  </si>
  <si>
    <t>CASE-00957</t>
  </si>
  <si>
    <t>CASE-00958</t>
  </si>
  <si>
    <t>CASE-00959</t>
  </si>
  <si>
    <t>CASE-00960</t>
  </si>
  <si>
    <t>CASE-00961</t>
  </si>
  <si>
    <t>CASE-00962</t>
  </si>
  <si>
    <t>CASE-00963</t>
  </si>
  <si>
    <t>CASE-00964</t>
  </si>
  <si>
    <t>CASE-00965</t>
  </si>
  <si>
    <t>CASE-00966</t>
  </si>
  <si>
    <t>CASE-00967</t>
  </si>
  <si>
    <t>CASE-00968</t>
  </si>
  <si>
    <t>CASE-00969</t>
  </si>
  <si>
    <t>CASE-00970</t>
  </si>
  <si>
    <t>CASE-00971</t>
  </si>
  <si>
    <t>CASE-00972</t>
  </si>
  <si>
    <t>CASE-00973</t>
  </si>
  <si>
    <t>CASE-00974</t>
  </si>
  <si>
    <t>CASE-00975</t>
  </si>
  <si>
    <t>CASE-00976</t>
  </si>
  <si>
    <t>CASE-00977</t>
  </si>
  <si>
    <t>CASE-00978</t>
  </si>
  <si>
    <t>CASE-00979</t>
  </si>
  <si>
    <t>CASE-00980</t>
  </si>
  <si>
    <t>CASE-00981</t>
  </si>
  <si>
    <t>CASE-00982</t>
  </si>
  <si>
    <t>CASE-00983</t>
  </si>
  <si>
    <t>CASE-00984</t>
  </si>
  <si>
    <t>CASE-00985</t>
  </si>
  <si>
    <t>CASE-00986</t>
  </si>
  <si>
    <t>CASE-00987</t>
  </si>
  <si>
    <t>CASE-00988</t>
  </si>
  <si>
    <t>CASE-00989</t>
  </si>
  <si>
    <t>CASE-00990</t>
  </si>
  <si>
    <t>CASE-00991</t>
  </si>
  <si>
    <t>CASE-00992</t>
  </si>
  <si>
    <t>CASE-00993</t>
  </si>
  <si>
    <t>CASE-00994</t>
  </si>
  <si>
    <t>CASE-00995</t>
  </si>
  <si>
    <t>CASE-00996</t>
  </si>
  <si>
    <t>CASE-00997</t>
  </si>
  <si>
    <t>CASE-00998</t>
  </si>
  <si>
    <t>CASE-00999</t>
  </si>
  <si>
    <t>CASE-01000</t>
  </si>
  <si>
    <t>CASE-01001</t>
  </si>
  <si>
    <t>CASE-01002</t>
  </si>
  <si>
    <t>CASE-01003</t>
  </si>
  <si>
    <t>CASE-01004</t>
  </si>
  <si>
    <t>CASE-01005</t>
  </si>
  <si>
    <t>CASE-01006</t>
  </si>
  <si>
    <t>CASE-01007</t>
  </si>
  <si>
    <t>CASE-01008</t>
  </si>
  <si>
    <t>CASE-01009</t>
  </si>
  <si>
    <t>CASE-01010</t>
  </si>
  <si>
    <t>CASE-01011</t>
  </si>
  <si>
    <t>CASE-01012</t>
  </si>
  <si>
    <t>CASE-01013</t>
  </si>
  <si>
    <t>CASE-01014</t>
  </si>
  <si>
    <t>CASE-01015</t>
  </si>
  <si>
    <t>CASE-01016</t>
  </si>
  <si>
    <t>CASE-01017</t>
  </si>
  <si>
    <t>CASE-01018</t>
  </si>
  <si>
    <t>CASE-01019</t>
  </si>
  <si>
    <t>CASE-01020</t>
  </si>
  <si>
    <t>CASE-01021</t>
  </si>
  <si>
    <t>CASE-01022</t>
  </si>
  <si>
    <t>CASE-01023</t>
  </si>
  <si>
    <t>CASE-01024</t>
  </si>
  <si>
    <t>CASE-01025</t>
  </si>
  <si>
    <t>CASE-01026</t>
  </si>
  <si>
    <t>CASE-01027</t>
  </si>
  <si>
    <t>CASE-01028</t>
  </si>
  <si>
    <t>CASE-01029</t>
  </si>
  <si>
    <t>CASE-01030</t>
  </si>
  <si>
    <t>CASE-01031</t>
  </si>
  <si>
    <t>CASE-01032</t>
  </si>
  <si>
    <t>CASE-01033</t>
  </si>
  <si>
    <t>CASE-01034</t>
  </si>
  <si>
    <t>CASE-01035</t>
  </si>
  <si>
    <t>CASE-01036</t>
  </si>
  <si>
    <t>CASE-01037</t>
  </si>
  <si>
    <t>CASE-01038</t>
  </si>
  <si>
    <t>CASE-01039</t>
  </si>
  <si>
    <t>CASE-01040</t>
  </si>
  <si>
    <t>CASE-01041</t>
  </si>
  <si>
    <t>CASE-01042</t>
  </si>
  <si>
    <t>CASE-01043</t>
  </si>
  <si>
    <t>CASE-01044</t>
  </si>
  <si>
    <t>CASE-01045</t>
  </si>
  <si>
    <t>CASE-01046</t>
  </si>
  <si>
    <t>CASE-01047</t>
  </si>
  <si>
    <t>CASE-01048</t>
  </si>
  <si>
    <t>CASE-01049</t>
  </si>
  <si>
    <t>CASE-01050</t>
  </si>
  <si>
    <t>CASE-01051</t>
  </si>
  <si>
    <t>CASE-01052</t>
  </si>
  <si>
    <t>CASE-01053</t>
  </si>
  <si>
    <t>CASE-01054</t>
  </si>
  <si>
    <t>CASE-01055</t>
  </si>
  <si>
    <t>CASE-01056</t>
  </si>
  <si>
    <t>CASE-01057</t>
  </si>
  <si>
    <t>CASE-01058</t>
  </si>
  <si>
    <t>CASE-01059</t>
  </si>
  <si>
    <t>CASE-01060</t>
  </si>
  <si>
    <t>CASE-01061</t>
  </si>
  <si>
    <t>CASE-01062</t>
  </si>
  <si>
    <t>CASE-01063</t>
  </si>
  <si>
    <t>CASE-01064</t>
  </si>
  <si>
    <t>CASE-01065</t>
  </si>
  <si>
    <t>CASE-01066</t>
  </si>
  <si>
    <t>CASE-01067</t>
  </si>
  <si>
    <t>CASE-01068</t>
  </si>
  <si>
    <t>CASE-01069</t>
  </si>
  <si>
    <t>CASE-01070</t>
  </si>
  <si>
    <t>CASE-01071</t>
  </si>
  <si>
    <t>CASE-01072</t>
  </si>
  <si>
    <t>CASE-01073</t>
  </si>
  <si>
    <t>CASE-01074</t>
  </si>
  <si>
    <t>CASE-01075</t>
  </si>
  <si>
    <t>CASE-01076</t>
  </si>
  <si>
    <t>CASE-01077</t>
  </si>
  <si>
    <t>CASE-01078</t>
  </si>
  <si>
    <t>CASE-01079</t>
  </si>
  <si>
    <t>CASE-01080</t>
  </si>
  <si>
    <t>CASE-01081</t>
  </si>
  <si>
    <t>CASE-01082</t>
  </si>
  <si>
    <t>CASE-01083</t>
  </si>
  <si>
    <t>CASE-01084</t>
  </si>
  <si>
    <t>CASE-01085</t>
  </si>
  <si>
    <t>CASE-01086</t>
  </si>
  <si>
    <t>CASE-01087</t>
  </si>
  <si>
    <t>CASE-01088</t>
  </si>
  <si>
    <t>CASE-01089</t>
  </si>
  <si>
    <t>CASE-01090</t>
  </si>
  <si>
    <t>CASE-01091</t>
  </si>
  <si>
    <t>CASE-01092</t>
  </si>
  <si>
    <t>CASE-01093</t>
  </si>
  <si>
    <t>CASE-01094</t>
  </si>
  <si>
    <t>CASE-01095</t>
  </si>
  <si>
    <t>CASE-01096</t>
  </si>
  <si>
    <t>CASE-01097</t>
  </si>
  <si>
    <t>CASE-01098</t>
  </si>
  <si>
    <t>CASE-01099</t>
  </si>
  <si>
    <t>CASE-01100</t>
  </si>
  <si>
    <t>CASE-01101</t>
  </si>
  <si>
    <t>CASE-01102</t>
  </si>
  <si>
    <t>CASE-01103</t>
  </si>
  <si>
    <t>CASE-01104</t>
  </si>
  <si>
    <t>CASE-01105</t>
  </si>
  <si>
    <t>CASE-01106</t>
  </si>
  <si>
    <t>CASE-01107</t>
  </si>
  <si>
    <t>CASE-01108</t>
  </si>
  <si>
    <t>CASE-01109</t>
  </si>
  <si>
    <t>CASE-01110</t>
  </si>
  <si>
    <t>CASE-01111</t>
  </si>
  <si>
    <t>CASE-01112</t>
  </si>
  <si>
    <t>CASE-01113</t>
  </si>
  <si>
    <t>CASE-01114</t>
  </si>
  <si>
    <t>CASE-01115</t>
  </si>
  <si>
    <t>CASE-01116</t>
  </si>
  <si>
    <t>CASE-01117</t>
  </si>
  <si>
    <t>CASE-01118</t>
  </si>
  <si>
    <t>CASE-01119</t>
  </si>
  <si>
    <t>CASE-01120</t>
  </si>
  <si>
    <t>CASE-01121</t>
  </si>
  <si>
    <t>CASE-01122</t>
  </si>
  <si>
    <t>CASE-01123</t>
  </si>
  <si>
    <t>CASE-01124</t>
  </si>
  <si>
    <t>CASE-01125</t>
  </si>
  <si>
    <t>CASE-01126</t>
  </si>
  <si>
    <t>CASE-01127</t>
  </si>
  <si>
    <t>CASE-01128</t>
  </si>
  <si>
    <t>CASE-01129</t>
  </si>
  <si>
    <t>CASE-01130</t>
  </si>
  <si>
    <t>CASE-01131</t>
  </si>
  <si>
    <t>CASE-01132</t>
  </si>
  <si>
    <t>CASE-01133</t>
  </si>
  <si>
    <t>CASE-01134</t>
  </si>
  <si>
    <t>CASE-01135</t>
  </si>
  <si>
    <t>CASE-01136</t>
  </si>
  <si>
    <t>CASE-01137</t>
  </si>
  <si>
    <t>CASE-01138</t>
  </si>
  <si>
    <t>CASE-01139</t>
  </si>
  <si>
    <t>CASE-01140</t>
  </si>
  <si>
    <t>CASE-01141</t>
  </si>
  <si>
    <t>CASE-01142</t>
  </si>
  <si>
    <t>CASE-01143</t>
  </si>
  <si>
    <t>CASE-01144</t>
  </si>
  <si>
    <t>CASE-01145</t>
  </si>
  <si>
    <t>CASE-01146</t>
  </si>
  <si>
    <t>CASE-01147</t>
  </si>
  <si>
    <t>CASE-01148</t>
  </si>
  <si>
    <t>CASE-01149</t>
  </si>
  <si>
    <t>CASE-01150</t>
  </si>
  <si>
    <t>CASE-01151</t>
  </si>
  <si>
    <t>CASE-01152</t>
  </si>
  <si>
    <t>CASE-01153</t>
  </si>
  <si>
    <t>CASE-01154</t>
  </si>
  <si>
    <t>CASE-01155</t>
  </si>
  <si>
    <t>CASE-01156</t>
  </si>
  <si>
    <t>CASE-01157</t>
  </si>
  <si>
    <t>CASE-01158</t>
  </si>
  <si>
    <t>CASE-01159</t>
  </si>
  <si>
    <t>CASE-01160</t>
  </si>
  <si>
    <t>CASE-01161</t>
  </si>
  <si>
    <t>CASE-01162</t>
  </si>
  <si>
    <t>CASE-01163</t>
  </si>
  <si>
    <t>CASE-01164</t>
  </si>
  <si>
    <t>CASE-01165</t>
  </si>
  <si>
    <t>CASE-01166</t>
  </si>
  <si>
    <t>CASE-01167</t>
  </si>
  <si>
    <t>CASE-01168</t>
  </si>
  <si>
    <t>CASE-01169</t>
  </si>
  <si>
    <t>CASE-01170</t>
  </si>
  <si>
    <t>CASE-01171</t>
  </si>
  <si>
    <t>CASE-01172</t>
  </si>
  <si>
    <t>CASE-01173</t>
  </si>
  <si>
    <t>CASE-01174</t>
  </si>
  <si>
    <t>CASE-01175</t>
  </si>
  <si>
    <t>CASE-01176</t>
  </si>
  <si>
    <t>CASE-01177</t>
  </si>
  <si>
    <t>CASE-01178</t>
  </si>
  <si>
    <t>CASE-01179</t>
  </si>
  <si>
    <t>CASE-01180</t>
  </si>
  <si>
    <t>CASE-01181</t>
  </si>
  <si>
    <t>CASE-01182</t>
  </si>
  <si>
    <t>CASE-01183</t>
  </si>
  <si>
    <t>CASE-01184</t>
  </si>
  <si>
    <t>CASE-01185</t>
  </si>
  <si>
    <t>CASE-01186</t>
  </si>
  <si>
    <t>CASE-01187</t>
  </si>
  <si>
    <t>CASE-01188</t>
  </si>
  <si>
    <t>CASE-01189</t>
  </si>
  <si>
    <t>CASE-01190</t>
  </si>
  <si>
    <t>CASE-01191</t>
  </si>
  <si>
    <t>CASE-01192</t>
  </si>
  <si>
    <t>CASE-01193</t>
  </si>
  <si>
    <t>CASE-01194</t>
  </si>
  <si>
    <t>CASE-01195</t>
  </si>
  <si>
    <t>CASE-01196</t>
  </si>
  <si>
    <t>CASE-01197</t>
  </si>
  <si>
    <t>CASE-01198</t>
  </si>
  <si>
    <t>CASE-01199</t>
  </si>
  <si>
    <t>CASE-01200</t>
  </si>
  <si>
    <t>CASE-01201</t>
  </si>
  <si>
    <t>CASE-01202</t>
  </si>
  <si>
    <t>CASE-01203</t>
  </si>
  <si>
    <t>CASE-01204</t>
  </si>
  <si>
    <t>CASE-01205</t>
  </si>
  <si>
    <t>CASE-01206</t>
  </si>
  <si>
    <t>CASE-01207</t>
  </si>
  <si>
    <t>CASE-01208</t>
  </si>
  <si>
    <t>CASE-01209</t>
  </si>
  <si>
    <t>CASE-01210</t>
  </si>
  <si>
    <t>CASE-01211</t>
  </si>
  <si>
    <t>CASE-01212</t>
  </si>
  <si>
    <t>CASE-01213</t>
  </si>
  <si>
    <t>CASE-01214</t>
  </si>
  <si>
    <t>CASE-01215</t>
  </si>
  <si>
    <t>CASE-01216</t>
  </si>
  <si>
    <t>CASE-01217</t>
  </si>
  <si>
    <t>CASE-01218</t>
  </si>
  <si>
    <t>CASE-01219</t>
  </si>
  <si>
    <t>CASE-01220</t>
  </si>
  <si>
    <t>CASE-01221</t>
  </si>
  <si>
    <t>CASE-01222</t>
  </si>
  <si>
    <t>CASE-01223</t>
  </si>
  <si>
    <t>CASE-01224</t>
  </si>
  <si>
    <t>CASE-01225</t>
  </si>
  <si>
    <t>CASE-01226</t>
  </si>
  <si>
    <t>CASE-01227</t>
  </si>
  <si>
    <t>CASE-01228</t>
  </si>
  <si>
    <t>CASE-01229</t>
  </si>
  <si>
    <t>CASE-01230</t>
  </si>
  <si>
    <t>CASE-01231</t>
  </si>
  <si>
    <t>CASE-01232</t>
  </si>
  <si>
    <t>CASE-01233</t>
  </si>
  <si>
    <t>CASE-01234</t>
  </si>
  <si>
    <t>CASE-01235</t>
  </si>
  <si>
    <t>CASE-01236</t>
  </si>
  <si>
    <t>CASE-01237</t>
  </si>
  <si>
    <t>CASE-01238</t>
  </si>
  <si>
    <t>CASE-01239</t>
  </si>
  <si>
    <t>CASE-01240</t>
  </si>
  <si>
    <t>CASE-01241</t>
  </si>
  <si>
    <t>CASE-01242</t>
  </si>
  <si>
    <t>CASE-01243</t>
  </si>
  <si>
    <t>CASE-01244</t>
  </si>
  <si>
    <t>CASE-01245</t>
  </si>
  <si>
    <t>CASE-01246</t>
  </si>
  <si>
    <t>CASE-01247</t>
  </si>
  <si>
    <t>CASE-01248</t>
  </si>
  <si>
    <t>CASE-01249</t>
  </si>
  <si>
    <t>CASE-01250</t>
  </si>
  <si>
    <t>CASE-01251</t>
  </si>
  <si>
    <t>CASE-01252</t>
  </si>
  <si>
    <t>CASE-01253</t>
  </si>
  <si>
    <t>CASE-01254</t>
  </si>
  <si>
    <t>CASE-01255</t>
  </si>
  <si>
    <t>CASE-01256</t>
  </si>
  <si>
    <t>CASE-01257</t>
  </si>
  <si>
    <t>CASE-01258</t>
  </si>
  <si>
    <t>CASE-01259</t>
  </si>
  <si>
    <t>CASE-01260</t>
  </si>
  <si>
    <t>CASE-01261</t>
  </si>
  <si>
    <t>CASE-01262</t>
  </si>
  <si>
    <t>CASE-01263</t>
  </si>
  <si>
    <t>CASE-01264</t>
  </si>
  <si>
    <t>CASE-01265</t>
  </si>
  <si>
    <t>CASE-01266</t>
  </si>
  <si>
    <t>CASE-01267</t>
  </si>
  <si>
    <t>CASE-01268</t>
  </si>
  <si>
    <t>CASE-01269</t>
  </si>
  <si>
    <t>CASE-01270</t>
  </si>
  <si>
    <t>CASE-01271</t>
  </si>
  <si>
    <t>CASE-01272</t>
  </si>
  <si>
    <t>CASE-01273</t>
  </si>
  <si>
    <t>CASE-01274</t>
  </si>
  <si>
    <t>CASE-01275</t>
  </si>
  <si>
    <t>CASE-01276</t>
  </si>
  <si>
    <t>CASE-01277</t>
  </si>
  <si>
    <t>CASE-01278</t>
  </si>
  <si>
    <t>CASE-01279</t>
  </si>
  <si>
    <t>CASE-01280</t>
  </si>
  <si>
    <t>CASE-01281</t>
  </si>
  <si>
    <t>CASE-01282</t>
  </si>
  <si>
    <t>CASE-01283</t>
  </si>
  <si>
    <t>CASE-01284</t>
  </si>
  <si>
    <t>CASE-01285</t>
  </si>
  <si>
    <t>CASE-01286</t>
  </si>
  <si>
    <t>CASE-01287</t>
  </si>
  <si>
    <t>CASE-01288</t>
  </si>
  <si>
    <t>CASE-01289</t>
  </si>
  <si>
    <t>CASE-01290</t>
  </si>
  <si>
    <t>CASE-01291</t>
  </si>
  <si>
    <t>CASE-01292</t>
  </si>
  <si>
    <t>CASE-01293</t>
  </si>
  <si>
    <t>CASE-01294</t>
  </si>
  <si>
    <t>CASE-01295</t>
  </si>
  <si>
    <t>CASE-01296</t>
  </si>
  <si>
    <t>CASE-01297</t>
  </si>
  <si>
    <t>CASE-01298</t>
  </si>
  <si>
    <t>CASE-01299</t>
  </si>
  <si>
    <t>CASE-01300</t>
  </si>
  <si>
    <t>CASE-01301</t>
  </si>
  <si>
    <t>CASE-01302</t>
  </si>
  <si>
    <t>CASE-01303</t>
  </si>
  <si>
    <t>CASE-01304</t>
  </si>
  <si>
    <t>CASE-01305</t>
  </si>
  <si>
    <t>CASE-01306</t>
  </si>
  <si>
    <t>CASE-01307</t>
  </si>
  <si>
    <t>CASE-01308</t>
  </si>
  <si>
    <t>CASE-01309</t>
  </si>
  <si>
    <t>CASE-01310</t>
  </si>
  <si>
    <t>CASE-01311</t>
  </si>
  <si>
    <t>CASE-01312</t>
  </si>
  <si>
    <t>CASE-01313</t>
  </si>
  <si>
    <t>CASE-01314</t>
  </si>
  <si>
    <t>CASE-01315</t>
  </si>
  <si>
    <t>CASE-01316</t>
  </si>
  <si>
    <t>CASE-01317</t>
  </si>
  <si>
    <t>CASE-01318</t>
  </si>
  <si>
    <t>CASE-01319</t>
  </si>
  <si>
    <t>CASE-01320</t>
  </si>
  <si>
    <t>CASE-01321</t>
  </si>
  <si>
    <t>CASE-01322</t>
  </si>
  <si>
    <t>CASE-01323</t>
  </si>
  <si>
    <t>CASE-01324</t>
  </si>
  <si>
    <t>CASE-01325</t>
  </si>
  <si>
    <t>CASE-01326</t>
  </si>
  <si>
    <t>CASE-01327</t>
  </si>
  <si>
    <t>CASE-01328</t>
  </si>
  <si>
    <t>CASE-01329</t>
  </si>
  <si>
    <t>CASE-01330</t>
  </si>
  <si>
    <t>CASE-01331</t>
  </si>
  <si>
    <t>CASE-01332</t>
  </si>
  <si>
    <t>CASE-01333</t>
  </si>
  <si>
    <t>CASE-01334</t>
  </si>
  <si>
    <t>CASE-01335</t>
  </si>
  <si>
    <t>CASE-01336</t>
  </si>
  <si>
    <t>CASE-01337</t>
  </si>
  <si>
    <t>CASE-01338</t>
  </si>
  <si>
    <t>Eka Anggraini</t>
  </si>
  <si>
    <t>CASE-01339</t>
  </si>
  <si>
    <t>CASE-01340</t>
  </si>
  <si>
    <t>CASE-01341</t>
  </si>
  <si>
    <t>CASE-01342</t>
  </si>
  <si>
    <t>CASE-01343</t>
  </si>
  <si>
    <t>CASE-01344</t>
  </si>
  <si>
    <t>CASE-01345</t>
  </si>
  <si>
    <t>CASE-01346</t>
  </si>
  <si>
    <t>CASE-01347</t>
  </si>
  <si>
    <t>CASE-01348</t>
  </si>
  <si>
    <t>CASE-01349</t>
  </si>
  <si>
    <t>CASE-01350</t>
  </si>
  <si>
    <t>CASE-01351</t>
  </si>
  <si>
    <t>CASE-01352</t>
  </si>
  <si>
    <t>CASE-01353</t>
  </si>
  <si>
    <t>CASE-01354</t>
  </si>
  <si>
    <t>CASE-01355</t>
  </si>
  <si>
    <t>CASE-01356</t>
  </si>
  <si>
    <t>CASE-01357</t>
  </si>
  <si>
    <t>CASE-01358</t>
  </si>
  <si>
    <t>CASE-01359</t>
  </si>
  <si>
    <t>CASE-01360</t>
  </si>
  <si>
    <t>CASE-01361</t>
  </si>
  <si>
    <t>CASE-01362</t>
  </si>
  <si>
    <t>CASE-01363</t>
  </si>
  <si>
    <t>CASE-01364</t>
  </si>
  <si>
    <t>CASE-01365</t>
  </si>
  <si>
    <t>CASE-01366</t>
  </si>
  <si>
    <t>CASE-01367</t>
  </si>
  <si>
    <t>CASE-01368</t>
  </si>
  <si>
    <t>CASE-01369</t>
  </si>
  <si>
    <t>CASE-01370</t>
  </si>
  <si>
    <t>CASE-01371</t>
  </si>
  <si>
    <t>CASE-01372</t>
  </si>
  <si>
    <t>CASE-01373</t>
  </si>
  <si>
    <t>CASE-01374</t>
  </si>
  <si>
    <t>CASE-01375</t>
  </si>
  <si>
    <t>CASE-01376</t>
  </si>
  <si>
    <t>CASE-01377</t>
  </si>
  <si>
    <t>CASE-01378</t>
  </si>
  <si>
    <t>CASE-01379</t>
  </si>
  <si>
    <t>CASE-01380</t>
  </si>
  <si>
    <t>CASE-01381</t>
  </si>
  <si>
    <t>CASE-01382</t>
  </si>
  <si>
    <t>CASE-01383</t>
  </si>
  <si>
    <t>CASE-01384</t>
  </si>
  <si>
    <t>CASE-01385</t>
  </si>
  <si>
    <t>CASE-01386</t>
  </si>
  <si>
    <t>CASE-01387</t>
  </si>
  <si>
    <t>CASE-01388</t>
  </si>
  <si>
    <t>CASE-01389</t>
  </si>
  <si>
    <t>CASE-01390</t>
  </si>
  <si>
    <t>CASE-01391</t>
  </si>
  <si>
    <t>CASE-01392</t>
  </si>
  <si>
    <t>CASE-01393</t>
  </si>
  <si>
    <t>CASE-01394</t>
  </si>
  <si>
    <t>CASE-01395</t>
  </si>
  <si>
    <t>CASE-01396</t>
  </si>
  <si>
    <t>CASE-01397</t>
  </si>
  <si>
    <t>CASE-01398</t>
  </si>
  <si>
    <t>CASE-01399</t>
  </si>
  <si>
    <t>CASE-01400</t>
  </si>
  <si>
    <t>CASE-01401</t>
  </si>
  <si>
    <t>CASE-01402</t>
  </si>
  <si>
    <t>CASE-01403</t>
  </si>
  <si>
    <t>CASE-01404</t>
  </si>
  <si>
    <t>CASE-01405</t>
  </si>
  <si>
    <t>CASE-01406</t>
  </si>
  <si>
    <t>CASE-01407</t>
  </si>
  <si>
    <t>CASE-01408</t>
  </si>
  <si>
    <t>CASE-01409</t>
  </si>
  <si>
    <t>CASE-01410</t>
  </si>
  <si>
    <t>CASE-01411</t>
  </si>
  <si>
    <t>CASE-01412</t>
  </si>
  <si>
    <t>CASE-01413</t>
  </si>
  <si>
    <t>CASE-01414</t>
  </si>
  <si>
    <t>CASE-01415</t>
  </si>
  <si>
    <t>CASE-01416</t>
  </si>
  <si>
    <t>CASE-01417</t>
  </si>
  <si>
    <t>CASE-01418</t>
  </si>
  <si>
    <t>CASE-01419</t>
  </si>
  <si>
    <t>CASE-01420</t>
  </si>
  <si>
    <t>CASE-01421</t>
  </si>
  <si>
    <t>CASE-01422</t>
  </si>
  <si>
    <t>CASE-01423</t>
  </si>
  <si>
    <t>CASE-01424</t>
  </si>
  <si>
    <t>CASE-01425</t>
  </si>
  <si>
    <t>CASE-01426</t>
  </si>
  <si>
    <t>CASE-01427</t>
  </si>
  <si>
    <t>CASE-01428</t>
  </si>
  <si>
    <t>CASE-01429</t>
  </si>
  <si>
    <t>CASE-01430</t>
  </si>
  <si>
    <t>CASE-01431</t>
  </si>
  <si>
    <t>CASE-01432</t>
  </si>
  <si>
    <t>CASE-01433</t>
  </si>
  <si>
    <t>CASE-01434</t>
  </si>
  <si>
    <t>CASE-01435</t>
  </si>
  <si>
    <t>CASE-01436</t>
  </si>
  <si>
    <t>CASE-01437</t>
  </si>
  <si>
    <t>CASE-01438</t>
  </si>
  <si>
    <t>CASE-01439</t>
  </si>
  <si>
    <t>CASE-01440</t>
  </si>
  <si>
    <t>CASE-01441</t>
  </si>
  <si>
    <t>CASE-01442</t>
  </si>
  <si>
    <t>CASE-01443</t>
  </si>
  <si>
    <t>CASE-01444</t>
  </si>
  <si>
    <t>CASE-01445</t>
  </si>
  <si>
    <t>CASE-01446</t>
  </si>
  <si>
    <t>CASE-01447</t>
  </si>
  <si>
    <t>CASE-01448</t>
  </si>
  <si>
    <t>CASE-01449</t>
  </si>
  <si>
    <t>CASE-01450</t>
  </si>
  <si>
    <t>CASE-01451</t>
  </si>
  <si>
    <t>CASE-01452</t>
  </si>
  <si>
    <t>CASE-01453</t>
  </si>
  <si>
    <t>CASE-01454</t>
  </si>
  <si>
    <t>CASE-01455</t>
  </si>
  <si>
    <t>CASE-01456</t>
  </si>
  <si>
    <t>CASE-01457</t>
  </si>
  <si>
    <t>CASE-01458</t>
  </si>
  <si>
    <t>CASE-01459</t>
  </si>
  <si>
    <t>CASE-01460</t>
  </si>
  <si>
    <t>CASE-01461</t>
  </si>
  <si>
    <t>CASE-01462</t>
  </si>
  <si>
    <t>CASE-01463</t>
  </si>
  <si>
    <t>CASE-01464</t>
  </si>
  <si>
    <t>CASE-01465</t>
  </si>
  <si>
    <t>CASE-01466</t>
  </si>
  <si>
    <t>CASE-01467</t>
  </si>
  <si>
    <t>CASE-01468</t>
  </si>
  <si>
    <t>CASE-01469</t>
  </si>
  <si>
    <t>CASE-01470</t>
  </si>
  <si>
    <t>CASE-01471</t>
  </si>
  <si>
    <t>CASE-01472</t>
  </si>
  <si>
    <t>CASE-01473</t>
  </si>
  <si>
    <t>CASE-01474</t>
  </si>
  <si>
    <t>CASE-01475</t>
  </si>
  <si>
    <t>CASE-01476</t>
  </si>
  <si>
    <t>CASE-01477</t>
  </si>
  <si>
    <t>CASE-01478</t>
  </si>
  <si>
    <t>CASE-01479</t>
  </si>
  <si>
    <t>CASE-01480</t>
  </si>
  <si>
    <t>CASE-01481</t>
  </si>
  <si>
    <t>CASE-01482</t>
  </si>
  <si>
    <t>CASE-01483</t>
  </si>
  <si>
    <t>CASE-01484</t>
  </si>
  <si>
    <t>CASE-01485</t>
  </si>
  <si>
    <t>CASE-01486</t>
  </si>
  <si>
    <t>CASE-01487</t>
  </si>
  <si>
    <t>CASE-01488</t>
  </si>
  <si>
    <t>CASE-01489</t>
  </si>
  <si>
    <t>CASE-01490</t>
  </si>
  <si>
    <t>CASE-01491</t>
  </si>
  <si>
    <t>CASE-01492</t>
  </si>
  <si>
    <t>CASE-01493</t>
  </si>
  <si>
    <t>CASE-01494</t>
  </si>
  <si>
    <t>CASE-01495</t>
  </si>
  <si>
    <t>CASE-01496</t>
  </si>
  <si>
    <t>CASE-01497</t>
  </si>
  <si>
    <t>CASE-01498</t>
  </si>
  <si>
    <t>CASE-01499</t>
  </si>
  <si>
    <t>CASE-01500</t>
  </si>
  <si>
    <t>CASE-01501</t>
  </si>
  <si>
    <t>CASE-01502</t>
  </si>
  <si>
    <t>CASE-01503</t>
  </si>
  <si>
    <t>CASE-01504</t>
  </si>
  <si>
    <t>CASE-01505</t>
  </si>
  <si>
    <t>CASE-01506</t>
  </si>
  <si>
    <t>CASE-01507</t>
  </si>
  <si>
    <t>CASE-01508</t>
  </si>
  <si>
    <t>CASE-01509</t>
  </si>
  <si>
    <t>CASE-01510</t>
  </si>
  <si>
    <t>CASE-01511</t>
  </si>
  <si>
    <t>CASE-01512</t>
  </si>
  <si>
    <t>CASE-01513</t>
  </si>
  <si>
    <t>CASE-01514</t>
  </si>
  <si>
    <t>CASE-01515</t>
  </si>
  <si>
    <t>CASE-01516</t>
  </si>
  <si>
    <t>CASE-01517</t>
  </si>
  <si>
    <t>CASE-01518</t>
  </si>
  <si>
    <t>CASE-01519</t>
  </si>
  <si>
    <t>CASE-01520</t>
  </si>
  <si>
    <t>CASE-01521</t>
  </si>
  <si>
    <t>CASE-01522</t>
  </si>
  <si>
    <t>CASE-01523</t>
  </si>
  <si>
    <t>CASE-01524</t>
  </si>
  <si>
    <t>CASE-01525</t>
  </si>
  <si>
    <t>CASE-01526</t>
  </si>
  <si>
    <t>CASE-01527</t>
  </si>
  <si>
    <t>CASE-01528</t>
  </si>
  <si>
    <t>CASE-01529</t>
  </si>
  <si>
    <t>CASE-01530</t>
  </si>
  <si>
    <t>CASE-01531</t>
  </si>
  <si>
    <t>CASE-01532</t>
  </si>
  <si>
    <t>CASE-01533</t>
  </si>
  <si>
    <t>CASE-01534</t>
  </si>
  <si>
    <t>CASE-01535</t>
  </si>
  <si>
    <t>CASE-01536</t>
  </si>
  <si>
    <t>CASE-01537</t>
  </si>
  <si>
    <t>CASE-01538</t>
  </si>
  <si>
    <t>CASE-01539</t>
  </si>
  <si>
    <t>CASE-01540</t>
  </si>
  <si>
    <t>CASE-01541</t>
  </si>
  <si>
    <t>CASE-01542</t>
  </si>
  <si>
    <t>CASE-01543</t>
  </si>
  <si>
    <t>CASE-01544</t>
  </si>
  <si>
    <t>CASE-01545</t>
  </si>
  <si>
    <t>CASE-01546</t>
  </si>
  <si>
    <t>CASE-01547</t>
  </si>
  <si>
    <t>CASE-01548</t>
  </si>
  <si>
    <t>CASE-01549</t>
  </si>
  <si>
    <t>CASE-01550</t>
  </si>
  <si>
    <t>CASE-01551</t>
  </si>
  <si>
    <t>CASE-01552</t>
  </si>
  <si>
    <t>CASE-01553</t>
  </si>
  <si>
    <t>CASE-01554</t>
  </si>
  <si>
    <t>CASE-01555</t>
  </si>
  <si>
    <t>CASE-01556</t>
  </si>
  <si>
    <t>CASE-01557</t>
  </si>
  <si>
    <t>CASE-01558</t>
  </si>
  <si>
    <t>CASE-01559</t>
  </si>
  <si>
    <t>CASE-01560</t>
  </si>
  <si>
    <t>CASE-01561</t>
  </si>
  <si>
    <t>CASE-01562</t>
  </si>
  <si>
    <t>CASE-01563</t>
  </si>
  <si>
    <t>CASE-01564</t>
  </si>
  <si>
    <t>CASE-01565</t>
  </si>
  <si>
    <t>CASE-01566</t>
  </si>
  <si>
    <t>CASE-01567</t>
  </si>
  <si>
    <t>CASE-01568</t>
  </si>
  <si>
    <t>CASE-01569</t>
  </si>
  <si>
    <t>CASE-01570</t>
  </si>
  <si>
    <t>CASE-01571</t>
  </si>
  <si>
    <t>CASE-01572</t>
  </si>
  <si>
    <t>CASE-01573</t>
  </si>
  <si>
    <t>CASE-01574</t>
  </si>
  <si>
    <t>CASE-01575</t>
  </si>
  <si>
    <t>CASE-01576</t>
  </si>
  <si>
    <t>CASE-01577</t>
  </si>
  <si>
    <t>CASE-01578</t>
  </si>
  <si>
    <t>CASE-01579</t>
  </si>
  <si>
    <t>CASE-01580</t>
  </si>
  <si>
    <t>CASE-01581</t>
  </si>
  <si>
    <t>CASE-01582</t>
  </si>
  <si>
    <t>CASE-01583</t>
  </si>
  <si>
    <t>CASE-01584</t>
  </si>
  <si>
    <t>CASE-01585</t>
  </si>
  <si>
    <t>CASE-01586</t>
  </si>
  <si>
    <t>CASE-01587</t>
  </si>
  <si>
    <t>CASE-01588</t>
  </si>
  <si>
    <t>CASE-01589</t>
  </si>
  <si>
    <t>CASE-01590</t>
  </si>
  <si>
    <t>CASE-01591</t>
  </si>
  <si>
    <t>CASE-01592</t>
  </si>
  <si>
    <t>CASE-01593</t>
  </si>
  <si>
    <t>CASE-01594</t>
  </si>
  <si>
    <t>CASE-01595</t>
  </si>
  <si>
    <t>CASE-01596</t>
  </si>
  <si>
    <t>CASE-01597</t>
  </si>
  <si>
    <t>CASE-01598</t>
  </si>
  <si>
    <t>CASE-01599</t>
  </si>
  <si>
    <t>CASE-01600</t>
  </si>
  <si>
    <t>CASE-01601</t>
  </si>
  <si>
    <t>CASE-01602</t>
  </si>
  <si>
    <t>CASE-01603</t>
  </si>
  <si>
    <t>CASE-01604</t>
  </si>
  <si>
    <t>CASE-01605</t>
  </si>
  <si>
    <t>CASE-01606</t>
  </si>
  <si>
    <t>CASE-01607</t>
  </si>
  <si>
    <t>CASE-01608</t>
  </si>
  <si>
    <t>CASE-01609</t>
  </si>
  <si>
    <t>CASE-01610</t>
  </si>
  <si>
    <t>CASE-01611</t>
  </si>
  <si>
    <t>CASE-01612</t>
  </si>
  <si>
    <t>CASE-01613</t>
  </si>
  <si>
    <t>CASE-01614</t>
  </si>
  <si>
    <t>CASE-01615</t>
  </si>
  <si>
    <t>CASE-01616</t>
  </si>
  <si>
    <t>CASE-01617</t>
  </si>
  <si>
    <t>CASE-01618</t>
  </si>
  <si>
    <t>CASE-01619</t>
  </si>
  <si>
    <t>CASE-01620</t>
  </si>
  <si>
    <t>CASE-01621</t>
  </si>
  <si>
    <t>CASE-01622</t>
  </si>
  <si>
    <t>CASE-01623</t>
  </si>
  <si>
    <t>CASE-01624</t>
  </si>
  <si>
    <t>CASE-01625</t>
  </si>
  <si>
    <t>CASE-01626</t>
  </si>
  <si>
    <t>CASE-01627</t>
  </si>
  <si>
    <t>CASE-01628</t>
  </si>
  <si>
    <t>CASE-01629</t>
  </si>
  <si>
    <t>CASE-01630</t>
  </si>
  <si>
    <t>CASE-01631</t>
  </si>
  <si>
    <t>CASE-01632</t>
  </si>
  <si>
    <t>CASE-01633</t>
  </si>
  <si>
    <t>CASE-01634</t>
  </si>
  <si>
    <t>CASE-01635</t>
  </si>
  <si>
    <t>CASE-01636</t>
  </si>
  <si>
    <t>CASE-01637</t>
  </si>
  <si>
    <t>CASE-01638</t>
  </si>
  <si>
    <t>CASE-01639</t>
  </si>
  <si>
    <t>CASE-01640</t>
  </si>
  <si>
    <t>CASE-01641</t>
  </si>
  <si>
    <t>CASE-01642</t>
  </si>
  <si>
    <t>CASE-01643</t>
  </si>
  <si>
    <t>CASE-01644</t>
  </si>
  <si>
    <t>CASE-01645</t>
  </si>
  <si>
    <t>CASE-01646</t>
  </si>
  <si>
    <t>CASE-01647</t>
  </si>
  <si>
    <t>CASE-01648</t>
  </si>
  <si>
    <t>CASE-01649</t>
  </si>
  <si>
    <t>CASE-01650</t>
  </si>
  <si>
    <t>CASE-01651</t>
  </si>
  <si>
    <t>CASE-01652</t>
  </si>
  <si>
    <t>CASE-01653</t>
  </si>
  <si>
    <t>CASE-01654</t>
  </si>
  <si>
    <t>CASE-01655</t>
  </si>
  <si>
    <t>CASE-01656</t>
  </si>
  <si>
    <t>CASE-01657</t>
  </si>
  <si>
    <t>CASE-01658</t>
  </si>
  <si>
    <t>CASE-01659</t>
  </si>
  <si>
    <t>CASE-01660</t>
  </si>
  <si>
    <t>CASE-01661</t>
  </si>
  <si>
    <t>CASE-01662</t>
  </si>
  <si>
    <t>CASE-01663</t>
  </si>
  <si>
    <t>CASE-01664</t>
  </si>
  <si>
    <t>CASE-01665</t>
  </si>
  <si>
    <t>CASE-01666</t>
  </si>
  <si>
    <t>CASE-01667</t>
  </si>
  <si>
    <t>CASE-01668</t>
  </si>
  <si>
    <t>CASE-01669</t>
  </si>
  <si>
    <t>CASE-01670</t>
  </si>
  <si>
    <t>CASE-01671</t>
  </si>
  <si>
    <t>CASE-01672</t>
  </si>
  <si>
    <t>CASE-01673</t>
  </si>
  <si>
    <t>CASE-01674</t>
  </si>
  <si>
    <t>CASE-01675</t>
  </si>
  <si>
    <t>CASE-01676</t>
  </si>
  <si>
    <t>CASE-01677</t>
  </si>
  <si>
    <t>CASE-01678</t>
  </si>
  <si>
    <t>CASE-01679</t>
  </si>
  <si>
    <t>CASE-01680</t>
  </si>
  <si>
    <t>CASE-01681</t>
  </si>
  <si>
    <t>CASE-01682</t>
  </si>
  <si>
    <t>CASE-01683</t>
  </si>
  <si>
    <t>CASE-01684</t>
  </si>
  <si>
    <t>CASE-01685</t>
  </si>
  <si>
    <t>CASE-01686</t>
  </si>
  <si>
    <t>CASE-01687</t>
  </si>
  <si>
    <t>CASE-01688</t>
  </si>
  <si>
    <t>CASE-01689</t>
  </si>
  <si>
    <t>CASE-01690</t>
  </si>
  <si>
    <t>CASE-01691</t>
  </si>
  <si>
    <t>CASE-01692</t>
  </si>
  <si>
    <t>CASE-01693</t>
  </si>
  <si>
    <t>CASE-01694</t>
  </si>
  <si>
    <t>CASE-01695</t>
  </si>
  <si>
    <t>CASE-01696</t>
  </si>
  <si>
    <t>CASE-01697</t>
  </si>
  <si>
    <t>CASE-01698</t>
  </si>
  <si>
    <t>CASE-01699</t>
  </si>
  <si>
    <t>CASE-01700</t>
  </si>
  <si>
    <t>CASE-01701</t>
  </si>
  <si>
    <t>CASE-01702</t>
  </si>
  <si>
    <t>CASE-01703</t>
  </si>
  <si>
    <t>CASE-01704</t>
  </si>
  <si>
    <t>CASE-01705</t>
  </si>
  <si>
    <t>CASE-01706</t>
  </si>
  <si>
    <t>CASE-01707</t>
  </si>
  <si>
    <t>CASE-01708</t>
  </si>
  <si>
    <t>CASE-01709</t>
  </si>
  <si>
    <t>CASE-01710</t>
  </si>
  <si>
    <t>CASE-01711</t>
  </si>
  <si>
    <t>CASE-01712</t>
  </si>
  <si>
    <t>CASE-01713</t>
  </si>
  <si>
    <t>CASE-01714</t>
  </si>
  <si>
    <t>CASE-01715</t>
  </si>
  <si>
    <t>CASE-01716</t>
  </si>
  <si>
    <t>CASE-01717</t>
  </si>
  <si>
    <t>CASE-01718</t>
  </si>
  <si>
    <t>CASE-01719</t>
  </si>
  <si>
    <t>CASE-01720</t>
  </si>
  <si>
    <t>CASE-01721</t>
  </si>
  <si>
    <t>CASE-01722</t>
  </si>
  <si>
    <t>CASE-01723</t>
  </si>
  <si>
    <t>CASE-01724</t>
  </si>
  <si>
    <t>CASE-01725</t>
  </si>
  <si>
    <t>CASE-01726</t>
  </si>
  <si>
    <t>CASE-01727</t>
  </si>
  <si>
    <t>CASE-01728</t>
  </si>
  <si>
    <t>CASE-01729</t>
  </si>
  <si>
    <t>CASE-01730</t>
  </si>
  <si>
    <t>CASE-01731</t>
  </si>
  <si>
    <t>CASE-01732</t>
  </si>
  <si>
    <t>CASE-01733</t>
  </si>
  <si>
    <t>CASE-01734</t>
  </si>
  <si>
    <t>CASE-01735</t>
  </si>
  <si>
    <t>CASE-01736</t>
  </si>
  <si>
    <t>CASE-01737</t>
  </si>
  <si>
    <t>CASE-01738</t>
  </si>
  <si>
    <t>CASE-01739</t>
  </si>
  <si>
    <t>CASE-01740</t>
  </si>
  <si>
    <t>CASE-01741</t>
  </si>
  <si>
    <t>CASE-01742</t>
  </si>
  <si>
    <t>CASE-01743</t>
  </si>
  <si>
    <t>CASE-01744</t>
  </si>
  <si>
    <t>CASE-01745</t>
  </si>
  <si>
    <t>CASE-01746</t>
  </si>
  <si>
    <t>CASE-01747</t>
  </si>
  <si>
    <t>CASE-01748</t>
  </si>
  <si>
    <t>CASE-01749</t>
  </si>
  <si>
    <t>CASE-01750</t>
  </si>
  <si>
    <t>CASE-01751</t>
  </si>
  <si>
    <t>CASE-01752</t>
  </si>
  <si>
    <t>CASE-01753</t>
  </si>
  <si>
    <t>CASE-01754</t>
  </si>
  <si>
    <t>CASE-01755</t>
  </si>
  <si>
    <t>CASE-01756</t>
  </si>
  <si>
    <t>CASE-01757</t>
  </si>
  <si>
    <t>CASE-01758</t>
  </si>
  <si>
    <t>CASE-01759</t>
  </si>
  <si>
    <t>CASE-01760</t>
  </si>
  <si>
    <t>CASE-01761</t>
  </si>
  <si>
    <t>CASE-01762</t>
  </si>
  <si>
    <t>CASE-01763</t>
  </si>
  <si>
    <t>CASE-01764</t>
  </si>
  <si>
    <t>CASE-01765</t>
  </si>
  <si>
    <t>CASE-01766</t>
  </si>
  <si>
    <t>CASE-01767</t>
  </si>
  <si>
    <t>CASE-01768</t>
  </si>
  <si>
    <t>CASE-01769</t>
  </si>
  <si>
    <t>CASE-01770</t>
  </si>
  <si>
    <t>CASE-01771</t>
  </si>
  <si>
    <t>CASE-01772</t>
  </si>
  <si>
    <t>CASE-01773</t>
  </si>
  <si>
    <t>CASE-01774</t>
  </si>
  <si>
    <t>CASE-01775</t>
  </si>
  <si>
    <t>CASE-01776</t>
  </si>
  <si>
    <t>CASE-01777</t>
  </si>
  <si>
    <t>CASE-01778</t>
  </si>
  <si>
    <t>CASE-01779</t>
  </si>
  <si>
    <t>CASE-01780</t>
  </si>
  <si>
    <t>CASE-01781</t>
  </si>
  <si>
    <t>CASE-01782</t>
  </si>
  <si>
    <t>CASE-01783</t>
  </si>
  <si>
    <t>CASE-01784</t>
  </si>
  <si>
    <t>CASE-01785</t>
  </si>
  <si>
    <t>CASE-01786</t>
  </si>
  <si>
    <t>CASE-01787</t>
  </si>
  <si>
    <t>CASE-01788</t>
  </si>
  <si>
    <t>CASE-01789</t>
  </si>
  <si>
    <t>CASE-01790</t>
  </si>
  <si>
    <t>CASE-01791</t>
  </si>
  <si>
    <t>CASE-01792</t>
  </si>
  <si>
    <t>CASE-01793</t>
  </si>
  <si>
    <t>CASE-01794</t>
  </si>
  <si>
    <t>CASE-01795</t>
  </si>
  <si>
    <t>CASE-01796</t>
  </si>
  <si>
    <t>CASE-01797</t>
  </si>
  <si>
    <t>CASE-01798</t>
  </si>
  <si>
    <t>CASE-01799</t>
  </si>
  <si>
    <t>CASE-01800</t>
  </si>
  <si>
    <t>CASE-01801</t>
  </si>
  <si>
    <t>CASE-01802</t>
  </si>
  <si>
    <t>CASE-01803</t>
  </si>
  <si>
    <t>CASE-01804</t>
  </si>
  <si>
    <t>CASE-01805</t>
  </si>
  <si>
    <t>CASE-01806</t>
  </si>
  <si>
    <t>CASE-01807</t>
  </si>
  <si>
    <t>CASE-01808</t>
  </si>
  <si>
    <t>CASE-01809</t>
  </si>
  <si>
    <t>CASE-01810</t>
  </si>
  <si>
    <t>CASE-01811</t>
  </si>
  <si>
    <t>CASE-01812</t>
  </si>
  <si>
    <t>CASE-01813</t>
  </si>
  <si>
    <t>CASE-01814</t>
  </si>
  <si>
    <t>CASE-01815</t>
  </si>
  <si>
    <t>CASE-01816</t>
  </si>
  <si>
    <t>CASE-01817</t>
  </si>
  <si>
    <t>CASE-01818</t>
  </si>
  <si>
    <t>CASE-01819</t>
  </si>
  <si>
    <t>CASE-01820</t>
  </si>
  <si>
    <t>CASE-01821</t>
  </si>
  <si>
    <t>CASE-01822</t>
  </si>
  <si>
    <t>CASE-01823</t>
  </si>
  <si>
    <t>CASE-01824</t>
  </si>
  <si>
    <t>CASE-01825</t>
  </si>
  <si>
    <t>CASE-01826</t>
  </si>
  <si>
    <t>CASE-01827</t>
  </si>
  <si>
    <t>CASE-01828</t>
  </si>
  <si>
    <t>CASE-01829</t>
  </si>
  <si>
    <t>CASE-01830</t>
  </si>
  <si>
    <t>CASE-01831</t>
  </si>
  <si>
    <t>CASE-01832</t>
  </si>
  <si>
    <t>CASE-01833</t>
  </si>
  <si>
    <t>CASE-01834</t>
  </si>
  <si>
    <t>CASE-01835</t>
  </si>
  <si>
    <t>CASE-01836</t>
  </si>
  <si>
    <t>CASE-01837</t>
  </si>
  <si>
    <t>CASE-01838</t>
  </si>
  <si>
    <t>CASE-01839</t>
  </si>
  <si>
    <t>CASE-01840</t>
  </si>
  <si>
    <t>CASE-01841</t>
  </si>
  <si>
    <t>CASE-01842</t>
  </si>
  <si>
    <t>CASE-01843</t>
  </si>
  <si>
    <t>CASE-01844</t>
  </si>
  <si>
    <t>CASE-01845</t>
  </si>
  <si>
    <t>CASE-01846</t>
  </si>
  <si>
    <t>CASE-01847</t>
  </si>
  <si>
    <t>CASE-01848</t>
  </si>
  <si>
    <t>CASE-01849</t>
  </si>
  <si>
    <t>CASE-01850</t>
  </si>
  <si>
    <t>CASE-01851</t>
  </si>
  <si>
    <t>CASE-01852</t>
  </si>
  <si>
    <t>CASE-01853</t>
  </si>
  <si>
    <t>CASE-01854</t>
  </si>
  <si>
    <t>CASE-01855</t>
  </si>
  <si>
    <t>CASE-01856</t>
  </si>
  <si>
    <t>CASE-01857</t>
  </si>
  <si>
    <t>CASE-01858</t>
  </si>
  <si>
    <t>CASE-01859</t>
  </si>
  <si>
    <t>CASE-01860</t>
  </si>
  <si>
    <t>CASE-01861</t>
  </si>
  <si>
    <t>CASE-01862</t>
  </si>
  <si>
    <t>CASE-01863</t>
  </si>
  <si>
    <t>CASE-01864</t>
  </si>
  <si>
    <t>CASE-01865</t>
  </si>
  <si>
    <t>CASE-01866</t>
  </si>
  <si>
    <t>CASE-01867</t>
  </si>
  <si>
    <t>CASE-01868</t>
  </si>
  <si>
    <t>CASE-01869</t>
  </si>
  <si>
    <t>CASE-01870</t>
  </si>
  <si>
    <t>CASE-01871</t>
  </si>
  <si>
    <t>CASE-01872</t>
  </si>
  <si>
    <t>CASE-01873</t>
  </si>
  <si>
    <t>CASE-01874</t>
  </si>
  <si>
    <t>CASE-01875</t>
  </si>
  <si>
    <t>CASE-01876</t>
  </si>
  <si>
    <t>CASE-01877</t>
  </si>
  <si>
    <t>CASE-01878</t>
  </si>
  <si>
    <t>CASE-01879</t>
  </si>
  <si>
    <t>CASE-01880</t>
  </si>
  <si>
    <t>CASE-01881</t>
  </si>
  <si>
    <t>CASE-01882</t>
  </si>
  <si>
    <t>CASE-01883</t>
  </si>
  <si>
    <t>CASE-01884</t>
  </si>
  <si>
    <t>CASE-01885</t>
  </si>
  <si>
    <t>CASE-01886</t>
  </si>
  <si>
    <t>CASE-01887</t>
  </si>
  <si>
    <t>CASE-01888</t>
  </si>
  <si>
    <t>CASE-01889</t>
  </si>
  <si>
    <t>CASE-01890</t>
  </si>
  <si>
    <t>CASE-01891</t>
  </si>
  <si>
    <t>CASE-01892</t>
  </si>
  <si>
    <t>CASE-01893</t>
  </si>
  <si>
    <t>CASE-01894</t>
  </si>
  <si>
    <t>CASE-01895</t>
  </si>
  <si>
    <t>CASE-01896</t>
  </si>
  <si>
    <t>CASE-01897</t>
  </si>
  <si>
    <t>CASE-01898</t>
  </si>
  <si>
    <t>CASE-01899</t>
  </si>
  <si>
    <t>CASE-01900</t>
  </si>
  <si>
    <t>CASE-01901</t>
  </si>
  <si>
    <t>CASE-01902</t>
  </si>
  <si>
    <t>CASE-01903</t>
  </si>
  <si>
    <t>CASE-01904</t>
  </si>
  <si>
    <t>CASE-01905</t>
  </si>
  <si>
    <t>CASE-01906</t>
  </si>
  <si>
    <t>CASE-01907</t>
  </si>
  <si>
    <t>CASE-01908</t>
  </si>
  <si>
    <t>CASE-01909</t>
  </si>
  <si>
    <t>CASE-01910</t>
  </si>
  <si>
    <t>CASE-01911</t>
  </si>
  <si>
    <t>CASE-01912</t>
  </si>
  <si>
    <t>CASE-01913</t>
  </si>
  <si>
    <t>CASE-01914</t>
  </si>
  <si>
    <t>CASE-01915</t>
  </si>
  <si>
    <t>CASE-01916</t>
  </si>
  <si>
    <t>CASE-01917</t>
  </si>
  <si>
    <t>CASE-01918</t>
  </si>
  <si>
    <t>CASE-01919</t>
  </si>
  <si>
    <t>CASE-01920</t>
  </si>
  <si>
    <t>CASE-01921</t>
  </si>
  <si>
    <t>CASE-01922</t>
  </si>
  <si>
    <t>CASE-01923</t>
  </si>
  <si>
    <t>CASE-01924</t>
  </si>
  <si>
    <t>CASE-01925</t>
  </si>
  <si>
    <t>CASE-01926</t>
  </si>
  <si>
    <t>CASE-01927</t>
  </si>
  <si>
    <t>CASE-01928</t>
  </si>
  <si>
    <t>CASE-01929</t>
  </si>
  <si>
    <t>CASE-01930</t>
  </si>
  <si>
    <t>CASE-01931</t>
  </si>
  <si>
    <t>CASE-01932</t>
  </si>
  <si>
    <t>CASE-01933</t>
  </si>
  <si>
    <t>CASE-01934</t>
  </si>
  <si>
    <t>CASE-01935</t>
  </si>
  <si>
    <t>CASE-01936</t>
  </si>
  <si>
    <t>CASE-01937</t>
  </si>
  <si>
    <t>CASE-01938</t>
  </si>
  <si>
    <t>CASE-01939</t>
  </si>
  <si>
    <t>CASE-01940</t>
  </si>
  <si>
    <t>CASE-01941</t>
  </si>
  <si>
    <t>CASE-01942</t>
  </si>
  <si>
    <t>CASE-01943</t>
  </si>
  <si>
    <t>CASE-01944</t>
  </si>
  <si>
    <t>CASE-01945</t>
  </si>
  <si>
    <t>CASE-01946</t>
  </si>
  <si>
    <t>CASE-01947</t>
  </si>
  <si>
    <t>CASE-01948</t>
  </si>
  <si>
    <t>CASE-01949</t>
  </si>
  <si>
    <t>CASE-01950</t>
  </si>
  <si>
    <t>CASE-01951</t>
  </si>
  <si>
    <t>CASE-01952</t>
  </si>
  <si>
    <t>CASE-01953</t>
  </si>
  <si>
    <t>CASE-01954</t>
  </si>
  <si>
    <t>CASE-01955</t>
  </si>
  <si>
    <t>CASE-01956</t>
  </si>
  <si>
    <t>CASE-01957</t>
  </si>
  <si>
    <t>CASE-01958</t>
  </si>
  <si>
    <t>CASE-01959</t>
  </si>
  <si>
    <t>CASE-01960</t>
  </si>
  <si>
    <t>CASE-01961</t>
  </si>
  <si>
    <t>CASE-01962</t>
  </si>
  <si>
    <t>CASE-01963</t>
  </si>
  <si>
    <t>CASE-01964</t>
  </si>
  <si>
    <t>CASE-01965</t>
  </si>
  <si>
    <t>CASE-01966</t>
  </si>
  <si>
    <t>CASE-01967</t>
  </si>
  <si>
    <t>CASE-01968</t>
  </si>
  <si>
    <t>CASE-01969</t>
  </si>
  <si>
    <t>CASE-01970</t>
  </si>
  <si>
    <t>CASE-01971</t>
  </si>
  <si>
    <t>CASE-01972</t>
  </si>
  <si>
    <t>CASE-01973</t>
  </si>
  <si>
    <t>CASE-01974</t>
  </si>
  <si>
    <t>CASE-01975</t>
  </si>
  <si>
    <t>CASE-01976</t>
  </si>
  <si>
    <t>CASE-01977</t>
  </si>
  <si>
    <t>CASE-01978</t>
  </si>
  <si>
    <t>CASE-01979</t>
  </si>
  <si>
    <t>CASE-01980</t>
  </si>
  <si>
    <t>CASE-01981</t>
  </si>
  <si>
    <t>CASE-01982</t>
  </si>
  <si>
    <t>CASE-01983</t>
  </si>
  <si>
    <t>CASE-01984</t>
  </si>
  <si>
    <t>CASE-01985</t>
  </si>
  <si>
    <t>CASE-01986</t>
  </si>
  <si>
    <t>CASE-01987</t>
  </si>
  <si>
    <t>CASE-01988</t>
  </si>
  <si>
    <t>CASE-01989</t>
  </si>
  <si>
    <t>CASE-01990</t>
  </si>
  <si>
    <t>CASE-01991</t>
  </si>
  <si>
    <t>CASE-01992</t>
  </si>
  <si>
    <t>CASE-01993</t>
  </si>
  <si>
    <t>CASE-01994</t>
  </si>
  <si>
    <t>CASE-01995</t>
  </si>
  <si>
    <t>CASE-01996</t>
  </si>
  <si>
    <t>CASE-01997</t>
  </si>
  <si>
    <t>CASE-01998</t>
  </si>
  <si>
    <t>CASE-01999</t>
  </si>
  <si>
    <t>CASE-02000</t>
  </si>
  <si>
    <t>CASE-02001</t>
  </si>
  <si>
    <t>CASE-02002</t>
  </si>
  <si>
    <t>CASE-02003</t>
  </si>
  <si>
    <t>CASE-02004</t>
  </si>
  <si>
    <t>CASE-02005</t>
  </si>
  <si>
    <t>CASE-02006</t>
  </si>
  <si>
    <t>CASE-02007</t>
  </si>
  <si>
    <t>CASE-02008</t>
  </si>
  <si>
    <t>CASE-02009</t>
  </si>
  <si>
    <t>CASE-02010</t>
  </si>
  <si>
    <t>CASE-02011</t>
  </si>
  <si>
    <t>CASE-02012</t>
  </si>
  <si>
    <t>CASE-02013</t>
  </si>
  <si>
    <t>CASE-02014</t>
  </si>
  <si>
    <t>CASE-02015</t>
  </si>
  <si>
    <t>CASE-02016</t>
  </si>
  <si>
    <t>CASE-02017</t>
  </si>
  <si>
    <t>CASE-02018</t>
  </si>
  <si>
    <t>CASE-02019</t>
  </si>
  <si>
    <t>CASE-02020</t>
  </si>
  <si>
    <t>CASE-02021</t>
  </si>
  <si>
    <t>CASE-02022</t>
  </si>
  <si>
    <t>CASE-02023</t>
  </si>
  <si>
    <t>CASE-02024</t>
  </si>
  <si>
    <t>CASE-02025</t>
  </si>
  <si>
    <t>CASE-02026</t>
  </si>
  <si>
    <t>CASE-02027</t>
  </si>
  <si>
    <t>CASE-02028</t>
  </si>
  <si>
    <t>CASE-02029</t>
  </si>
  <si>
    <t>CASE-02030</t>
  </si>
  <si>
    <t>CASE-02031</t>
  </si>
  <si>
    <t>CASE-02032</t>
  </si>
  <si>
    <t>CASE-02033</t>
  </si>
  <si>
    <t>CASE-02034</t>
  </si>
  <si>
    <t>CASE-02035</t>
  </si>
  <si>
    <t>CASE-02036</t>
  </si>
  <si>
    <t>CASE-02037</t>
  </si>
  <si>
    <t>CASE-02038</t>
  </si>
  <si>
    <t>CASE-02039</t>
  </si>
  <si>
    <t>CASE-02040</t>
  </si>
  <si>
    <t>CASE-02041</t>
  </si>
  <si>
    <t>CASE-02042</t>
  </si>
  <si>
    <t>CASE-02043</t>
  </si>
  <si>
    <t>CASE-02044</t>
  </si>
  <si>
    <t>CASE-02045</t>
  </si>
  <si>
    <t>CASE-02046</t>
  </si>
  <si>
    <t>CASE-02047</t>
  </si>
  <si>
    <t>CASE-02048</t>
  </si>
  <si>
    <t>CASE-02049</t>
  </si>
  <si>
    <t>CASE-02050</t>
  </si>
  <si>
    <t>CASE-02051</t>
  </si>
  <si>
    <t>CASE-02052</t>
  </si>
  <si>
    <t>CASE-02053</t>
  </si>
  <si>
    <t>CASE-02054</t>
  </si>
  <si>
    <t>CASE-02055</t>
  </si>
  <si>
    <t>CASE-02056</t>
  </si>
  <si>
    <t>CASE-02057</t>
  </si>
  <si>
    <t>CASE-02058</t>
  </si>
  <si>
    <t>CASE-02059</t>
  </si>
  <si>
    <t>CASE-02060</t>
  </si>
  <si>
    <t>CASE-02061</t>
  </si>
  <si>
    <t>CASE-02062</t>
  </si>
  <si>
    <t>CASE-02063</t>
  </si>
  <si>
    <t>CASE-02064</t>
  </si>
  <si>
    <t>CASE-02065</t>
  </si>
  <si>
    <t>CASE-02066</t>
  </si>
  <si>
    <t>CASE-02067</t>
  </si>
  <si>
    <t>CASE-02068</t>
  </si>
  <si>
    <t>CASE-02069</t>
  </si>
  <si>
    <t>CASE-02070</t>
  </si>
  <si>
    <t>CASE-02071</t>
  </si>
  <si>
    <t>CASE-02072</t>
  </si>
  <si>
    <t>CASE-02073</t>
  </si>
  <si>
    <t>CASE-02074</t>
  </si>
  <si>
    <t>CASE-02075</t>
  </si>
  <si>
    <t>CASE-02076</t>
  </si>
  <si>
    <t>CASE-02077</t>
  </si>
  <si>
    <t>CASE-02078</t>
  </si>
  <si>
    <t>CASE-02079</t>
  </si>
  <si>
    <t>CASE-02080</t>
  </si>
  <si>
    <t>CASE-02081</t>
  </si>
  <si>
    <t>CASE-02082</t>
  </si>
  <si>
    <t>CASE-02083</t>
  </si>
  <si>
    <t>CASE-02084</t>
  </si>
  <si>
    <t>CASE-02085</t>
  </si>
  <si>
    <t>CASE-02086</t>
  </si>
  <si>
    <t>CASE-02087</t>
  </si>
  <si>
    <t>CASE-02088</t>
  </si>
  <si>
    <t>CASE-02089</t>
  </si>
  <si>
    <t>CASE-02090</t>
  </si>
  <si>
    <t>CASE-02091</t>
  </si>
  <si>
    <t>CASE-02092</t>
  </si>
  <si>
    <t>CASE-02093</t>
  </si>
  <si>
    <t>CASE-02094</t>
  </si>
  <si>
    <t>CASE-02095</t>
  </si>
  <si>
    <t>CASE-02096</t>
  </si>
  <si>
    <t>CASE-02097</t>
  </si>
  <si>
    <t>CASE-02098</t>
  </si>
  <si>
    <t>CASE-02099</t>
  </si>
  <si>
    <t>CASE-02100</t>
  </si>
  <si>
    <t>CASE-02101</t>
  </si>
  <si>
    <t>CASE-02102</t>
  </si>
  <si>
    <t>CASE-02103</t>
  </si>
  <si>
    <t>CASE-02104</t>
  </si>
  <si>
    <t>CASE-02105</t>
  </si>
  <si>
    <t>CASE-02106</t>
  </si>
  <si>
    <t>CASE-02107</t>
  </si>
  <si>
    <t>CASE-02108</t>
  </si>
  <si>
    <t>CASE-02109</t>
  </si>
  <si>
    <t>CASE-02110</t>
  </si>
  <si>
    <t>CASE-02111</t>
  </si>
  <si>
    <t>CASE-02112</t>
  </si>
  <si>
    <t>CASE-02113</t>
  </si>
  <si>
    <t>CASE-02114</t>
  </si>
  <si>
    <t>CASE-02115</t>
  </si>
  <si>
    <t>CASE-02116</t>
  </si>
  <si>
    <t>CASE-02117</t>
  </si>
  <si>
    <t>CASE-02118</t>
  </si>
  <si>
    <t>CASE-02119</t>
  </si>
  <si>
    <t>CASE-02120</t>
  </si>
  <si>
    <t>CASE-02121</t>
  </si>
  <si>
    <t>CASE-02122</t>
  </si>
  <si>
    <t>CASE-02123</t>
  </si>
  <si>
    <t>CASE-02124</t>
  </si>
  <si>
    <t>CASE-02125</t>
  </si>
  <si>
    <t>CASE-02126</t>
  </si>
  <si>
    <t>CASE-02127</t>
  </si>
  <si>
    <t>CASE-02128</t>
  </si>
  <si>
    <t>CASE-02129</t>
  </si>
  <si>
    <t>CASE-02130</t>
  </si>
  <si>
    <t>CASE-02131</t>
  </si>
  <si>
    <t>CASE-02132</t>
  </si>
  <si>
    <t>CASE-02133</t>
  </si>
  <si>
    <t>CASE-02134</t>
  </si>
  <si>
    <t>CASE-02135</t>
  </si>
  <si>
    <t>CASE-02136</t>
  </si>
  <si>
    <t>CASE-02137</t>
  </si>
  <si>
    <t>CASE-02138</t>
  </si>
  <si>
    <t>CASE-02139</t>
  </si>
  <si>
    <t>CASE-02140</t>
  </si>
  <si>
    <t>CASE-02141</t>
  </si>
  <si>
    <t>CASE-02142</t>
  </si>
  <si>
    <t>CASE-02143</t>
  </si>
  <si>
    <t>CASE-02144</t>
  </si>
  <si>
    <t>CASE-02145</t>
  </si>
  <si>
    <t>CASE-02146</t>
  </si>
  <si>
    <t>CASE-02147</t>
  </si>
  <si>
    <t>CASE-02148</t>
  </si>
  <si>
    <t>CASE-02149</t>
  </si>
  <si>
    <t>CASE-02150</t>
  </si>
  <si>
    <t>CASE-02151</t>
  </si>
  <si>
    <t>CASE-02152</t>
  </si>
  <si>
    <t>CASE-02153</t>
  </si>
  <si>
    <t>CASE-02154</t>
  </si>
  <si>
    <t>CASE-02155</t>
  </si>
  <si>
    <t>CASE-02156</t>
  </si>
  <si>
    <t>CASE-02157</t>
  </si>
  <si>
    <t>CASE-02158</t>
  </si>
  <si>
    <t>CASE-02159</t>
  </si>
  <si>
    <t>CASE-02160</t>
  </si>
  <si>
    <t>CASE-02161</t>
  </si>
  <si>
    <t>CASE-02162</t>
  </si>
  <si>
    <t>CASE-02163</t>
  </si>
  <si>
    <t>CASE-02164</t>
  </si>
  <si>
    <t>CASE-02165</t>
  </si>
  <si>
    <t>CASE-02166</t>
  </si>
  <si>
    <t>CASE-02167</t>
  </si>
  <si>
    <t>CASE-02168</t>
  </si>
  <si>
    <t>CASE-02169</t>
  </si>
  <si>
    <t>CASE-02170</t>
  </si>
  <si>
    <t>CASE-02171</t>
  </si>
  <si>
    <t>CASE-02172</t>
  </si>
  <si>
    <t>CASE-02173</t>
  </si>
  <si>
    <t>CASE-02174</t>
  </si>
  <si>
    <t>CASE-02175</t>
  </si>
  <si>
    <t>CASE-02176</t>
  </si>
  <si>
    <t>CASE-02177</t>
  </si>
  <si>
    <t>CASE-02178</t>
  </si>
  <si>
    <t>CASE-02179</t>
  </si>
  <si>
    <t>CASE-02180</t>
  </si>
  <si>
    <t>CASE-02181</t>
  </si>
  <si>
    <t>CASE-02182</t>
  </si>
  <si>
    <t>CASE-02183</t>
  </si>
  <si>
    <t>CASE-02184</t>
  </si>
  <si>
    <t>CASE-02185</t>
  </si>
  <si>
    <t>CASE-02186</t>
  </si>
  <si>
    <t>CASE-02187</t>
  </si>
  <si>
    <t>CASE-02188</t>
  </si>
  <si>
    <t>CASE-02189</t>
  </si>
  <si>
    <t>CASE-02190</t>
  </si>
  <si>
    <t>CASE-02191</t>
  </si>
  <si>
    <t>CASE-02192</t>
  </si>
  <si>
    <t>CASE-02193</t>
  </si>
  <si>
    <t>CASE-02194</t>
  </si>
  <si>
    <t>CASE-02195</t>
  </si>
  <si>
    <t>CASE-02196</t>
  </si>
  <si>
    <t>CASE-02197</t>
  </si>
  <si>
    <t>CASE-02198</t>
  </si>
  <si>
    <t>CASE-02199</t>
  </si>
  <si>
    <t>CASE-02200</t>
  </si>
  <si>
    <t>CASE-02201</t>
  </si>
  <si>
    <t>CASE-02202</t>
  </si>
  <si>
    <t>CASE-02203</t>
  </si>
  <si>
    <t>CASE-02204</t>
  </si>
  <si>
    <t>CASE-02205</t>
  </si>
  <si>
    <t>CASE-02206</t>
  </si>
  <si>
    <t>CASE-02207</t>
  </si>
  <si>
    <t>CASE-02208</t>
  </si>
  <si>
    <t>CASE-02209</t>
  </si>
  <si>
    <t>CASE-02210</t>
  </si>
  <si>
    <t>CASE-02211</t>
  </si>
  <si>
    <t>CASE-02212</t>
  </si>
  <si>
    <t>CASE-02213</t>
  </si>
  <si>
    <t>CASE-02214</t>
  </si>
  <si>
    <t>CASE-02215</t>
  </si>
  <si>
    <t>CASE-02216</t>
  </si>
  <si>
    <t>CASE-02217</t>
  </si>
  <si>
    <t>CASE-02218</t>
  </si>
  <si>
    <t>CASE-02219</t>
  </si>
  <si>
    <t>CASE-02220</t>
  </si>
  <si>
    <t>CASE-02221</t>
  </si>
  <si>
    <t>CASE-02222</t>
  </si>
  <si>
    <t>CASE-02223</t>
  </si>
  <si>
    <t>CASE-02224</t>
  </si>
  <si>
    <t>CASE-02225</t>
  </si>
  <si>
    <t>CASE-02226</t>
  </si>
  <si>
    <t>CASE-02227</t>
  </si>
  <si>
    <t>CASE-02228</t>
  </si>
  <si>
    <t>CASE-02229</t>
  </si>
  <si>
    <t>CASE-02230</t>
  </si>
  <si>
    <t>CASE-02231</t>
  </si>
  <si>
    <t>CASE-02232</t>
  </si>
  <si>
    <t>CASE-02233</t>
  </si>
  <si>
    <t>CASE-02234</t>
  </si>
  <si>
    <t>CASE-02235</t>
  </si>
  <si>
    <t>CASE-02236</t>
  </si>
  <si>
    <t>CASE-02237</t>
  </si>
  <si>
    <t>CASE-02238</t>
  </si>
  <si>
    <t>CASE-02239</t>
  </si>
  <si>
    <t>CASE-02240</t>
  </si>
  <si>
    <t>CASE-02241</t>
  </si>
  <si>
    <t>CASE-02242</t>
  </si>
  <si>
    <t>CASE-02243</t>
  </si>
  <si>
    <t>CASE-02244</t>
  </si>
  <si>
    <t>CASE-02245</t>
  </si>
  <si>
    <t>CASE-02246</t>
  </si>
  <si>
    <t>CASE-02247</t>
  </si>
  <si>
    <t>CASE-02248</t>
  </si>
  <si>
    <t>CASE-02249</t>
  </si>
  <si>
    <t>CASE-02250</t>
  </si>
  <si>
    <t>CASE-02251</t>
  </si>
  <si>
    <t>CASE-02252</t>
  </si>
  <si>
    <t>CASE-02253</t>
  </si>
  <si>
    <t>CASE-02254</t>
  </si>
  <si>
    <t>CASE-02255</t>
  </si>
  <si>
    <t>CASE-02256</t>
  </si>
  <si>
    <t>CASE-02257</t>
  </si>
  <si>
    <t>CASE-02258</t>
  </si>
  <si>
    <t>CASE-02259</t>
  </si>
  <si>
    <t>CASE-02260</t>
  </si>
  <si>
    <t>CASE-02261</t>
  </si>
  <si>
    <t>CASE-02262</t>
  </si>
  <si>
    <t>CASE-02263</t>
  </si>
  <si>
    <t>CASE-02264</t>
  </si>
  <si>
    <t>CASE-02265</t>
  </si>
  <si>
    <t>CASE-02266</t>
  </si>
  <si>
    <t>CASE-02267</t>
  </si>
  <si>
    <t>CASE-02268</t>
  </si>
  <si>
    <t>CASE-02269</t>
  </si>
  <si>
    <t>CASE-02270</t>
  </si>
  <si>
    <t>CASE-02271</t>
  </si>
  <si>
    <t>CASE-02272</t>
  </si>
  <si>
    <t>CASE-02273</t>
  </si>
  <si>
    <t>CASE-02274</t>
  </si>
  <si>
    <t>CASE-02275</t>
  </si>
  <si>
    <t>CASE-02276</t>
  </si>
  <si>
    <t>CASE-02277</t>
  </si>
  <si>
    <t>CASE-02278</t>
  </si>
  <si>
    <t>CASE-02279</t>
  </si>
  <si>
    <t>CASE-02280</t>
  </si>
  <si>
    <t>CASE-02281</t>
  </si>
  <si>
    <t>CASE-02282</t>
  </si>
  <si>
    <t>CASE-02283</t>
  </si>
  <si>
    <t>CASE-02284</t>
  </si>
  <si>
    <t>CASE-02285</t>
  </si>
  <si>
    <t>CASE-02286</t>
  </si>
  <si>
    <t>CASE-02287</t>
  </si>
  <si>
    <t>CASE-02288</t>
  </si>
  <si>
    <t>CASE-02289</t>
  </si>
  <si>
    <t>CASE-02290</t>
  </si>
  <si>
    <t>CASE-02291</t>
  </si>
  <si>
    <t>CASE-02292</t>
  </si>
  <si>
    <t>CASE-02293</t>
  </si>
  <si>
    <t>CASE-02294</t>
  </si>
  <si>
    <t>CASE-02295</t>
  </si>
  <si>
    <t>CASE-02296</t>
  </si>
  <si>
    <t>CASE-02297</t>
  </si>
  <si>
    <t>CASE-02298</t>
  </si>
  <si>
    <t>CASE-02299</t>
  </si>
  <si>
    <t>CASE-02300</t>
  </si>
  <si>
    <t>CASE-02301</t>
  </si>
  <si>
    <t>CASE-02302</t>
  </si>
  <si>
    <t>CASE-02303</t>
  </si>
  <si>
    <t>CASE-02304</t>
  </si>
  <si>
    <t>CASE-02305</t>
  </si>
  <si>
    <t>CASE-02306</t>
  </si>
  <si>
    <t>CASE-02307</t>
  </si>
  <si>
    <t>CASE-02308</t>
  </si>
  <si>
    <t>CASE-02309</t>
  </si>
  <si>
    <t>CASE-02310</t>
  </si>
  <si>
    <t>CASE-02311</t>
  </si>
  <si>
    <t>CASE-02312</t>
  </si>
  <si>
    <t>CASE-02313</t>
  </si>
  <si>
    <t>CASE-02314</t>
  </si>
  <si>
    <t>CASE-02315</t>
  </si>
  <si>
    <t>CASE-02316</t>
  </si>
  <si>
    <t>CASE-02317</t>
  </si>
  <si>
    <t>CASE-02318</t>
  </si>
  <si>
    <t>CASE-02319</t>
  </si>
  <si>
    <t>CASE-02320</t>
  </si>
  <si>
    <t>CASE-02321</t>
  </si>
  <si>
    <t>CASE-02322</t>
  </si>
  <si>
    <t>CASE-02323</t>
  </si>
  <si>
    <t>CASE-02324</t>
  </si>
  <si>
    <t>CASE-02325</t>
  </si>
  <si>
    <t>CASE-02326</t>
  </si>
  <si>
    <t>CASE-02327</t>
  </si>
  <si>
    <t>CASE-02328</t>
  </si>
  <si>
    <t>CASE-02329</t>
  </si>
  <si>
    <t>CASE-02330</t>
  </si>
  <si>
    <t>CASE-02331</t>
  </si>
  <si>
    <t>CASE-02332</t>
  </si>
  <si>
    <t>CASE-02333</t>
  </si>
  <si>
    <t>CASE-02334</t>
  </si>
  <si>
    <t>CASE-02335</t>
  </si>
  <si>
    <t>CASE-02336</t>
  </si>
  <si>
    <t>CASE-02337</t>
  </si>
  <si>
    <t>CASE-02338</t>
  </si>
  <si>
    <t>CASE-02339</t>
  </si>
  <si>
    <t>CASE-02340</t>
  </si>
  <si>
    <t>CASE-02341</t>
  </si>
  <si>
    <t>CASE-02342</t>
  </si>
  <si>
    <t>CASE-02343</t>
  </si>
  <si>
    <t>CASE-02344</t>
  </si>
  <si>
    <t>CASE-02345</t>
  </si>
  <si>
    <t>CASE-02346</t>
  </si>
  <si>
    <t>CASE-02347</t>
  </si>
  <si>
    <t>CASE-02348</t>
  </si>
  <si>
    <t>CASE-02349</t>
  </si>
  <si>
    <t>CASE-02350</t>
  </si>
  <si>
    <t>CASE-02351</t>
  </si>
  <si>
    <t>CASE-02352</t>
  </si>
  <si>
    <t>CASE-02353</t>
  </si>
  <si>
    <t>CASE-02354</t>
  </si>
  <si>
    <t>CASE-02355</t>
  </si>
  <si>
    <t>CASE-02356</t>
  </si>
  <si>
    <t>CASE-02357</t>
  </si>
  <si>
    <t>CASE-02358</t>
  </si>
  <si>
    <t>CASE-02359</t>
  </si>
  <si>
    <t>CASE-02360</t>
  </si>
  <si>
    <t>CASE-02361</t>
  </si>
  <si>
    <t>CASE-02362</t>
  </si>
  <si>
    <t>CASE-02363</t>
  </si>
  <si>
    <t>CASE-02364</t>
  </si>
  <si>
    <t>CASE-02365</t>
  </si>
  <si>
    <t>CASE-02366</t>
  </si>
  <si>
    <t>CASE-02367</t>
  </si>
  <si>
    <t>CASE-02368</t>
  </si>
  <si>
    <t>CASE-02369</t>
  </si>
  <si>
    <t>CASE-02370</t>
  </si>
  <si>
    <t>CASE-02371</t>
  </si>
  <si>
    <t>CASE-02372</t>
  </si>
  <si>
    <t>CASE-02373</t>
  </si>
  <si>
    <t>CASE-02374</t>
  </si>
  <si>
    <t>CASE-02375</t>
  </si>
  <si>
    <t>CASE-02376</t>
  </si>
  <si>
    <t>CASE-02377</t>
  </si>
  <si>
    <t>CASE-02378</t>
  </si>
  <si>
    <t>CASE-02379</t>
  </si>
  <si>
    <t>CASE-02380</t>
  </si>
  <si>
    <t>CASE-02381</t>
  </si>
  <si>
    <t>CASE-02382</t>
  </si>
  <si>
    <t>CASE-02383</t>
  </si>
  <si>
    <t>CASE-02384</t>
  </si>
  <si>
    <t>CASE-02385</t>
  </si>
  <si>
    <t>CASE-02386</t>
  </si>
  <si>
    <t>CASE-02387</t>
  </si>
  <si>
    <t>CASE-02388</t>
  </si>
  <si>
    <t>CASE-02389</t>
  </si>
  <si>
    <t>CASE-02390</t>
  </si>
  <si>
    <t>CASE-02391</t>
  </si>
  <si>
    <t>CASE-02392</t>
  </si>
  <si>
    <t>CASE-02393</t>
  </si>
  <si>
    <t>CASE-02394</t>
  </si>
  <si>
    <t>CASE-02395</t>
  </si>
  <si>
    <t>CASE-02396</t>
  </si>
  <si>
    <t>CASE-02397</t>
  </si>
  <si>
    <t>CASE-02398</t>
  </si>
  <si>
    <t>CASE-02399</t>
  </si>
  <si>
    <t>CASE-02400</t>
  </si>
  <si>
    <t>CASE-02401</t>
  </si>
  <si>
    <t>CASE-02402</t>
  </si>
  <si>
    <t>CASE-02403</t>
  </si>
  <si>
    <t>CASE-02404</t>
  </si>
  <si>
    <t>CASE-02405</t>
  </si>
  <si>
    <t>CASE-02406</t>
  </si>
  <si>
    <t>CASE-02407</t>
  </si>
  <si>
    <t>CASE-02408</t>
  </si>
  <si>
    <t>CASE-02409</t>
  </si>
  <si>
    <t>CASE-02410</t>
  </si>
  <si>
    <t>CASE-02411</t>
  </si>
  <si>
    <t>CASE-02412</t>
  </si>
  <si>
    <t>CASE-02413</t>
  </si>
  <si>
    <t>CASE-02414</t>
  </si>
  <si>
    <t>CASE-02415</t>
  </si>
  <si>
    <t>CASE-02416</t>
  </si>
  <si>
    <t>CASE-02417</t>
  </si>
  <si>
    <t>CASE-02418</t>
  </si>
  <si>
    <t>CASE-02419</t>
  </si>
  <si>
    <t>CASE-02420</t>
  </si>
  <si>
    <t>CASE-02421</t>
  </si>
  <si>
    <t>CASE-02422</t>
  </si>
  <si>
    <t>CASE-02423</t>
  </si>
  <si>
    <t>CASE-02424</t>
  </si>
  <si>
    <t>CASE-02425</t>
  </si>
  <si>
    <t>CASE-02426</t>
  </si>
  <si>
    <t>CASE-02427</t>
  </si>
  <si>
    <t>CASE-02428</t>
  </si>
  <si>
    <t>CASE-02429</t>
  </si>
  <si>
    <t>CASE-02430</t>
  </si>
  <si>
    <t>CASE-02431</t>
  </si>
  <si>
    <t>CASE-02432</t>
  </si>
  <si>
    <t>CASE-02433</t>
  </si>
  <si>
    <t>CASE-02434</t>
  </si>
  <si>
    <t>CASE-02435</t>
  </si>
  <si>
    <t>CASE-02436</t>
  </si>
  <si>
    <t>CASE-02437</t>
  </si>
  <si>
    <t>CASE-02438</t>
  </si>
  <si>
    <t>CASE-02439</t>
  </si>
  <si>
    <t>CASE-02440</t>
  </si>
  <si>
    <t>CASE-02441</t>
  </si>
  <si>
    <t>CASE-02442</t>
  </si>
  <si>
    <t>CASE-02443</t>
  </si>
  <si>
    <t>CASE-02444</t>
  </si>
  <si>
    <t>CASE-02445</t>
  </si>
  <si>
    <t>CASE-02446</t>
  </si>
  <si>
    <t>CASE-02447</t>
  </si>
  <si>
    <t>CASE-02448</t>
  </si>
  <si>
    <t>CASE-02449</t>
  </si>
  <si>
    <t>CASE-02450</t>
  </si>
  <si>
    <t>CASE-02451</t>
  </si>
  <si>
    <t>CASE-02452</t>
  </si>
  <si>
    <t>CASE-02453</t>
  </si>
  <si>
    <t>CASE-02454</t>
  </si>
  <si>
    <t>CASE-02455</t>
  </si>
  <si>
    <t>CASE-02456</t>
  </si>
  <si>
    <t>CASE-02457</t>
  </si>
  <si>
    <t>CASE-02458</t>
  </si>
  <si>
    <t>CASE-02459</t>
  </si>
  <si>
    <t>CASE-02460</t>
  </si>
  <si>
    <t>CASE-02461</t>
  </si>
  <si>
    <t>CASE-02462</t>
  </si>
  <si>
    <t>CASE-02463</t>
  </si>
  <si>
    <t>CASE-02464</t>
  </si>
  <si>
    <t>CASE-02465</t>
  </si>
  <si>
    <t>CASE-02466</t>
  </si>
  <si>
    <t>CASE-02467</t>
  </si>
  <si>
    <t>CASE-02468</t>
  </si>
  <si>
    <t>CASE-02469</t>
  </si>
  <si>
    <t>CASE-02470</t>
  </si>
  <si>
    <t>CASE-02471</t>
  </si>
  <si>
    <t>CASE-02472</t>
  </si>
  <si>
    <t>CASE-02473</t>
  </si>
  <si>
    <t>CASE-02474</t>
  </si>
  <si>
    <t>CASE-02475</t>
  </si>
  <si>
    <t>CASE-02476</t>
  </si>
  <si>
    <t>CASE-02477</t>
  </si>
  <si>
    <t>CASE-02478</t>
  </si>
  <si>
    <t>CASE-02479</t>
  </si>
  <si>
    <t>CASE-02480</t>
  </si>
  <si>
    <t>CASE-02481</t>
  </si>
  <si>
    <t>CASE-02482</t>
  </si>
  <si>
    <t>CASE-02483</t>
  </si>
  <si>
    <t>CASE-02484</t>
  </si>
  <si>
    <t>CASE-02485</t>
  </si>
  <si>
    <t>CASE-02486</t>
  </si>
  <si>
    <t>CASE-02487</t>
  </si>
  <si>
    <t>CASE-02488</t>
  </si>
  <si>
    <t>CASE-02489</t>
  </si>
  <si>
    <t>CASE-02490</t>
  </si>
  <si>
    <t>CASE-02491</t>
  </si>
  <si>
    <t>CASE-02492</t>
  </si>
  <si>
    <t>CASE-02493</t>
  </si>
  <si>
    <t>CASE-02494</t>
  </si>
  <si>
    <t>CASE-02495</t>
  </si>
  <si>
    <t>CASE-02496</t>
  </si>
  <si>
    <t>CASE-02497</t>
  </si>
  <si>
    <t>CASE-02498</t>
  </si>
  <si>
    <t>CASE-02499</t>
  </si>
  <si>
    <t>CASE-02500</t>
  </si>
  <si>
    <t>Sales Field Intelligence Dummy Data - Summary Check</t>
  </si>
  <si>
    <t>Total Rows</t>
  </si>
  <si>
    <t>Total Activity</t>
  </si>
  <si>
    <t>Total Plafond</t>
  </si>
  <si>
    <t>Jumlah Cair</t>
  </si>
  <si>
    <t>Pipeline Tahap Awal</t>
  </si>
  <si>
    <t>Pipeline Tahap Matang</t>
  </si>
  <si>
    <t>Jumlah Region</t>
  </si>
  <si>
    <t>Stage</t>
  </si>
  <si>
    <t>Jumlah Pipeline</t>
  </si>
  <si>
    <t>Kolom</t>
  </si>
  <si>
    <t>Tipe Data</t>
  </si>
  <si>
    <t>Wajib untuk Analyzer</t>
  </si>
  <si>
    <t>Text</t>
  </si>
  <si>
    <t>Tidak</t>
  </si>
  <si>
    <t>Date</t>
  </si>
  <si>
    <t>Ya - periode</t>
  </si>
  <si>
    <t>Tanggal aktivitas atau update pipeline.</t>
  </si>
  <si>
    <t>Format YYYY-MM untuk filter periode.</t>
  </si>
  <si>
    <t>Bucket minggu dalam bulan.</t>
  </si>
  <si>
    <t>Ya</t>
  </si>
  <si>
    <t>Region/RO untuk analisis wilayah.</t>
  </si>
  <si>
    <t>Opsional</t>
  </si>
  <si>
    <t>Area dalam region.</t>
  </si>
  <si>
    <t>Cabang/KC/KCP terkait.</t>
  </si>
  <si>
    <t>Leader/Supervisor/KOREA/ASM untuk coaching.</t>
  </si>
  <si>
    <t>Nama Sales/SF.</t>
  </si>
  <si>
    <t>Produk pembiayaan.</t>
  </si>
  <si>
    <t>Sumber lead/pipeline.</t>
  </si>
  <si>
    <t>Segment nasabah.</t>
  </si>
  <si>
    <t>Stage standar: Tidak Bertemu, Dingin, Hangat, Panas, Pemberkasan, Perjanjian, Cair.</t>
  </si>
  <si>
    <t>Number</t>
  </si>
  <si>
    <t>Skor urutan stage 1-7.</t>
  </si>
  <si>
    <t>Jumlah aktivitas/follow-up/kunjungan terkait pipeline.</t>
  </si>
  <si>
    <t>Jenis aktivitas dominan.</t>
  </si>
  <si>
    <t>Tanggal follow-up terakhir.</t>
  </si>
  <si>
    <t>Umur pipeline sejak follow-up terakhir.</t>
  </si>
  <si>
    <t>Potensi nominal pipeline.</t>
  </si>
  <si>
    <t>Status hasil: Cair, Sudah Cair, Terealisasi, Belum Cair, Batal Cair, Reject, dll.</t>
  </si>
  <si>
    <t>Kelengkapan dokumen.</t>
  </si>
  <si>
    <t>Sangat membantu</t>
  </si>
  <si>
    <t>Kendala proses/pipeline.</t>
  </si>
  <si>
    <t>Alasan khusus jika batal/reject.</t>
  </si>
  <si>
    <t>Tindak lanjut yang disarankan.</t>
  </si>
  <si>
    <t>Label ekspektasi insight untuk validasi manual.</t>
  </si>
  <si>
    <t>Tujuan</t>
  </si>
  <si>
    <t>Workbook ini dibuat untuk menguji Excel Analyzer, model router, RAG, dan chat loop Sales Field Intelligence Chatbot.</t>
  </si>
  <si>
    <t>Cara pakai di Colab</t>
  </si>
  <si>
    <t>1. Upload file ini pada cell Excel Upload.</t>
  </si>
  <si>
    <t>2. Pilih sheet Pipeline_Activity_Data.</t>
  </si>
  <si>
    <t>3. Jalankan deteksi kolom, cleaning, summary, dan build excel_analysis_context.</t>
  </si>
  <si>
    <t>4. Jalankan /excelstatus dan /quicksummary pada chat loop V2.</t>
  </si>
  <si>
    <t>5. Uji pertanyaan berbasis data dan pastikan route menjadi excel_analyzer_gemini.</t>
  </si>
  <si>
    <t>Contoh Pertanyaan Testing</t>
  </si>
  <si>
    <t>Berdasarkan data Excel, buatkan ringkasan pipeline dan activity.</t>
  </si>
  <si>
    <t>Sales mana yang perlu menjadi prioritas coaching?</t>
  </si>
  <si>
    <t>Supervisor mana yang perlu penguatan monitoring?</t>
  </si>
  <si>
    <t>Region mana yang perlu perhatian dari data ini?</t>
  </si>
  <si>
    <t>Apa stage dominan dan apa risikonya?</t>
  </si>
  <si>
    <t>Buatkan management summary dari data ini.</t>
  </si>
  <si>
    <t>Catatan Anti-Halusinasi</t>
  </si>
  <si>
    <t>Chatbot harus menjawab berdasarkan summary data. Jika penyebab spesifik tidak tersedia, chatbot hanya boleh menyebut area validasi.</t>
  </si>
  <si>
    <t>No</t>
  </si>
  <si>
    <t>Pola yang Ditanam</t>
  </si>
  <si>
    <t>Expected Route/Jawaban</t>
  </si>
  <si>
    <t>Catatan Validasi</t>
  </si>
  <si>
    <t>RO SURABAYA 1 memiliki profil top performer</t>
  </si>
  <si>
    <t>Region ini cenderung muncul sebagai wilayah dengan konversi lebih baik</t>
  </si>
  <si>
    <t>Dibuat dengan stage Cair lebih tinggi daripada region lain</t>
  </si>
  <si>
    <t>RO JAKARTA 1 didominasi stage awal</t>
  </si>
  <si>
    <t>Chatbot harus memberi rekomendasi validasi database dan follow-up awal</t>
  </si>
  <si>
    <t>Profil early_low_activity</t>
  </si>
  <si>
    <t>RO JAKARTA 2 activity tinggi tetapi hasil rendah</t>
  </si>
  <si>
    <t>Chatbot harus menyoroti kualitas follow-up dan bottleneck</t>
  </si>
  <si>
    <t>Profil high_activity_low_result</t>
  </si>
  <si>
    <t>RO ACEH memiliki pipeline matang tetapi bottleneck</t>
  </si>
  <si>
    <t>Chatbot harus menyoroti Panas/Pemberkasan yang perlu validasi</t>
  </si>
  <si>
    <t>Profil mature_bottleneck</t>
  </si>
  <si>
    <t>Belum Cair/Batal Cair/Reject sengaja dibuat</t>
  </si>
  <si>
    <t>Analyzer tidak boleh menghitung Belum Cair sebagai Cair</t>
  </si>
  <si>
    <t>Untuk test fix is_cair</t>
  </si>
  <si>
    <t>Kolom melebihi kebutuhan minimal</t>
  </si>
  <si>
    <t>Column detection tetap menemukan Sales, Supervisor, Region, Cabang, Stage, Activity, Status Cair, Plafond</t>
  </si>
  <si>
    <t>Untuk test fleksibilitas analyzer</t>
  </si>
  <si>
    <t>Data memiliki kendala dan alasan reject</t>
  </si>
  <si>
    <t>Chatbot boleh menyebut area validasi, bukan mengarang penyebab di luar data</t>
  </si>
  <si>
    <t>Untuk test anti-halusinasi</t>
  </si>
  <si>
    <t>ID unik untuk setiap baris pipeline.</t>
  </si>
  <si>
    <t>Sales Field Intelligence Data - Summary Check</t>
  </si>
  <si>
    <t>S0303004</t>
  </si>
  <si>
    <t>S0503006</t>
  </si>
  <si>
    <t>S0502004</t>
  </si>
  <si>
    <t>S0601007</t>
  </si>
  <si>
    <t>S0501005</t>
  </si>
  <si>
    <t>S0702006</t>
  </si>
  <si>
    <t>S0801007</t>
  </si>
  <si>
    <t>S0102005</t>
  </si>
  <si>
    <t>S0802002</t>
  </si>
  <si>
    <t>S0101003</t>
  </si>
  <si>
    <t>S0702001</t>
  </si>
  <si>
    <t>S0703005</t>
  </si>
  <si>
    <t>S0401001</t>
  </si>
  <si>
    <t>S0601002</t>
  </si>
  <si>
    <t>S0101005</t>
  </si>
  <si>
    <t>S0203004</t>
  </si>
  <si>
    <t>S0603007</t>
  </si>
  <si>
    <t>S0803005</t>
  </si>
  <si>
    <t>S0701004</t>
  </si>
  <si>
    <t>S0403004</t>
  </si>
  <si>
    <t>S0303005</t>
  </si>
  <si>
    <t>S0403007</t>
  </si>
  <si>
    <t>S0102007</t>
  </si>
  <si>
    <t>S0601001</t>
  </si>
  <si>
    <t>S0503003</t>
  </si>
  <si>
    <t>S0701005</t>
  </si>
  <si>
    <t>S0201007</t>
  </si>
  <si>
    <t>S0101004</t>
  </si>
  <si>
    <t>S0302003</t>
  </si>
  <si>
    <t>S0801003</t>
  </si>
  <si>
    <t>S0503001</t>
  </si>
  <si>
    <t>S0101001</t>
  </si>
  <si>
    <t>S0502001</t>
  </si>
  <si>
    <t>S0402004</t>
  </si>
  <si>
    <t>S0402002</t>
  </si>
  <si>
    <t>S0402007</t>
  </si>
  <si>
    <t>S0302005</t>
  </si>
  <si>
    <t>S0103006</t>
  </si>
  <si>
    <t>S0301006</t>
  </si>
  <si>
    <t>S0503004</t>
  </si>
  <si>
    <t>S0802007</t>
  </si>
  <si>
    <t>S0703006</t>
  </si>
  <si>
    <t>S0202002</t>
  </si>
  <si>
    <t>S0303002</t>
  </si>
  <si>
    <t>S0303003</t>
  </si>
  <si>
    <t>S0301005</t>
  </si>
  <si>
    <t>S0203006</t>
  </si>
  <si>
    <t>S0102004</t>
  </si>
  <si>
    <t>S0502007</t>
  </si>
  <si>
    <t>S0502006</t>
  </si>
  <si>
    <t>S0502002</t>
  </si>
  <si>
    <t>S0802005</t>
  </si>
  <si>
    <t>S0501003</t>
  </si>
  <si>
    <t>S0603004</t>
  </si>
  <si>
    <t>S0203007</t>
  </si>
  <si>
    <t>S0403002</t>
  </si>
  <si>
    <t>S0503002</t>
  </si>
  <si>
    <t>S0701007</t>
  </si>
  <si>
    <t>S0503005</t>
  </si>
  <si>
    <t>S0401003</t>
  </si>
  <si>
    <t>S0501001</t>
  </si>
  <si>
    <t>S0201005</t>
  </si>
  <si>
    <t>S0801005</t>
  </si>
  <si>
    <t>S0602005</t>
  </si>
  <si>
    <t>S0402001</t>
  </si>
  <si>
    <t>S0102003</t>
  </si>
  <si>
    <t>S0103004</t>
  </si>
  <si>
    <t>S0202004</t>
  </si>
  <si>
    <t>S0602004</t>
  </si>
  <si>
    <t>S0702005</t>
  </si>
  <si>
    <t>S0701001</t>
  </si>
  <si>
    <t>S0401005</t>
  </si>
  <si>
    <t>S0103001</t>
  </si>
  <si>
    <t>S0603005</t>
  </si>
  <si>
    <t>S0103005</t>
  </si>
  <si>
    <t>S0401002</t>
  </si>
  <si>
    <t>S0702003</t>
  </si>
  <si>
    <t>S0201004</t>
  </si>
  <si>
    <t>S0401006</t>
  </si>
  <si>
    <t>S0103003</t>
  </si>
  <si>
    <t>S0702004</t>
  </si>
  <si>
    <t>S0803002</t>
  </si>
  <si>
    <t>S0701003</t>
  </si>
  <si>
    <t>S0803004</t>
  </si>
  <si>
    <t>S0201003</t>
  </si>
  <si>
    <t>S0102001</t>
  </si>
  <si>
    <t>S0802006</t>
  </si>
  <si>
    <t>S0301004</t>
  </si>
  <si>
    <t>S0803001</t>
  </si>
  <si>
    <t>S0402003</t>
  </si>
  <si>
    <t>S0402006</t>
  </si>
  <si>
    <t>S0202006</t>
  </si>
  <si>
    <t>S0301001</t>
  </si>
  <si>
    <t>S0203001</t>
  </si>
  <si>
    <t>S0301002</t>
  </si>
  <si>
    <t>S0703002</t>
  </si>
  <si>
    <t>S0601004</t>
  </si>
  <si>
    <t>S0501007</t>
  </si>
  <si>
    <t>S0601006</t>
  </si>
  <si>
    <t>S0201001</t>
  </si>
  <si>
    <t>S0203002</t>
  </si>
  <si>
    <t>S0102002</t>
  </si>
  <si>
    <t>S0103002</t>
  </si>
  <si>
    <t>S0703003</t>
  </si>
  <si>
    <t>S0202007</t>
  </si>
  <si>
    <t>S0401007</t>
  </si>
  <si>
    <t>S0602003</t>
  </si>
  <si>
    <t>S0603006</t>
  </si>
  <si>
    <t>S0403003</t>
  </si>
  <si>
    <t>S0701002</t>
  </si>
  <si>
    <t>S0602001</t>
  </si>
  <si>
    <t>S0201002</t>
  </si>
  <si>
    <t>S0702007</t>
  </si>
  <si>
    <t>S0302004</t>
  </si>
  <si>
    <t>S0403005</t>
  </si>
  <si>
    <t>S0602007</t>
  </si>
  <si>
    <t>S0803003</t>
  </si>
  <si>
    <t>S0101006</t>
  </si>
  <si>
    <t>S0501006</t>
  </si>
  <si>
    <t>S0302006</t>
  </si>
  <si>
    <t>S0303006</t>
  </si>
  <si>
    <t>S0203003</t>
  </si>
  <si>
    <t>S0303001</t>
  </si>
  <si>
    <t>S0803007</t>
  </si>
  <si>
    <t>S0701006</t>
  </si>
  <si>
    <t>S0801002</t>
  </si>
  <si>
    <t>S0101002</t>
  </si>
  <si>
    <t>S0602002</t>
  </si>
  <si>
    <t>S0201006</t>
  </si>
  <si>
    <t>S0403001</t>
  </si>
  <si>
    <t>S0803006</t>
  </si>
  <si>
    <t>S0801004</t>
  </si>
  <si>
    <t>S0802004</t>
  </si>
  <si>
    <t>S0302001</t>
  </si>
  <si>
    <t>S0802001</t>
  </si>
  <si>
    <t>S0101007</t>
  </si>
  <si>
    <t>S0602006</t>
  </si>
  <si>
    <t>S0402005</t>
  </si>
  <si>
    <t>S0603002</t>
  </si>
  <si>
    <t>S0603001</t>
  </si>
  <si>
    <t>S0703004</t>
  </si>
  <si>
    <t>S0401004</t>
  </si>
  <si>
    <t>S0802003</t>
  </si>
  <si>
    <t>S0501004</t>
  </si>
  <si>
    <t>S0202003</t>
  </si>
  <si>
    <t>S0403006</t>
  </si>
  <si>
    <t>S0503007</t>
  </si>
  <si>
    <t>S0603003</t>
  </si>
  <si>
    <t>S0703001</t>
  </si>
  <si>
    <t>S0601003</t>
  </si>
  <si>
    <t>S0202005</t>
  </si>
  <si>
    <t>S0103007</t>
  </si>
  <si>
    <t>S0102006</t>
  </si>
  <si>
    <t>S0501002</t>
  </si>
  <si>
    <t>S0502005</t>
  </si>
  <si>
    <t>S0703007</t>
  </si>
  <si>
    <t>S0303007</t>
  </si>
  <si>
    <t>S0502003</t>
  </si>
  <si>
    <t>S0203005</t>
  </si>
  <si>
    <t>S0301007</t>
  </si>
  <si>
    <t>S0801001</t>
  </si>
  <si>
    <t>S0702002</t>
  </si>
  <si>
    <t>S0302007</t>
  </si>
  <si>
    <t>S0301003</t>
  </si>
  <si>
    <t>S0801006</t>
  </si>
  <si>
    <t>S0202001</t>
  </si>
  <si>
    <t>S0601005</t>
  </si>
  <si>
    <t>S0302002</t>
  </si>
  <si>
    <t>Pipeline awal + activity rendah.</t>
  </si>
  <si>
    <t>Butuh penguatan follow-up.</t>
  </si>
  <si>
    <t>Perlu monitoring.</t>
  </si>
  <si>
    <t>Bottleneck tahap akhir.</t>
  </si>
  <si>
    <t>Activity tinggi belum cair.</t>
  </si>
  <si>
    <t>Terkonversi.</t>
  </si>
  <si>
    <t>ID Sales</t>
  </si>
  <si>
    <t>Catatan tambahan.</t>
  </si>
  <si>
    <t>Label desain untuk validasi pola.</t>
  </si>
  <si>
    <t>Label risiko.</t>
  </si>
  <si>
    <t>Sales Field Intelligence Testing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</si>
</sst>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E0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0" fontId="3" fillId="4" borderId="0" xfId="0" applyFont="1" applyFill="1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elineActivityTable" displayName="PipelineActivityTable" ref="A1:AC2501">
  <tableColumns count="29">
    <tableColumn id="1" xr3:uid="{00000000-0010-0000-0000-000001000000}" name="Case ID"/>
    <tableColumn id="2" xr3:uid="{00000000-0010-0000-0000-000002000000}" name="Tanggal"/>
    <tableColumn id="3" xr3:uid="{00000000-0010-0000-0000-000003000000}" name="Periode"/>
    <tableColumn id="4" xr3:uid="{00000000-0010-0000-0000-000004000000}" name="Minggu"/>
    <tableColumn id="5" xr3:uid="{00000000-0010-0000-0000-000005000000}" name="Region"/>
    <tableColumn id="6" xr3:uid="{00000000-0010-0000-0000-000006000000}" name="Area"/>
    <tableColumn id="7" xr3:uid="{00000000-0010-0000-0000-000007000000}" name="Cabang"/>
    <tableColumn id="8" xr3:uid="{00000000-0010-0000-0000-000008000000}" name="Supervisor"/>
    <tableColumn id="9" xr3:uid="{00000000-0010-0000-0000-000009000000}" name="Sales"/>
    <tableColumn id="10" xr3:uid="{00000000-0010-0000-0000-00000A000000}" name="NIP Sales"/>
    <tableColumn id="11" xr3:uid="{00000000-0010-0000-0000-00000B000000}" name="Produk"/>
    <tableColumn id="12" xr3:uid="{00000000-0010-0000-0000-00000C000000}" name="Sumber Pipeline"/>
    <tableColumn id="13" xr3:uid="{00000000-0010-0000-0000-00000D000000}" name="Segment Nasabah"/>
    <tableColumn id="14" xr3:uid="{00000000-0010-0000-0000-00000E000000}" name="Stage Pipeline"/>
    <tableColumn id="15" xr3:uid="{00000000-0010-0000-0000-00000F000000}" name="Stage Score"/>
    <tableColumn id="16" xr3:uid="{00000000-0010-0000-0000-000010000000}" name="Activity"/>
    <tableColumn id="17" xr3:uid="{00000000-0010-0000-0000-000011000000}" name="Jenis Activity"/>
    <tableColumn id="18" xr3:uid="{00000000-0010-0000-0000-000012000000}" name="Tanggal Follow Up Terakhir"/>
    <tableColumn id="19" xr3:uid="{00000000-0010-0000-0000-000013000000}" name="Aging Pipeline"/>
    <tableColumn id="20" xr3:uid="{00000000-0010-0000-0000-000014000000}" name="Plafond"/>
    <tableColumn id="21" xr3:uid="{00000000-0010-0000-0000-000015000000}" name="Status Cair"/>
    <tableColumn id="22" xr3:uid="{00000000-0010-0000-0000-000016000000}" name="Status Dokumen"/>
    <tableColumn id="23" xr3:uid="{00000000-0010-0000-0000-000017000000}" name="Kendala"/>
    <tableColumn id="24" xr3:uid="{00000000-0010-0000-0000-000018000000}" name="Alasan Batal Reject"/>
    <tableColumn id="25" xr3:uid="{00000000-0010-0000-0000-000019000000}" name="Next Action"/>
    <tableColumn id="26" xr3:uid="{00000000-0010-0000-0000-00001A000000}" name="Keterangan"/>
    <tableColumn id="27" xr3:uid="{00000000-0010-0000-0000-00001B000000}" name="Quality Tag"/>
    <tableColumn id="28" xr3:uid="{00000000-0010-0000-0000-00001C000000}" name="Risiko"/>
    <tableColumn id="29" xr3:uid="{00000000-0010-0000-0000-00001D000000}" name="Expected Insight Lab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geSummaryCheckTable" displayName="StageSummaryCheckTable" ref="A13:D20">
  <tableColumns count="4">
    <tableColumn id="1" xr3:uid="{00000000-0010-0000-0100-000001000000}" name="Stage"/>
    <tableColumn id="2" xr3:uid="{00000000-0010-0000-0100-000002000000}" name="Jumlah Pipeline"/>
    <tableColumn id="3" xr3:uid="{00000000-0010-0000-0100-000003000000}" name="Total Activity"/>
    <tableColumn id="4" xr3:uid="{00000000-0010-0000-0100-000004000000}" name="Total Plafo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Table" displayName="DataDictionaryTable" ref="A1:D30">
  <tableColumns count="4">
    <tableColumn id="1" xr3:uid="{00000000-0010-0000-0200-000001000000}" name="Kolom"/>
    <tableColumn id="2" xr3:uid="{00000000-0010-0000-0200-000002000000}" name="Tipe Data"/>
    <tableColumn id="3" xr3:uid="{00000000-0010-0000-0200-000003000000}" name="Wajib untuk Analyzer"/>
    <tableColumn id="4" xr3:uid="{00000000-0010-0000-0200-000004000000}" name="Keterang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ctedPatternsTable" displayName="ExpectedPatternsTable" ref="A1:D8">
  <tableColumns count="4">
    <tableColumn id="1" xr3:uid="{00000000-0010-0000-0300-000001000000}" name="No"/>
    <tableColumn id="2" xr3:uid="{00000000-0010-0000-0300-000002000000}" name="Pola yang Ditanam"/>
    <tableColumn id="3" xr3:uid="{00000000-0010-0000-0300-000003000000}" name="Expected Route/Jawaban"/>
    <tableColumn id="4" xr3:uid="{00000000-0010-0000-0300-000004000000}" name="Catatan Valida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01"/>
  <sheetViews>
    <sheetView workbookViewId="0">
      <selection activeCell="AC13" sqref="AC13"/>
    </sheetView>
  </sheetViews>
  <sheetFormatPr defaultRowHeight="14.25"/>
  <cols>
    <col min="1" max="1" width="13" customWidth="1"/>
    <col min="2" max="2" width="12" customWidth="1"/>
    <col min="3" max="3" width="10" customWidth="1"/>
    <col min="4" max="4" width="8" customWidth="1"/>
    <col min="5" max="6" width="18" customWidth="1"/>
    <col min="7" max="8" width="22" customWidth="1"/>
    <col min="9" max="9" width="20" customWidth="1"/>
    <col min="10" max="10" width="12" customWidth="1"/>
    <col min="11" max="13" width="18" customWidth="1"/>
    <col min="14" max="14" width="16" customWidth="1"/>
    <col min="15" max="16" width="10" customWidth="1"/>
    <col min="17" max="17" width="20" customWidth="1"/>
    <col min="18" max="18" width="14" customWidth="1"/>
    <col min="19" max="19" width="12" customWidth="1"/>
    <col min="20" max="20" width="14" customWidth="1"/>
    <col min="21" max="22" width="16" customWidth="1"/>
    <col min="23" max="23" width="26" customWidth="1"/>
    <col min="24" max="25" width="24" customWidth="1"/>
    <col min="26" max="27" width="28" customWidth="1"/>
    <col min="28" max="28" width="26" customWidth="1"/>
    <col min="29" max="29" width="28" customWidth="1"/>
  </cols>
  <sheetData>
    <row r="1" spans="1:2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s="2">
        <v>46202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3008</v>
      </c>
      <c r="K2" t="s">
        <v>37</v>
      </c>
      <c r="L2" t="s">
        <v>38</v>
      </c>
      <c r="M2" t="s">
        <v>39</v>
      </c>
      <c r="N2" t="s">
        <v>40</v>
      </c>
      <c r="O2" s="4">
        <v>2</v>
      </c>
      <c r="P2" s="4">
        <v>2</v>
      </c>
      <c r="Q2" t="s">
        <v>41</v>
      </c>
      <c r="R2" s="2">
        <v>46198</v>
      </c>
      <c r="S2" s="4">
        <v>5</v>
      </c>
      <c r="T2" s="3">
        <v>135000000</v>
      </c>
      <c r="U2" t="s">
        <v>42</v>
      </c>
      <c r="V2" t="s">
        <v>43</v>
      </c>
      <c r="W2" t="s">
        <v>44</v>
      </c>
      <c r="Y2" t="s">
        <v>45</v>
      </c>
      <c r="Z2" t="s">
        <v>3176</v>
      </c>
      <c r="AA2" t="s">
        <v>46</v>
      </c>
      <c r="AB2" t="s">
        <v>47</v>
      </c>
      <c r="AC2" t="s">
        <v>46</v>
      </c>
    </row>
    <row r="3" spans="1:29">
      <c r="A3" t="s">
        <v>48</v>
      </c>
      <c r="B3" s="2">
        <v>46195</v>
      </c>
      <c r="C3" t="s">
        <v>30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3009</v>
      </c>
      <c r="K3" t="s">
        <v>37</v>
      </c>
      <c r="L3" t="s">
        <v>55</v>
      </c>
      <c r="M3" t="s">
        <v>56</v>
      </c>
      <c r="N3" t="s">
        <v>57</v>
      </c>
      <c r="O3" s="4">
        <v>3</v>
      </c>
      <c r="P3" s="4">
        <v>10</v>
      </c>
      <c r="Q3" t="s">
        <v>58</v>
      </c>
      <c r="R3" s="2">
        <v>46190</v>
      </c>
      <c r="S3" s="4">
        <v>13</v>
      </c>
      <c r="T3" s="3">
        <v>98000000</v>
      </c>
      <c r="U3" t="s">
        <v>42</v>
      </c>
      <c r="V3" t="s">
        <v>59</v>
      </c>
      <c r="W3" t="s">
        <v>60</v>
      </c>
      <c r="Y3" t="s">
        <v>61</v>
      </c>
      <c r="Z3" t="s">
        <v>3177</v>
      </c>
      <c r="AA3" t="s">
        <v>62</v>
      </c>
      <c r="AB3" t="s">
        <v>63</v>
      </c>
      <c r="AC3" t="s">
        <v>62</v>
      </c>
    </row>
    <row r="4" spans="1:29">
      <c r="A4" t="s">
        <v>64</v>
      </c>
      <c r="B4" s="2">
        <v>46199</v>
      </c>
      <c r="C4" t="s">
        <v>30</v>
      </c>
      <c r="D4" t="s">
        <v>49</v>
      </c>
      <c r="E4" t="s">
        <v>50</v>
      </c>
      <c r="F4" t="s">
        <v>51</v>
      </c>
      <c r="G4" t="s">
        <v>65</v>
      </c>
      <c r="H4" t="s">
        <v>66</v>
      </c>
      <c r="I4" t="s">
        <v>67</v>
      </c>
      <c r="J4" t="s">
        <v>3010</v>
      </c>
      <c r="K4" t="s">
        <v>37</v>
      </c>
      <c r="L4" t="s">
        <v>68</v>
      </c>
      <c r="M4" t="s">
        <v>56</v>
      </c>
      <c r="N4" t="s">
        <v>57</v>
      </c>
      <c r="O4" s="4">
        <v>3</v>
      </c>
      <c r="P4" s="4">
        <v>10</v>
      </c>
      <c r="Q4" t="s">
        <v>69</v>
      </c>
      <c r="R4" s="2">
        <v>46190</v>
      </c>
      <c r="S4" s="4">
        <v>13</v>
      </c>
      <c r="T4" s="3">
        <v>188000000</v>
      </c>
      <c r="U4" t="s">
        <v>42</v>
      </c>
      <c r="V4" t="s">
        <v>70</v>
      </c>
      <c r="W4" t="s">
        <v>71</v>
      </c>
      <c r="Y4" t="s">
        <v>72</v>
      </c>
      <c r="Z4" t="s">
        <v>3177</v>
      </c>
      <c r="AA4" t="s">
        <v>62</v>
      </c>
      <c r="AB4" t="s">
        <v>63</v>
      </c>
      <c r="AC4" t="s">
        <v>62</v>
      </c>
    </row>
    <row r="5" spans="1:29">
      <c r="A5" t="s">
        <v>73</v>
      </c>
      <c r="B5" s="2">
        <v>46189</v>
      </c>
      <c r="C5" t="s">
        <v>30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3011</v>
      </c>
      <c r="K5" t="s">
        <v>37</v>
      </c>
      <c r="L5" t="s">
        <v>80</v>
      </c>
      <c r="M5" t="s">
        <v>81</v>
      </c>
      <c r="N5" t="s">
        <v>82</v>
      </c>
      <c r="O5" s="4">
        <v>1</v>
      </c>
      <c r="P5" s="4">
        <v>5</v>
      </c>
      <c r="Q5" t="s">
        <v>83</v>
      </c>
      <c r="R5" s="2">
        <v>46180</v>
      </c>
      <c r="S5" s="4">
        <v>23</v>
      </c>
      <c r="T5" s="3">
        <v>229000000</v>
      </c>
      <c r="U5" t="s">
        <v>42</v>
      </c>
      <c r="V5" t="s">
        <v>43</v>
      </c>
      <c r="W5" t="s">
        <v>84</v>
      </c>
      <c r="Y5" t="s">
        <v>85</v>
      </c>
      <c r="Z5" t="s">
        <v>3178</v>
      </c>
      <c r="AA5" t="s">
        <v>86</v>
      </c>
      <c r="AB5" t="s">
        <v>87</v>
      </c>
      <c r="AC5" t="s">
        <v>86</v>
      </c>
    </row>
    <row r="6" spans="1:29">
      <c r="A6" t="s">
        <v>88</v>
      </c>
      <c r="B6" s="2">
        <v>46195</v>
      </c>
      <c r="C6" t="s">
        <v>30</v>
      </c>
      <c r="D6" t="s">
        <v>49</v>
      </c>
      <c r="E6" t="s">
        <v>50</v>
      </c>
      <c r="F6" t="s">
        <v>89</v>
      </c>
      <c r="G6" t="s">
        <v>65</v>
      </c>
      <c r="H6" t="s">
        <v>90</v>
      </c>
      <c r="I6" t="s">
        <v>91</v>
      </c>
      <c r="J6" t="s">
        <v>3012</v>
      </c>
      <c r="K6" t="s">
        <v>92</v>
      </c>
      <c r="L6" t="s">
        <v>38</v>
      </c>
      <c r="M6" t="s">
        <v>93</v>
      </c>
      <c r="N6" t="s">
        <v>94</v>
      </c>
      <c r="O6" s="4">
        <v>4</v>
      </c>
      <c r="P6" s="4">
        <v>14</v>
      </c>
      <c r="Q6" t="s">
        <v>69</v>
      </c>
      <c r="R6" s="2">
        <v>46187</v>
      </c>
      <c r="S6" s="4">
        <v>16</v>
      </c>
      <c r="T6" s="3">
        <v>171000000</v>
      </c>
      <c r="U6" t="s">
        <v>42</v>
      </c>
      <c r="V6" t="s">
        <v>59</v>
      </c>
      <c r="W6" t="s">
        <v>95</v>
      </c>
      <c r="Y6" t="s">
        <v>96</v>
      </c>
      <c r="Z6" t="s">
        <v>3179</v>
      </c>
      <c r="AA6" t="s">
        <v>62</v>
      </c>
      <c r="AB6" t="s">
        <v>97</v>
      </c>
      <c r="AC6" t="s">
        <v>62</v>
      </c>
    </row>
    <row r="7" spans="1:29">
      <c r="A7" t="s">
        <v>98</v>
      </c>
      <c r="B7" s="2">
        <v>46181</v>
      </c>
      <c r="C7" t="s">
        <v>30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3013</v>
      </c>
      <c r="K7" t="s">
        <v>105</v>
      </c>
      <c r="L7" t="s">
        <v>68</v>
      </c>
      <c r="M7" t="s">
        <v>106</v>
      </c>
      <c r="N7" t="s">
        <v>94</v>
      </c>
      <c r="O7" s="4">
        <v>4</v>
      </c>
      <c r="P7" s="4">
        <v>15</v>
      </c>
      <c r="Q7" t="s">
        <v>107</v>
      </c>
      <c r="R7" s="2">
        <v>46177</v>
      </c>
      <c r="S7" s="4">
        <v>26</v>
      </c>
      <c r="T7" s="3">
        <v>100000000</v>
      </c>
      <c r="U7" t="s">
        <v>42</v>
      </c>
      <c r="V7" t="s">
        <v>59</v>
      </c>
      <c r="W7" t="s">
        <v>95</v>
      </c>
      <c r="Y7" t="s">
        <v>108</v>
      </c>
      <c r="Z7" t="s">
        <v>3179</v>
      </c>
      <c r="AA7" t="s">
        <v>109</v>
      </c>
      <c r="AB7" t="s">
        <v>97</v>
      </c>
      <c r="AC7" t="s">
        <v>109</v>
      </c>
    </row>
    <row r="8" spans="1:29">
      <c r="A8" t="s">
        <v>110</v>
      </c>
      <c r="B8" s="2">
        <v>46183</v>
      </c>
      <c r="C8" t="s">
        <v>30</v>
      </c>
      <c r="D8" t="s">
        <v>99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3014</v>
      </c>
      <c r="K8" t="s">
        <v>116</v>
      </c>
      <c r="L8" t="s">
        <v>68</v>
      </c>
      <c r="M8" t="s">
        <v>106</v>
      </c>
      <c r="N8" t="s">
        <v>94</v>
      </c>
      <c r="O8" s="4">
        <v>4</v>
      </c>
      <c r="P8" s="4">
        <v>11</v>
      </c>
      <c r="Q8" t="s">
        <v>83</v>
      </c>
      <c r="R8" s="2">
        <v>46177</v>
      </c>
      <c r="S8" s="4">
        <v>26</v>
      </c>
      <c r="T8" s="3">
        <v>190000000</v>
      </c>
      <c r="U8" t="s">
        <v>42</v>
      </c>
      <c r="V8" t="s">
        <v>59</v>
      </c>
      <c r="W8" t="s">
        <v>95</v>
      </c>
      <c r="X8" t="s">
        <v>117</v>
      </c>
      <c r="Y8" t="s">
        <v>108</v>
      </c>
      <c r="Z8" t="s">
        <v>3179</v>
      </c>
      <c r="AA8" t="s">
        <v>118</v>
      </c>
      <c r="AB8" t="s">
        <v>97</v>
      </c>
      <c r="AC8" t="s">
        <v>118</v>
      </c>
    </row>
    <row r="9" spans="1:29">
      <c r="A9" t="s">
        <v>119</v>
      </c>
      <c r="B9" s="2">
        <v>46201</v>
      </c>
      <c r="C9" t="s">
        <v>30</v>
      </c>
      <c r="D9" t="s">
        <v>49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3015</v>
      </c>
      <c r="K9" t="s">
        <v>56</v>
      </c>
      <c r="L9" t="s">
        <v>55</v>
      </c>
      <c r="M9" t="s">
        <v>39</v>
      </c>
      <c r="N9" t="s">
        <v>82</v>
      </c>
      <c r="O9" s="4">
        <v>1</v>
      </c>
      <c r="P9" s="4">
        <v>6</v>
      </c>
      <c r="Q9" t="s">
        <v>41</v>
      </c>
      <c r="R9" s="2">
        <v>46194</v>
      </c>
      <c r="S9" s="4">
        <v>9</v>
      </c>
      <c r="T9" s="3">
        <v>284000000</v>
      </c>
      <c r="U9" t="s">
        <v>42</v>
      </c>
      <c r="V9" t="s">
        <v>43</v>
      </c>
      <c r="W9" t="s">
        <v>84</v>
      </c>
      <c r="Y9" t="s">
        <v>85</v>
      </c>
      <c r="Z9" t="s">
        <v>3178</v>
      </c>
      <c r="AA9" t="s">
        <v>97</v>
      </c>
      <c r="AB9" t="s">
        <v>87</v>
      </c>
      <c r="AC9" t="s">
        <v>97</v>
      </c>
    </row>
    <row r="10" spans="1:29">
      <c r="A10" t="s">
        <v>125</v>
      </c>
      <c r="B10" s="2">
        <v>46198</v>
      </c>
      <c r="C10" t="s">
        <v>30</v>
      </c>
      <c r="D10" t="s">
        <v>49</v>
      </c>
      <c r="E10" t="s">
        <v>111</v>
      </c>
      <c r="F10" t="s">
        <v>112</v>
      </c>
      <c r="G10" t="s">
        <v>126</v>
      </c>
      <c r="H10" t="s">
        <v>127</v>
      </c>
      <c r="I10" t="s">
        <v>128</v>
      </c>
      <c r="J10" t="s">
        <v>3016</v>
      </c>
      <c r="K10" t="s">
        <v>105</v>
      </c>
      <c r="L10" t="s">
        <v>55</v>
      </c>
      <c r="M10" t="s">
        <v>129</v>
      </c>
      <c r="N10" t="s">
        <v>130</v>
      </c>
      <c r="O10" s="4">
        <v>5</v>
      </c>
      <c r="P10" s="4">
        <v>9</v>
      </c>
      <c r="Q10" t="s">
        <v>69</v>
      </c>
      <c r="R10" s="2">
        <v>46198</v>
      </c>
      <c r="S10" s="4">
        <v>5</v>
      </c>
      <c r="T10" s="3">
        <v>67000000</v>
      </c>
      <c r="U10" t="s">
        <v>42</v>
      </c>
      <c r="V10" t="s">
        <v>70</v>
      </c>
      <c r="W10" t="s">
        <v>131</v>
      </c>
      <c r="Y10" t="s">
        <v>132</v>
      </c>
      <c r="Z10" t="s">
        <v>3179</v>
      </c>
      <c r="AA10" t="s">
        <v>118</v>
      </c>
      <c r="AB10" t="s">
        <v>97</v>
      </c>
      <c r="AC10" t="s">
        <v>118</v>
      </c>
    </row>
    <row r="11" spans="1:29">
      <c r="A11" t="s">
        <v>133</v>
      </c>
      <c r="B11" s="2">
        <v>46176</v>
      </c>
      <c r="C11" t="s">
        <v>30</v>
      </c>
      <c r="D11" t="s">
        <v>134</v>
      </c>
      <c r="E11" t="s">
        <v>120</v>
      </c>
      <c r="F11" t="s">
        <v>121</v>
      </c>
      <c r="G11" t="s">
        <v>135</v>
      </c>
      <c r="H11" t="s">
        <v>136</v>
      </c>
      <c r="I11" t="s">
        <v>137</v>
      </c>
      <c r="J11" t="s">
        <v>3017</v>
      </c>
      <c r="K11" t="s">
        <v>105</v>
      </c>
      <c r="L11" t="s">
        <v>38</v>
      </c>
      <c r="M11" t="s">
        <v>39</v>
      </c>
      <c r="N11" t="s">
        <v>57</v>
      </c>
      <c r="O11" s="4">
        <v>3</v>
      </c>
      <c r="P11" s="4">
        <v>7</v>
      </c>
      <c r="Q11" t="s">
        <v>138</v>
      </c>
      <c r="R11" s="2">
        <v>46167</v>
      </c>
      <c r="S11" s="4">
        <v>36</v>
      </c>
      <c r="T11" s="3">
        <v>223000000</v>
      </c>
      <c r="U11" t="s">
        <v>42</v>
      </c>
      <c r="V11" t="s">
        <v>70</v>
      </c>
      <c r="W11" t="s">
        <v>71</v>
      </c>
      <c r="Y11" t="s">
        <v>72</v>
      </c>
      <c r="Z11" t="s">
        <v>3177</v>
      </c>
      <c r="AA11" t="s">
        <v>97</v>
      </c>
      <c r="AB11" t="s">
        <v>63</v>
      </c>
      <c r="AC11" t="s">
        <v>97</v>
      </c>
    </row>
    <row r="12" spans="1:29">
      <c r="A12" t="s">
        <v>139</v>
      </c>
      <c r="B12" s="2">
        <v>46196</v>
      </c>
      <c r="C12" t="s">
        <v>30</v>
      </c>
      <c r="D12" t="s">
        <v>49</v>
      </c>
      <c r="E12" t="s">
        <v>100</v>
      </c>
      <c r="F12" t="s">
        <v>140</v>
      </c>
      <c r="G12" t="s">
        <v>102</v>
      </c>
      <c r="H12" t="s">
        <v>103</v>
      </c>
      <c r="I12" t="s">
        <v>141</v>
      </c>
      <c r="J12" t="s">
        <v>3018</v>
      </c>
      <c r="K12" t="s">
        <v>92</v>
      </c>
      <c r="L12" t="s">
        <v>68</v>
      </c>
      <c r="M12" t="s">
        <v>56</v>
      </c>
      <c r="N12" t="s">
        <v>130</v>
      </c>
      <c r="O12" s="4">
        <v>5</v>
      </c>
      <c r="P12" s="4">
        <v>16</v>
      </c>
      <c r="Q12" t="s">
        <v>142</v>
      </c>
      <c r="R12" s="2">
        <v>46194</v>
      </c>
      <c r="S12" s="4">
        <v>9</v>
      </c>
      <c r="T12" s="3">
        <v>236000000</v>
      </c>
      <c r="U12" t="s">
        <v>42</v>
      </c>
      <c r="V12" t="s">
        <v>143</v>
      </c>
      <c r="W12" t="s">
        <v>144</v>
      </c>
      <c r="X12" t="s">
        <v>117</v>
      </c>
      <c r="Y12" t="s">
        <v>132</v>
      </c>
      <c r="Z12" t="s">
        <v>3179</v>
      </c>
      <c r="AA12" t="s">
        <v>109</v>
      </c>
      <c r="AB12" t="s">
        <v>97</v>
      </c>
      <c r="AC12" t="s">
        <v>109</v>
      </c>
    </row>
    <row r="13" spans="1:29">
      <c r="A13" t="s">
        <v>145</v>
      </c>
      <c r="B13" s="2">
        <v>46184</v>
      </c>
      <c r="C13" t="s">
        <v>30</v>
      </c>
      <c r="D13" t="s">
        <v>99</v>
      </c>
      <c r="E13" t="s">
        <v>100</v>
      </c>
      <c r="F13" t="s">
        <v>146</v>
      </c>
      <c r="G13" t="s">
        <v>147</v>
      </c>
      <c r="H13" t="s">
        <v>148</v>
      </c>
      <c r="I13" t="s">
        <v>149</v>
      </c>
      <c r="J13" t="s">
        <v>3019</v>
      </c>
      <c r="K13" t="s">
        <v>56</v>
      </c>
      <c r="L13" t="s">
        <v>150</v>
      </c>
      <c r="M13" t="s">
        <v>81</v>
      </c>
      <c r="N13" t="s">
        <v>94</v>
      </c>
      <c r="O13" s="4">
        <v>4</v>
      </c>
      <c r="P13" s="4">
        <v>16</v>
      </c>
      <c r="Q13" t="s">
        <v>58</v>
      </c>
      <c r="R13" s="2">
        <v>46182</v>
      </c>
      <c r="S13" s="4">
        <v>21</v>
      </c>
      <c r="T13" s="3">
        <v>235000000</v>
      </c>
      <c r="U13" t="s">
        <v>42</v>
      </c>
      <c r="V13" t="s">
        <v>59</v>
      </c>
      <c r="W13" t="s">
        <v>95</v>
      </c>
      <c r="Y13" t="s">
        <v>96</v>
      </c>
      <c r="Z13" t="s">
        <v>3179</v>
      </c>
      <c r="AA13" t="s">
        <v>109</v>
      </c>
      <c r="AB13" t="s">
        <v>97</v>
      </c>
      <c r="AC13" t="s">
        <v>109</v>
      </c>
    </row>
    <row r="14" spans="1:29">
      <c r="A14" t="s">
        <v>151</v>
      </c>
      <c r="B14" s="2">
        <v>46195</v>
      </c>
      <c r="C14" t="s">
        <v>30</v>
      </c>
      <c r="D14" t="s">
        <v>49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3020</v>
      </c>
      <c r="K14" t="s">
        <v>37</v>
      </c>
      <c r="L14" t="s">
        <v>55</v>
      </c>
      <c r="M14" t="s">
        <v>93</v>
      </c>
      <c r="N14" t="s">
        <v>57</v>
      </c>
      <c r="O14" s="4">
        <v>3</v>
      </c>
      <c r="P14" s="4">
        <v>11</v>
      </c>
      <c r="Q14" t="s">
        <v>41</v>
      </c>
      <c r="R14" s="2">
        <v>46186</v>
      </c>
      <c r="S14" s="4">
        <v>17</v>
      </c>
      <c r="T14" s="3">
        <v>213000000</v>
      </c>
      <c r="U14" t="s">
        <v>42</v>
      </c>
      <c r="V14" t="s">
        <v>59</v>
      </c>
      <c r="W14" t="s">
        <v>157</v>
      </c>
      <c r="Y14" t="s">
        <v>158</v>
      </c>
      <c r="Z14" t="s">
        <v>3177</v>
      </c>
      <c r="AA14" t="s">
        <v>159</v>
      </c>
      <c r="AB14" t="s">
        <v>63</v>
      </c>
      <c r="AC14" t="s">
        <v>159</v>
      </c>
    </row>
    <row r="15" spans="1:29">
      <c r="A15" t="s">
        <v>160</v>
      </c>
      <c r="B15" s="2">
        <v>46198</v>
      </c>
      <c r="C15" t="s">
        <v>30</v>
      </c>
      <c r="D15" t="s">
        <v>49</v>
      </c>
      <c r="E15" t="s">
        <v>75</v>
      </c>
      <c r="F15" t="s">
        <v>161</v>
      </c>
      <c r="G15" t="s">
        <v>162</v>
      </c>
      <c r="H15" t="s">
        <v>78</v>
      </c>
      <c r="I15" t="s">
        <v>163</v>
      </c>
      <c r="J15" t="s">
        <v>3021</v>
      </c>
      <c r="K15" t="s">
        <v>105</v>
      </c>
      <c r="L15" t="s">
        <v>55</v>
      </c>
      <c r="M15" t="s">
        <v>164</v>
      </c>
      <c r="N15" t="s">
        <v>57</v>
      </c>
      <c r="O15" s="4">
        <v>3</v>
      </c>
      <c r="P15" s="4">
        <v>8</v>
      </c>
      <c r="Q15" t="s">
        <v>58</v>
      </c>
      <c r="R15" s="2">
        <v>46190</v>
      </c>
      <c r="S15" s="4">
        <v>13</v>
      </c>
      <c r="T15" s="3">
        <v>162000000</v>
      </c>
      <c r="U15" t="s">
        <v>42</v>
      </c>
      <c r="V15" t="s">
        <v>59</v>
      </c>
      <c r="W15" t="s">
        <v>71</v>
      </c>
      <c r="Y15" t="s">
        <v>165</v>
      </c>
      <c r="Z15" t="s">
        <v>3177</v>
      </c>
      <c r="AA15" t="s">
        <v>86</v>
      </c>
      <c r="AB15" t="s">
        <v>63</v>
      </c>
      <c r="AC15" t="s">
        <v>86</v>
      </c>
    </row>
    <row r="16" spans="1:29">
      <c r="A16" t="s">
        <v>166</v>
      </c>
      <c r="B16" s="2">
        <v>46175</v>
      </c>
      <c r="C16" t="s">
        <v>30</v>
      </c>
      <c r="D16" t="s">
        <v>134</v>
      </c>
      <c r="E16" t="s">
        <v>120</v>
      </c>
      <c r="F16" t="s">
        <v>167</v>
      </c>
      <c r="G16" t="s">
        <v>135</v>
      </c>
      <c r="H16" t="s">
        <v>136</v>
      </c>
      <c r="I16" t="s">
        <v>168</v>
      </c>
      <c r="J16" t="s">
        <v>3022</v>
      </c>
      <c r="K16" t="s">
        <v>56</v>
      </c>
      <c r="L16" t="s">
        <v>169</v>
      </c>
      <c r="M16" t="s">
        <v>106</v>
      </c>
      <c r="N16" t="s">
        <v>94</v>
      </c>
      <c r="O16" s="4">
        <v>4</v>
      </c>
      <c r="P16" s="4">
        <v>12</v>
      </c>
      <c r="Q16" t="s">
        <v>138</v>
      </c>
      <c r="R16" s="2">
        <v>46171</v>
      </c>
      <c r="S16" s="4">
        <v>32</v>
      </c>
      <c r="T16" s="3">
        <v>124000000</v>
      </c>
      <c r="U16" t="s">
        <v>42</v>
      </c>
      <c r="V16" t="s">
        <v>59</v>
      </c>
      <c r="W16" t="s">
        <v>170</v>
      </c>
      <c r="Y16" t="s">
        <v>108</v>
      </c>
      <c r="Z16" t="s">
        <v>3179</v>
      </c>
      <c r="AA16" t="s">
        <v>97</v>
      </c>
      <c r="AB16" t="s">
        <v>97</v>
      </c>
      <c r="AC16" t="s">
        <v>97</v>
      </c>
    </row>
    <row r="17" spans="1:29">
      <c r="A17" t="s">
        <v>171</v>
      </c>
      <c r="B17" s="2">
        <v>46187</v>
      </c>
      <c r="C17" t="s">
        <v>30</v>
      </c>
      <c r="D17" t="s">
        <v>99</v>
      </c>
      <c r="E17" t="s">
        <v>172</v>
      </c>
      <c r="F17" t="s">
        <v>173</v>
      </c>
      <c r="G17" t="s">
        <v>174</v>
      </c>
      <c r="H17" t="s">
        <v>175</v>
      </c>
      <c r="I17" t="s">
        <v>176</v>
      </c>
      <c r="J17" t="s">
        <v>3023</v>
      </c>
      <c r="K17" t="s">
        <v>105</v>
      </c>
      <c r="L17" t="s">
        <v>80</v>
      </c>
      <c r="M17" t="s">
        <v>129</v>
      </c>
      <c r="N17" t="s">
        <v>40</v>
      </c>
      <c r="O17" s="4">
        <v>2</v>
      </c>
      <c r="P17" s="4">
        <v>3</v>
      </c>
      <c r="Q17" t="s">
        <v>142</v>
      </c>
      <c r="R17" s="2">
        <v>46183</v>
      </c>
      <c r="S17" s="4">
        <v>20</v>
      </c>
      <c r="T17" s="3">
        <v>106000000</v>
      </c>
      <c r="U17" t="s">
        <v>177</v>
      </c>
      <c r="V17" t="s">
        <v>43</v>
      </c>
      <c r="W17" t="s">
        <v>178</v>
      </c>
      <c r="X17" t="s">
        <v>179</v>
      </c>
      <c r="Y17" t="s">
        <v>180</v>
      </c>
      <c r="Z17" t="s">
        <v>3176</v>
      </c>
      <c r="AA17" t="s">
        <v>181</v>
      </c>
      <c r="AB17" t="s">
        <v>47</v>
      </c>
      <c r="AC17" t="s">
        <v>181</v>
      </c>
    </row>
    <row r="18" spans="1:29">
      <c r="A18" t="s">
        <v>182</v>
      </c>
      <c r="B18" s="2">
        <v>46199</v>
      </c>
      <c r="C18" t="s">
        <v>30</v>
      </c>
      <c r="D18" t="s">
        <v>49</v>
      </c>
      <c r="E18" t="s">
        <v>75</v>
      </c>
      <c r="F18" t="s">
        <v>183</v>
      </c>
      <c r="G18" t="s">
        <v>184</v>
      </c>
      <c r="H18" t="s">
        <v>185</v>
      </c>
      <c r="I18" t="s">
        <v>186</v>
      </c>
      <c r="J18" t="s">
        <v>3024</v>
      </c>
      <c r="K18" t="s">
        <v>116</v>
      </c>
      <c r="L18" t="s">
        <v>187</v>
      </c>
      <c r="M18" t="s">
        <v>164</v>
      </c>
      <c r="N18" t="s">
        <v>94</v>
      </c>
      <c r="O18" s="4">
        <v>4</v>
      </c>
      <c r="P18" s="4">
        <v>8</v>
      </c>
      <c r="Q18" t="s">
        <v>58</v>
      </c>
      <c r="R18" s="2">
        <v>46189</v>
      </c>
      <c r="S18" s="4">
        <v>14</v>
      </c>
      <c r="T18" s="3">
        <v>189000000</v>
      </c>
      <c r="U18" t="s">
        <v>42</v>
      </c>
      <c r="V18" t="s">
        <v>59</v>
      </c>
      <c r="W18" t="s">
        <v>188</v>
      </c>
      <c r="Y18" t="s">
        <v>108</v>
      </c>
      <c r="Z18" t="s">
        <v>3179</v>
      </c>
      <c r="AA18" t="s">
        <v>86</v>
      </c>
      <c r="AB18" t="s">
        <v>97</v>
      </c>
      <c r="AC18" t="s">
        <v>86</v>
      </c>
    </row>
    <row r="19" spans="1:29">
      <c r="A19" t="s">
        <v>189</v>
      </c>
      <c r="B19" s="2">
        <v>46187</v>
      </c>
      <c r="C19" t="s">
        <v>30</v>
      </c>
      <c r="D19" t="s">
        <v>99</v>
      </c>
      <c r="E19" t="s">
        <v>111</v>
      </c>
      <c r="F19" t="s">
        <v>190</v>
      </c>
      <c r="G19" t="s">
        <v>113</v>
      </c>
      <c r="H19" t="s">
        <v>191</v>
      </c>
      <c r="I19" t="s">
        <v>192</v>
      </c>
      <c r="J19" t="s">
        <v>3025</v>
      </c>
      <c r="K19" t="s">
        <v>37</v>
      </c>
      <c r="L19" t="s">
        <v>38</v>
      </c>
      <c r="M19" t="s">
        <v>129</v>
      </c>
      <c r="N19" t="s">
        <v>40</v>
      </c>
      <c r="O19" s="4">
        <v>2</v>
      </c>
      <c r="P19" s="4">
        <v>12</v>
      </c>
      <c r="Q19" t="s">
        <v>138</v>
      </c>
      <c r="R19" s="2">
        <v>46182</v>
      </c>
      <c r="S19" s="4">
        <v>21</v>
      </c>
      <c r="T19" s="3">
        <v>247000000</v>
      </c>
      <c r="U19" t="s">
        <v>42</v>
      </c>
      <c r="V19" t="s">
        <v>59</v>
      </c>
      <c r="W19" t="s">
        <v>44</v>
      </c>
      <c r="Y19" t="s">
        <v>180</v>
      </c>
      <c r="Z19" t="s">
        <v>3180</v>
      </c>
      <c r="AA19" t="s">
        <v>118</v>
      </c>
      <c r="AB19" t="s">
        <v>193</v>
      </c>
      <c r="AC19" t="s">
        <v>118</v>
      </c>
    </row>
    <row r="20" spans="1:29">
      <c r="A20" t="s">
        <v>194</v>
      </c>
      <c r="B20" s="2">
        <v>46187</v>
      </c>
      <c r="C20" t="s">
        <v>30</v>
      </c>
      <c r="D20" t="s">
        <v>99</v>
      </c>
      <c r="E20" t="s">
        <v>172</v>
      </c>
      <c r="F20" t="s">
        <v>195</v>
      </c>
      <c r="G20" t="s">
        <v>174</v>
      </c>
      <c r="H20" t="s">
        <v>175</v>
      </c>
      <c r="I20" t="s">
        <v>176</v>
      </c>
      <c r="J20" t="s">
        <v>3023</v>
      </c>
      <c r="K20" t="s">
        <v>56</v>
      </c>
      <c r="L20" t="s">
        <v>68</v>
      </c>
      <c r="M20" t="s">
        <v>93</v>
      </c>
      <c r="N20" t="s">
        <v>196</v>
      </c>
      <c r="O20" s="4">
        <v>7</v>
      </c>
      <c r="P20" s="4">
        <v>12</v>
      </c>
      <c r="Q20" t="s">
        <v>58</v>
      </c>
      <c r="R20" s="2">
        <v>46182</v>
      </c>
      <c r="S20" s="4">
        <v>21</v>
      </c>
      <c r="T20" s="3">
        <v>191000000</v>
      </c>
      <c r="U20" t="s">
        <v>196</v>
      </c>
      <c r="V20" t="s">
        <v>70</v>
      </c>
      <c r="W20" t="s">
        <v>197</v>
      </c>
      <c r="Y20" t="s">
        <v>198</v>
      </c>
      <c r="Z20" t="s">
        <v>3181</v>
      </c>
      <c r="AA20" t="s">
        <v>181</v>
      </c>
      <c r="AB20" t="s">
        <v>199</v>
      </c>
      <c r="AC20" t="s">
        <v>181</v>
      </c>
    </row>
    <row r="21" spans="1:29">
      <c r="A21" t="s">
        <v>200</v>
      </c>
      <c r="B21" s="2">
        <v>46198</v>
      </c>
      <c r="C21" t="s">
        <v>30</v>
      </c>
      <c r="D21" t="s">
        <v>49</v>
      </c>
      <c r="E21" t="s">
        <v>100</v>
      </c>
      <c r="F21" t="s">
        <v>101</v>
      </c>
      <c r="G21" t="s">
        <v>102</v>
      </c>
      <c r="H21" t="s">
        <v>201</v>
      </c>
      <c r="I21" t="s">
        <v>202</v>
      </c>
      <c r="J21" t="s">
        <v>3026</v>
      </c>
      <c r="K21" t="s">
        <v>37</v>
      </c>
      <c r="L21" t="s">
        <v>169</v>
      </c>
      <c r="M21" t="s">
        <v>129</v>
      </c>
      <c r="N21" t="s">
        <v>57</v>
      </c>
      <c r="O21" s="4">
        <v>3</v>
      </c>
      <c r="P21" s="4">
        <v>14</v>
      </c>
      <c r="Q21" t="s">
        <v>142</v>
      </c>
      <c r="R21" s="2">
        <v>46192</v>
      </c>
      <c r="S21" s="4">
        <v>11</v>
      </c>
      <c r="T21" s="3">
        <v>63000000</v>
      </c>
      <c r="U21" t="s">
        <v>42</v>
      </c>
      <c r="V21" t="s">
        <v>43</v>
      </c>
      <c r="W21" t="s">
        <v>203</v>
      </c>
      <c r="Y21" t="s">
        <v>165</v>
      </c>
      <c r="Z21" t="s">
        <v>3180</v>
      </c>
      <c r="AA21" t="s">
        <v>109</v>
      </c>
      <c r="AB21" t="s">
        <v>193</v>
      </c>
      <c r="AC21" t="s">
        <v>109</v>
      </c>
    </row>
    <row r="22" spans="1:29">
      <c r="A22" t="s">
        <v>204</v>
      </c>
      <c r="B22" s="2">
        <v>46181</v>
      </c>
      <c r="C22" t="s">
        <v>30</v>
      </c>
      <c r="D22" t="s">
        <v>99</v>
      </c>
      <c r="E22" t="s">
        <v>152</v>
      </c>
      <c r="F22" t="s">
        <v>205</v>
      </c>
      <c r="G22" t="s">
        <v>206</v>
      </c>
      <c r="H22" t="s">
        <v>207</v>
      </c>
      <c r="I22" t="s">
        <v>208</v>
      </c>
      <c r="J22" t="s">
        <v>3027</v>
      </c>
      <c r="K22" t="s">
        <v>105</v>
      </c>
      <c r="L22" t="s">
        <v>68</v>
      </c>
      <c r="M22" t="s">
        <v>81</v>
      </c>
      <c r="N22" t="s">
        <v>196</v>
      </c>
      <c r="O22" s="4">
        <v>7</v>
      </c>
      <c r="P22" s="4">
        <v>14</v>
      </c>
      <c r="Q22" t="s">
        <v>107</v>
      </c>
      <c r="R22" s="2">
        <v>46179</v>
      </c>
      <c r="S22" s="4">
        <v>24</v>
      </c>
      <c r="T22" s="3">
        <v>398000000</v>
      </c>
      <c r="U22" t="s">
        <v>196</v>
      </c>
      <c r="V22" t="s">
        <v>70</v>
      </c>
      <c r="W22" t="s">
        <v>209</v>
      </c>
      <c r="Y22" t="s">
        <v>210</v>
      </c>
      <c r="Z22" t="s">
        <v>3181</v>
      </c>
      <c r="AA22" t="s">
        <v>159</v>
      </c>
      <c r="AB22" t="s">
        <v>199</v>
      </c>
      <c r="AC22" t="s">
        <v>159</v>
      </c>
    </row>
    <row r="23" spans="1:29">
      <c r="A23" t="s">
        <v>211</v>
      </c>
      <c r="B23" s="2">
        <v>46189</v>
      </c>
      <c r="C23" t="s">
        <v>30</v>
      </c>
      <c r="D23" t="s">
        <v>74</v>
      </c>
      <c r="E23" t="s">
        <v>100</v>
      </c>
      <c r="F23" t="s">
        <v>140</v>
      </c>
      <c r="G23" t="s">
        <v>212</v>
      </c>
      <c r="H23" t="s">
        <v>103</v>
      </c>
      <c r="I23" t="s">
        <v>104</v>
      </c>
      <c r="J23" t="s">
        <v>3013</v>
      </c>
      <c r="K23" t="s">
        <v>56</v>
      </c>
      <c r="L23" t="s">
        <v>80</v>
      </c>
      <c r="M23" t="s">
        <v>81</v>
      </c>
      <c r="N23" t="s">
        <v>213</v>
      </c>
      <c r="O23" s="4">
        <v>6</v>
      </c>
      <c r="P23" s="4">
        <v>16</v>
      </c>
      <c r="Q23" t="s">
        <v>69</v>
      </c>
      <c r="R23" s="2">
        <v>46182</v>
      </c>
      <c r="S23" s="4">
        <v>21</v>
      </c>
      <c r="T23" s="3">
        <v>322000000</v>
      </c>
      <c r="U23" t="s">
        <v>214</v>
      </c>
      <c r="V23" t="s">
        <v>143</v>
      </c>
      <c r="W23" t="s">
        <v>215</v>
      </c>
      <c r="Y23" t="s">
        <v>216</v>
      </c>
      <c r="Z23" t="s">
        <v>3179</v>
      </c>
      <c r="AA23" t="s">
        <v>109</v>
      </c>
      <c r="AB23" t="s">
        <v>97</v>
      </c>
      <c r="AC23" t="s">
        <v>109</v>
      </c>
    </row>
    <row r="24" spans="1:29">
      <c r="A24" t="s">
        <v>217</v>
      </c>
      <c r="B24" s="2">
        <v>46189</v>
      </c>
      <c r="C24" t="s">
        <v>30</v>
      </c>
      <c r="D24" t="s">
        <v>74</v>
      </c>
      <c r="E24" t="s">
        <v>32</v>
      </c>
      <c r="F24" t="s">
        <v>33</v>
      </c>
      <c r="G24" t="s">
        <v>218</v>
      </c>
      <c r="H24" t="s">
        <v>35</v>
      </c>
      <c r="I24" t="s">
        <v>219</v>
      </c>
      <c r="J24" t="s">
        <v>3028</v>
      </c>
      <c r="K24" t="s">
        <v>56</v>
      </c>
      <c r="L24" t="s">
        <v>68</v>
      </c>
      <c r="M24" t="s">
        <v>164</v>
      </c>
      <c r="N24" t="s">
        <v>94</v>
      </c>
      <c r="O24" s="4">
        <v>4</v>
      </c>
      <c r="P24" s="4">
        <v>4</v>
      </c>
      <c r="Q24" t="s">
        <v>58</v>
      </c>
      <c r="R24" s="2">
        <v>46184</v>
      </c>
      <c r="S24" s="4">
        <v>19</v>
      </c>
      <c r="T24" s="3">
        <v>400000000</v>
      </c>
      <c r="U24" t="s">
        <v>42</v>
      </c>
      <c r="V24" t="s">
        <v>59</v>
      </c>
      <c r="W24" t="s">
        <v>95</v>
      </c>
      <c r="Y24" t="s">
        <v>108</v>
      </c>
      <c r="Z24" t="s">
        <v>3179</v>
      </c>
      <c r="AA24" t="s">
        <v>46</v>
      </c>
      <c r="AB24" t="s">
        <v>97</v>
      </c>
      <c r="AC24" t="s">
        <v>46</v>
      </c>
    </row>
    <row r="25" spans="1:29">
      <c r="A25" t="s">
        <v>220</v>
      </c>
      <c r="B25" s="2">
        <v>46190</v>
      </c>
      <c r="C25" t="s">
        <v>30</v>
      </c>
      <c r="D25" t="s">
        <v>74</v>
      </c>
      <c r="E25" t="s">
        <v>152</v>
      </c>
      <c r="F25" t="s">
        <v>221</v>
      </c>
      <c r="G25" t="s">
        <v>154</v>
      </c>
      <c r="H25" t="s">
        <v>207</v>
      </c>
      <c r="I25" t="s">
        <v>222</v>
      </c>
      <c r="J25" t="s">
        <v>3029</v>
      </c>
      <c r="K25" t="s">
        <v>37</v>
      </c>
      <c r="L25" t="s">
        <v>38</v>
      </c>
      <c r="M25" t="s">
        <v>81</v>
      </c>
      <c r="N25" t="s">
        <v>57</v>
      </c>
      <c r="O25" s="4">
        <v>3</v>
      </c>
      <c r="P25" s="4">
        <v>11</v>
      </c>
      <c r="Q25" t="s">
        <v>138</v>
      </c>
      <c r="R25" s="2">
        <v>46181</v>
      </c>
      <c r="S25" s="4">
        <v>22</v>
      </c>
      <c r="T25" s="3">
        <v>187000000</v>
      </c>
      <c r="U25" t="s">
        <v>42</v>
      </c>
      <c r="V25" t="s">
        <v>43</v>
      </c>
      <c r="W25" t="s">
        <v>71</v>
      </c>
      <c r="Y25" t="s">
        <v>158</v>
      </c>
      <c r="Z25" t="s">
        <v>3177</v>
      </c>
      <c r="AA25" t="s">
        <v>159</v>
      </c>
      <c r="AB25" t="s">
        <v>63</v>
      </c>
      <c r="AC25" t="s">
        <v>159</v>
      </c>
    </row>
    <row r="26" spans="1:29">
      <c r="A26" t="s">
        <v>223</v>
      </c>
      <c r="B26" s="2">
        <v>46196</v>
      </c>
      <c r="C26" t="s">
        <v>30</v>
      </c>
      <c r="D26" t="s">
        <v>49</v>
      </c>
      <c r="E26" t="s">
        <v>120</v>
      </c>
      <c r="F26" t="s">
        <v>121</v>
      </c>
      <c r="G26" t="s">
        <v>224</v>
      </c>
      <c r="H26" t="s">
        <v>123</v>
      </c>
      <c r="I26" t="s">
        <v>225</v>
      </c>
      <c r="J26" t="s">
        <v>3030</v>
      </c>
      <c r="K26" t="s">
        <v>56</v>
      </c>
      <c r="L26" t="s">
        <v>38</v>
      </c>
      <c r="M26" t="s">
        <v>39</v>
      </c>
      <c r="N26" t="s">
        <v>57</v>
      </c>
      <c r="O26" s="4">
        <v>3</v>
      </c>
      <c r="P26" s="4">
        <v>15</v>
      </c>
      <c r="Q26" t="s">
        <v>83</v>
      </c>
      <c r="R26" s="2">
        <v>46189</v>
      </c>
      <c r="S26" s="4">
        <v>14</v>
      </c>
      <c r="T26" s="3">
        <v>216000000</v>
      </c>
      <c r="U26" t="s">
        <v>42</v>
      </c>
      <c r="V26" t="s">
        <v>59</v>
      </c>
      <c r="W26" t="s">
        <v>203</v>
      </c>
      <c r="Y26" t="s">
        <v>61</v>
      </c>
      <c r="Z26" t="s">
        <v>3180</v>
      </c>
      <c r="AA26" t="s">
        <v>97</v>
      </c>
      <c r="AB26" t="s">
        <v>193</v>
      </c>
      <c r="AC26" t="s">
        <v>97</v>
      </c>
    </row>
    <row r="27" spans="1:29">
      <c r="A27" t="s">
        <v>226</v>
      </c>
      <c r="B27" s="2">
        <v>46187</v>
      </c>
      <c r="C27" t="s">
        <v>30</v>
      </c>
      <c r="D27" t="s">
        <v>99</v>
      </c>
      <c r="E27" t="s">
        <v>120</v>
      </c>
      <c r="F27" t="s">
        <v>167</v>
      </c>
      <c r="G27" t="s">
        <v>227</v>
      </c>
      <c r="H27" t="s">
        <v>136</v>
      </c>
      <c r="I27" t="s">
        <v>137</v>
      </c>
      <c r="J27" t="s">
        <v>3017</v>
      </c>
      <c r="K27" t="s">
        <v>37</v>
      </c>
      <c r="L27" t="s">
        <v>150</v>
      </c>
      <c r="M27" t="s">
        <v>129</v>
      </c>
      <c r="N27" t="s">
        <v>94</v>
      </c>
      <c r="O27" s="4">
        <v>4</v>
      </c>
      <c r="P27" s="4">
        <v>7</v>
      </c>
      <c r="Q27" t="s">
        <v>69</v>
      </c>
      <c r="R27" s="2">
        <v>46178</v>
      </c>
      <c r="S27" s="4">
        <v>25</v>
      </c>
      <c r="T27" s="3">
        <v>87000000</v>
      </c>
      <c r="U27" t="s">
        <v>42</v>
      </c>
      <c r="V27" t="s">
        <v>59</v>
      </c>
      <c r="W27" t="s">
        <v>95</v>
      </c>
      <c r="Y27" t="s">
        <v>228</v>
      </c>
      <c r="Z27" t="s">
        <v>3179</v>
      </c>
      <c r="AA27" t="s">
        <v>97</v>
      </c>
      <c r="AB27" t="s">
        <v>97</v>
      </c>
      <c r="AC27" t="s">
        <v>97</v>
      </c>
    </row>
    <row r="28" spans="1:29">
      <c r="A28" t="s">
        <v>229</v>
      </c>
      <c r="B28" s="2">
        <v>46187</v>
      </c>
      <c r="C28" t="s">
        <v>30</v>
      </c>
      <c r="D28" t="s">
        <v>99</v>
      </c>
      <c r="E28" t="s">
        <v>75</v>
      </c>
      <c r="F28" t="s">
        <v>183</v>
      </c>
      <c r="G28" t="s">
        <v>230</v>
      </c>
      <c r="H28" t="s">
        <v>78</v>
      </c>
      <c r="I28" t="s">
        <v>231</v>
      </c>
      <c r="J28" t="s">
        <v>3031</v>
      </c>
      <c r="K28" t="s">
        <v>37</v>
      </c>
      <c r="L28" t="s">
        <v>187</v>
      </c>
      <c r="M28" t="s">
        <v>129</v>
      </c>
      <c r="N28" t="s">
        <v>196</v>
      </c>
      <c r="O28" s="4">
        <v>7</v>
      </c>
      <c r="P28" s="4">
        <v>15</v>
      </c>
      <c r="Q28" t="s">
        <v>83</v>
      </c>
      <c r="R28" s="2">
        <v>46183</v>
      </c>
      <c r="S28" s="4">
        <v>20</v>
      </c>
      <c r="T28" s="3">
        <v>130000000</v>
      </c>
      <c r="U28" t="s">
        <v>232</v>
      </c>
      <c r="V28" t="s">
        <v>70</v>
      </c>
      <c r="W28" t="s">
        <v>197</v>
      </c>
      <c r="Y28" t="s">
        <v>210</v>
      </c>
      <c r="Z28" t="s">
        <v>3181</v>
      </c>
      <c r="AA28" t="s">
        <v>86</v>
      </c>
      <c r="AB28" t="s">
        <v>199</v>
      </c>
      <c r="AC28" t="s">
        <v>86</v>
      </c>
    </row>
    <row r="29" spans="1:29">
      <c r="A29" t="s">
        <v>233</v>
      </c>
      <c r="B29" s="2">
        <v>46195</v>
      </c>
      <c r="C29" t="s">
        <v>30</v>
      </c>
      <c r="D29" t="s">
        <v>49</v>
      </c>
      <c r="E29" t="s">
        <v>50</v>
      </c>
      <c r="F29" t="s">
        <v>89</v>
      </c>
      <c r="G29" t="s">
        <v>234</v>
      </c>
      <c r="H29" t="s">
        <v>53</v>
      </c>
      <c r="I29" t="s">
        <v>235</v>
      </c>
      <c r="J29" t="s">
        <v>3032</v>
      </c>
      <c r="K29" t="s">
        <v>105</v>
      </c>
      <c r="L29" t="s">
        <v>38</v>
      </c>
      <c r="M29" t="s">
        <v>129</v>
      </c>
      <c r="N29" t="s">
        <v>57</v>
      </c>
      <c r="O29" s="4">
        <v>3</v>
      </c>
      <c r="P29" s="4">
        <v>12</v>
      </c>
      <c r="Q29" t="s">
        <v>58</v>
      </c>
      <c r="R29" s="2">
        <v>46195</v>
      </c>
      <c r="S29" s="4">
        <v>8</v>
      </c>
      <c r="T29" s="3">
        <v>214000000</v>
      </c>
      <c r="U29" t="s">
        <v>42</v>
      </c>
      <c r="V29" t="s">
        <v>43</v>
      </c>
      <c r="W29" t="s">
        <v>157</v>
      </c>
      <c r="Y29" t="s">
        <v>72</v>
      </c>
      <c r="Z29" t="s">
        <v>3180</v>
      </c>
      <c r="AA29" t="s">
        <v>62</v>
      </c>
      <c r="AB29" t="s">
        <v>193</v>
      </c>
      <c r="AC29" t="s">
        <v>62</v>
      </c>
    </row>
    <row r="30" spans="1:29">
      <c r="A30" t="s">
        <v>236</v>
      </c>
      <c r="B30" s="2">
        <v>46197</v>
      </c>
      <c r="C30" t="s">
        <v>30</v>
      </c>
      <c r="D30" t="s">
        <v>49</v>
      </c>
      <c r="E30" t="s">
        <v>100</v>
      </c>
      <c r="F30" t="s">
        <v>140</v>
      </c>
      <c r="G30" t="s">
        <v>237</v>
      </c>
      <c r="H30" t="s">
        <v>201</v>
      </c>
      <c r="I30" t="s">
        <v>238</v>
      </c>
      <c r="J30" t="s">
        <v>3033</v>
      </c>
      <c r="K30" t="s">
        <v>37</v>
      </c>
      <c r="L30" t="s">
        <v>80</v>
      </c>
      <c r="M30" t="s">
        <v>39</v>
      </c>
      <c r="N30" t="s">
        <v>40</v>
      </c>
      <c r="O30" s="4">
        <v>2</v>
      </c>
      <c r="P30" s="4">
        <v>8</v>
      </c>
      <c r="Q30" t="s">
        <v>69</v>
      </c>
      <c r="R30" s="2">
        <v>46191</v>
      </c>
      <c r="S30" s="4">
        <v>12</v>
      </c>
      <c r="T30" s="3">
        <v>210000000</v>
      </c>
      <c r="U30" t="s">
        <v>42</v>
      </c>
      <c r="V30" t="s">
        <v>43</v>
      </c>
      <c r="W30" t="s">
        <v>239</v>
      </c>
      <c r="Y30" t="s">
        <v>45</v>
      </c>
      <c r="Z30" t="s">
        <v>3178</v>
      </c>
      <c r="AA30" t="s">
        <v>109</v>
      </c>
      <c r="AB30" t="s">
        <v>87</v>
      </c>
      <c r="AC30" t="s">
        <v>109</v>
      </c>
    </row>
    <row r="31" spans="1:29">
      <c r="A31" t="s">
        <v>240</v>
      </c>
      <c r="B31" s="2">
        <v>46185</v>
      </c>
      <c r="C31" t="s">
        <v>30</v>
      </c>
      <c r="D31" t="s">
        <v>99</v>
      </c>
      <c r="E31" t="s">
        <v>172</v>
      </c>
      <c r="F31" t="s">
        <v>195</v>
      </c>
      <c r="G31" t="s">
        <v>174</v>
      </c>
      <c r="H31" t="s">
        <v>241</v>
      </c>
      <c r="I31" t="s">
        <v>242</v>
      </c>
      <c r="J31" t="s">
        <v>3034</v>
      </c>
      <c r="K31" t="s">
        <v>92</v>
      </c>
      <c r="L31" t="s">
        <v>38</v>
      </c>
      <c r="M31" t="s">
        <v>129</v>
      </c>
      <c r="N31" t="s">
        <v>196</v>
      </c>
      <c r="O31" s="4">
        <v>7</v>
      </c>
      <c r="P31" s="4">
        <v>20</v>
      </c>
      <c r="Q31" t="s">
        <v>69</v>
      </c>
      <c r="R31" s="2">
        <v>46184</v>
      </c>
      <c r="S31" s="4">
        <v>19</v>
      </c>
      <c r="T31" s="3">
        <v>84000000</v>
      </c>
      <c r="U31" t="s">
        <v>196</v>
      </c>
      <c r="V31" t="s">
        <v>70</v>
      </c>
      <c r="W31" t="s">
        <v>243</v>
      </c>
      <c r="Y31" t="s">
        <v>244</v>
      </c>
      <c r="Z31" t="s">
        <v>3181</v>
      </c>
      <c r="AA31" t="s">
        <v>181</v>
      </c>
      <c r="AB31" t="s">
        <v>199</v>
      </c>
      <c r="AC31" t="s">
        <v>181</v>
      </c>
    </row>
    <row r="32" spans="1:29">
      <c r="A32" t="s">
        <v>245</v>
      </c>
      <c r="B32" s="2">
        <v>46203</v>
      </c>
      <c r="C32" t="s">
        <v>30</v>
      </c>
      <c r="D32" t="s">
        <v>31</v>
      </c>
      <c r="E32" t="s">
        <v>120</v>
      </c>
      <c r="F32" t="s">
        <v>246</v>
      </c>
      <c r="G32" t="s">
        <v>224</v>
      </c>
      <c r="H32" t="s">
        <v>136</v>
      </c>
      <c r="I32" t="s">
        <v>247</v>
      </c>
      <c r="J32" t="s">
        <v>3035</v>
      </c>
      <c r="K32" t="s">
        <v>105</v>
      </c>
      <c r="L32" t="s">
        <v>150</v>
      </c>
      <c r="M32" t="s">
        <v>81</v>
      </c>
      <c r="N32" t="s">
        <v>213</v>
      </c>
      <c r="O32" s="4">
        <v>6</v>
      </c>
      <c r="P32" s="4">
        <v>10</v>
      </c>
      <c r="Q32" t="s">
        <v>107</v>
      </c>
      <c r="R32" s="2">
        <v>46194</v>
      </c>
      <c r="S32" s="4">
        <v>9</v>
      </c>
      <c r="T32" s="3">
        <v>337000000</v>
      </c>
      <c r="U32" t="s">
        <v>42</v>
      </c>
      <c r="V32" t="s">
        <v>70</v>
      </c>
      <c r="W32" t="s">
        <v>248</v>
      </c>
      <c r="Y32" t="s">
        <v>249</v>
      </c>
      <c r="Z32" t="s">
        <v>3179</v>
      </c>
      <c r="AA32" t="s">
        <v>97</v>
      </c>
      <c r="AB32" t="s">
        <v>97</v>
      </c>
      <c r="AC32" t="s">
        <v>97</v>
      </c>
    </row>
    <row r="33" spans="1:29">
      <c r="A33" t="s">
        <v>250</v>
      </c>
      <c r="B33" s="2">
        <v>46187</v>
      </c>
      <c r="C33" t="s">
        <v>30</v>
      </c>
      <c r="D33" t="s">
        <v>99</v>
      </c>
      <c r="E33" t="s">
        <v>111</v>
      </c>
      <c r="F33" t="s">
        <v>190</v>
      </c>
      <c r="G33" t="s">
        <v>251</v>
      </c>
      <c r="H33" t="s">
        <v>191</v>
      </c>
      <c r="I33" t="s">
        <v>192</v>
      </c>
      <c r="J33" t="s">
        <v>3025</v>
      </c>
      <c r="K33" t="s">
        <v>37</v>
      </c>
      <c r="L33" t="s">
        <v>68</v>
      </c>
      <c r="M33" t="s">
        <v>81</v>
      </c>
      <c r="N33" t="s">
        <v>130</v>
      </c>
      <c r="O33" s="4">
        <v>5</v>
      </c>
      <c r="P33" s="4">
        <v>7</v>
      </c>
      <c r="Q33" t="s">
        <v>138</v>
      </c>
      <c r="R33" s="2">
        <v>46177</v>
      </c>
      <c r="S33" s="4">
        <v>26</v>
      </c>
      <c r="T33" s="3">
        <v>248000000</v>
      </c>
      <c r="U33" t="s">
        <v>42</v>
      </c>
      <c r="V33" t="s">
        <v>143</v>
      </c>
      <c r="W33" t="s">
        <v>252</v>
      </c>
      <c r="X33" t="s">
        <v>253</v>
      </c>
      <c r="Y33" t="s">
        <v>254</v>
      </c>
      <c r="Z33" t="s">
        <v>3179</v>
      </c>
      <c r="AA33" t="s">
        <v>118</v>
      </c>
      <c r="AB33" t="s">
        <v>97</v>
      </c>
      <c r="AC33" t="s">
        <v>118</v>
      </c>
    </row>
    <row r="34" spans="1:29">
      <c r="A34" t="s">
        <v>255</v>
      </c>
      <c r="B34" s="2">
        <v>46176</v>
      </c>
      <c r="C34" t="s">
        <v>30</v>
      </c>
      <c r="D34" t="s">
        <v>134</v>
      </c>
      <c r="E34" t="s">
        <v>32</v>
      </c>
      <c r="F34" t="s">
        <v>256</v>
      </c>
      <c r="G34" t="s">
        <v>257</v>
      </c>
      <c r="H34" t="s">
        <v>258</v>
      </c>
      <c r="I34" t="s">
        <v>259</v>
      </c>
      <c r="J34" t="s">
        <v>3036</v>
      </c>
      <c r="K34" t="s">
        <v>92</v>
      </c>
      <c r="L34" t="s">
        <v>55</v>
      </c>
      <c r="M34" t="s">
        <v>93</v>
      </c>
      <c r="N34" t="s">
        <v>130</v>
      </c>
      <c r="O34" s="4">
        <v>5</v>
      </c>
      <c r="P34" s="4">
        <v>4</v>
      </c>
      <c r="Q34" t="s">
        <v>142</v>
      </c>
      <c r="R34" s="2">
        <v>46166</v>
      </c>
      <c r="S34" s="4">
        <v>37</v>
      </c>
      <c r="T34" s="3">
        <v>220000000</v>
      </c>
      <c r="U34" t="s">
        <v>260</v>
      </c>
      <c r="V34" t="s">
        <v>59</v>
      </c>
      <c r="W34" t="s">
        <v>144</v>
      </c>
      <c r="X34" t="s">
        <v>261</v>
      </c>
      <c r="Y34" t="s">
        <v>262</v>
      </c>
      <c r="Z34" t="s">
        <v>3179</v>
      </c>
      <c r="AA34" t="s">
        <v>46</v>
      </c>
      <c r="AB34" t="s">
        <v>97</v>
      </c>
      <c r="AC34" t="s">
        <v>46</v>
      </c>
    </row>
    <row r="35" spans="1:29">
      <c r="A35" t="s">
        <v>263</v>
      </c>
      <c r="B35" s="2">
        <v>46177</v>
      </c>
      <c r="C35" t="s">
        <v>30</v>
      </c>
      <c r="D35" t="s">
        <v>134</v>
      </c>
      <c r="E35" t="s">
        <v>111</v>
      </c>
      <c r="F35" t="s">
        <v>264</v>
      </c>
      <c r="G35" t="s">
        <v>265</v>
      </c>
      <c r="H35" t="s">
        <v>114</v>
      </c>
      <c r="I35" t="s">
        <v>266</v>
      </c>
      <c r="J35" t="s">
        <v>3037</v>
      </c>
      <c r="K35" t="s">
        <v>92</v>
      </c>
      <c r="L35" t="s">
        <v>169</v>
      </c>
      <c r="M35" t="s">
        <v>164</v>
      </c>
      <c r="N35" t="s">
        <v>94</v>
      </c>
      <c r="O35" s="4">
        <v>4</v>
      </c>
      <c r="P35" s="4">
        <v>5</v>
      </c>
      <c r="Q35" t="s">
        <v>138</v>
      </c>
      <c r="R35" s="2">
        <v>46167</v>
      </c>
      <c r="S35" s="4">
        <v>36</v>
      </c>
      <c r="T35" s="3">
        <v>146000000</v>
      </c>
      <c r="U35" t="s">
        <v>42</v>
      </c>
      <c r="V35" t="s">
        <v>59</v>
      </c>
      <c r="W35" t="s">
        <v>267</v>
      </c>
      <c r="Y35" t="s">
        <v>268</v>
      </c>
      <c r="Z35" t="s">
        <v>3179</v>
      </c>
      <c r="AA35" t="s">
        <v>118</v>
      </c>
      <c r="AB35" t="s">
        <v>97</v>
      </c>
      <c r="AC35" t="s">
        <v>118</v>
      </c>
    </row>
    <row r="36" spans="1:29">
      <c r="A36" t="s">
        <v>269</v>
      </c>
      <c r="B36" s="2">
        <v>46174</v>
      </c>
      <c r="C36" t="s">
        <v>30</v>
      </c>
      <c r="D36" t="s">
        <v>134</v>
      </c>
      <c r="E36" t="s">
        <v>50</v>
      </c>
      <c r="F36" t="s">
        <v>51</v>
      </c>
      <c r="G36" t="s">
        <v>270</v>
      </c>
      <c r="H36" t="s">
        <v>53</v>
      </c>
      <c r="I36" t="s">
        <v>271</v>
      </c>
      <c r="J36" t="s">
        <v>3038</v>
      </c>
      <c r="K36" t="s">
        <v>105</v>
      </c>
      <c r="L36" t="s">
        <v>68</v>
      </c>
      <c r="M36" t="s">
        <v>106</v>
      </c>
      <c r="N36" t="s">
        <v>57</v>
      </c>
      <c r="O36" s="4">
        <v>3</v>
      </c>
      <c r="P36" s="4">
        <v>12</v>
      </c>
      <c r="Q36" t="s">
        <v>107</v>
      </c>
      <c r="R36" s="2">
        <v>46174</v>
      </c>
      <c r="S36" s="4">
        <v>29</v>
      </c>
      <c r="T36" s="3">
        <v>293000000</v>
      </c>
      <c r="U36" t="s">
        <v>42</v>
      </c>
      <c r="V36" t="s">
        <v>43</v>
      </c>
      <c r="W36" t="s">
        <v>71</v>
      </c>
      <c r="Y36" t="s">
        <v>158</v>
      </c>
      <c r="Z36" t="s">
        <v>3180</v>
      </c>
      <c r="AA36" t="s">
        <v>62</v>
      </c>
      <c r="AB36" t="s">
        <v>193</v>
      </c>
      <c r="AC36" t="s">
        <v>62</v>
      </c>
    </row>
    <row r="37" spans="1:29">
      <c r="A37" t="s">
        <v>272</v>
      </c>
      <c r="B37" s="2">
        <v>46194</v>
      </c>
      <c r="C37" t="s">
        <v>30</v>
      </c>
      <c r="D37" t="s">
        <v>74</v>
      </c>
      <c r="E37" t="s">
        <v>32</v>
      </c>
      <c r="F37" t="s">
        <v>273</v>
      </c>
      <c r="G37" t="s">
        <v>257</v>
      </c>
      <c r="H37" t="s">
        <v>35</v>
      </c>
      <c r="I37" t="s">
        <v>219</v>
      </c>
      <c r="J37" t="s">
        <v>3028</v>
      </c>
      <c r="K37" t="s">
        <v>37</v>
      </c>
      <c r="L37" t="s">
        <v>38</v>
      </c>
      <c r="M37" t="s">
        <v>164</v>
      </c>
      <c r="N37" t="s">
        <v>94</v>
      </c>
      <c r="O37" s="4">
        <v>4</v>
      </c>
      <c r="P37" s="4">
        <v>6</v>
      </c>
      <c r="Q37" t="s">
        <v>83</v>
      </c>
      <c r="R37" s="2">
        <v>46184</v>
      </c>
      <c r="S37" s="4">
        <v>19</v>
      </c>
      <c r="T37" s="3">
        <v>127000000</v>
      </c>
      <c r="U37" t="s">
        <v>42</v>
      </c>
      <c r="V37" t="s">
        <v>59</v>
      </c>
      <c r="W37" t="s">
        <v>188</v>
      </c>
      <c r="Y37" t="s">
        <v>268</v>
      </c>
      <c r="Z37" t="s">
        <v>3179</v>
      </c>
      <c r="AA37" t="s">
        <v>46</v>
      </c>
      <c r="AB37" t="s">
        <v>97</v>
      </c>
      <c r="AC37" t="s">
        <v>46</v>
      </c>
    </row>
    <row r="38" spans="1:29">
      <c r="A38" t="s">
        <v>274</v>
      </c>
      <c r="B38" s="2">
        <v>46178</v>
      </c>
      <c r="C38" t="s">
        <v>30</v>
      </c>
      <c r="D38" t="s">
        <v>134</v>
      </c>
      <c r="E38" t="s">
        <v>120</v>
      </c>
      <c r="F38" t="s">
        <v>167</v>
      </c>
      <c r="G38" t="s">
        <v>122</v>
      </c>
      <c r="H38" t="s">
        <v>136</v>
      </c>
      <c r="I38" t="s">
        <v>275</v>
      </c>
      <c r="J38" t="s">
        <v>3039</v>
      </c>
      <c r="K38" t="s">
        <v>56</v>
      </c>
      <c r="L38" t="s">
        <v>80</v>
      </c>
      <c r="M38" t="s">
        <v>106</v>
      </c>
      <c r="N38" t="s">
        <v>130</v>
      </c>
      <c r="O38" s="4">
        <v>5</v>
      </c>
      <c r="P38" s="4">
        <v>6</v>
      </c>
      <c r="Q38" t="s">
        <v>142</v>
      </c>
      <c r="R38" s="2">
        <v>46170</v>
      </c>
      <c r="S38" s="4">
        <v>33</v>
      </c>
      <c r="T38" s="3">
        <v>420000000</v>
      </c>
      <c r="U38" t="s">
        <v>42</v>
      </c>
      <c r="V38" t="s">
        <v>70</v>
      </c>
      <c r="W38" t="s">
        <v>252</v>
      </c>
      <c r="X38" t="s">
        <v>253</v>
      </c>
      <c r="Y38" t="s">
        <v>254</v>
      </c>
      <c r="Z38" t="s">
        <v>3179</v>
      </c>
      <c r="AA38" t="s">
        <v>97</v>
      </c>
      <c r="AB38" t="s">
        <v>97</v>
      </c>
      <c r="AC38" t="s">
        <v>97</v>
      </c>
    </row>
    <row r="39" spans="1:29">
      <c r="A39" t="s">
        <v>276</v>
      </c>
      <c r="B39" s="2">
        <v>46177</v>
      </c>
      <c r="C39" t="s">
        <v>30</v>
      </c>
      <c r="D39" t="s">
        <v>134</v>
      </c>
      <c r="E39" t="s">
        <v>172</v>
      </c>
      <c r="F39" t="s">
        <v>277</v>
      </c>
      <c r="G39" t="s">
        <v>278</v>
      </c>
      <c r="H39" t="s">
        <v>175</v>
      </c>
      <c r="I39" t="s">
        <v>176</v>
      </c>
      <c r="J39" t="s">
        <v>3023</v>
      </c>
      <c r="K39" t="s">
        <v>105</v>
      </c>
      <c r="L39" t="s">
        <v>80</v>
      </c>
      <c r="M39" t="s">
        <v>56</v>
      </c>
      <c r="N39" t="s">
        <v>57</v>
      </c>
      <c r="O39" s="4">
        <v>3</v>
      </c>
      <c r="P39" s="4">
        <v>6</v>
      </c>
      <c r="Q39" t="s">
        <v>41</v>
      </c>
      <c r="R39" s="2">
        <v>46173</v>
      </c>
      <c r="S39" s="4">
        <v>30</v>
      </c>
      <c r="T39" s="3">
        <v>366000000</v>
      </c>
      <c r="U39" t="s">
        <v>42</v>
      </c>
      <c r="V39" t="s">
        <v>43</v>
      </c>
      <c r="W39" t="s">
        <v>71</v>
      </c>
      <c r="Y39" t="s">
        <v>158</v>
      </c>
      <c r="Z39" t="s">
        <v>3177</v>
      </c>
      <c r="AA39" t="s">
        <v>181</v>
      </c>
      <c r="AB39" t="s">
        <v>63</v>
      </c>
      <c r="AC39" t="s">
        <v>181</v>
      </c>
    </row>
    <row r="40" spans="1:29">
      <c r="A40" t="s">
        <v>279</v>
      </c>
      <c r="B40" s="2">
        <v>46186</v>
      </c>
      <c r="C40" t="s">
        <v>30</v>
      </c>
      <c r="D40" t="s">
        <v>99</v>
      </c>
      <c r="E40" t="s">
        <v>50</v>
      </c>
      <c r="F40" t="s">
        <v>89</v>
      </c>
      <c r="G40" t="s">
        <v>65</v>
      </c>
      <c r="H40" t="s">
        <v>66</v>
      </c>
      <c r="I40" t="s">
        <v>280</v>
      </c>
      <c r="J40" t="s">
        <v>3040</v>
      </c>
      <c r="K40" t="s">
        <v>105</v>
      </c>
      <c r="L40" t="s">
        <v>150</v>
      </c>
      <c r="M40" t="s">
        <v>164</v>
      </c>
      <c r="N40" t="s">
        <v>40</v>
      </c>
      <c r="O40" s="4">
        <v>2</v>
      </c>
      <c r="P40" s="4">
        <v>12</v>
      </c>
      <c r="Q40" t="s">
        <v>142</v>
      </c>
      <c r="R40" s="2">
        <v>46180</v>
      </c>
      <c r="S40" s="4">
        <v>23</v>
      </c>
      <c r="T40" s="3">
        <v>255000000</v>
      </c>
      <c r="U40" t="s">
        <v>42</v>
      </c>
      <c r="V40" t="s">
        <v>59</v>
      </c>
      <c r="W40" t="s">
        <v>178</v>
      </c>
      <c r="Y40" t="s">
        <v>281</v>
      </c>
      <c r="Z40" t="s">
        <v>3180</v>
      </c>
      <c r="AA40" t="s">
        <v>62</v>
      </c>
      <c r="AB40" t="s">
        <v>193</v>
      </c>
      <c r="AC40" t="s">
        <v>62</v>
      </c>
    </row>
    <row r="41" spans="1:29">
      <c r="A41" t="s">
        <v>282</v>
      </c>
      <c r="B41" s="2">
        <v>46187</v>
      </c>
      <c r="C41" t="s">
        <v>30</v>
      </c>
      <c r="D41" t="s">
        <v>99</v>
      </c>
      <c r="E41" t="s">
        <v>152</v>
      </c>
      <c r="F41" t="s">
        <v>153</v>
      </c>
      <c r="G41" t="s">
        <v>154</v>
      </c>
      <c r="H41" t="s">
        <v>283</v>
      </c>
      <c r="I41" t="s">
        <v>284</v>
      </c>
      <c r="J41" t="s">
        <v>3041</v>
      </c>
      <c r="K41" t="s">
        <v>37</v>
      </c>
      <c r="L41" t="s">
        <v>187</v>
      </c>
      <c r="M41" t="s">
        <v>39</v>
      </c>
      <c r="N41" t="s">
        <v>94</v>
      </c>
      <c r="O41" s="4">
        <v>4</v>
      </c>
      <c r="P41" s="4">
        <v>11</v>
      </c>
      <c r="Q41" t="s">
        <v>142</v>
      </c>
      <c r="R41" s="2">
        <v>46186</v>
      </c>
      <c r="S41" s="4">
        <v>17</v>
      </c>
      <c r="T41" s="3">
        <v>236000000</v>
      </c>
      <c r="U41" t="s">
        <v>42</v>
      </c>
      <c r="V41" t="s">
        <v>59</v>
      </c>
      <c r="W41" t="s">
        <v>170</v>
      </c>
      <c r="X41" t="s">
        <v>117</v>
      </c>
      <c r="Y41" t="s">
        <v>268</v>
      </c>
      <c r="Z41" t="s">
        <v>3179</v>
      </c>
      <c r="AA41" t="s">
        <v>159</v>
      </c>
      <c r="AB41" t="s">
        <v>97</v>
      </c>
      <c r="AC41" t="s">
        <v>159</v>
      </c>
    </row>
    <row r="42" spans="1:29">
      <c r="A42" t="s">
        <v>285</v>
      </c>
      <c r="B42" s="2">
        <v>46191</v>
      </c>
      <c r="C42" t="s">
        <v>30</v>
      </c>
      <c r="D42" t="s">
        <v>74</v>
      </c>
      <c r="E42" t="s">
        <v>152</v>
      </c>
      <c r="F42" t="s">
        <v>205</v>
      </c>
      <c r="G42" t="s">
        <v>286</v>
      </c>
      <c r="H42" t="s">
        <v>283</v>
      </c>
      <c r="I42" t="s">
        <v>287</v>
      </c>
      <c r="J42" t="s">
        <v>3042</v>
      </c>
      <c r="K42" t="s">
        <v>37</v>
      </c>
      <c r="L42" t="s">
        <v>187</v>
      </c>
      <c r="M42" t="s">
        <v>129</v>
      </c>
      <c r="N42" t="s">
        <v>57</v>
      </c>
      <c r="O42" s="4">
        <v>3</v>
      </c>
      <c r="P42" s="4">
        <v>11</v>
      </c>
      <c r="Q42" t="s">
        <v>41</v>
      </c>
      <c r="R42" s="2">
        <v>46181</v>
      </c>
      <c r="S42" s="4">
        <v>22</v>
      </c>
      <c r="T42" s="3">
        <v>272000000</v>
      </c>
      <c r="U42" t="s">
        <v>42</v>
      </c>
      <c r="V42" t="s">
        <v>59</v>
      </c>
      <c r="W42" t="s">
        <v>60</v>
      </c>
      <c r="Y42" t="s">
        <v>158</v>
      </c>
      <c r="Z42" t="s">
        <v>3177</v>
      </c>
      <c r="AA42" t="s">
        <v>159</v>
      </c>
      <c r="AB42" t="s">
        <v>63</v>
      </c>
      <c r="AC42" t="s">
        <v>159</v>
      </c>
    </row>
    <row r="43" spans="1:29">
      <c r="A43" t="s">
        <v>288</v>
      </c>
      <c r="B43" s="2">
        <v>46181</v>
      </c>
      <c r="C43" t="s">
        <v>30</v>
      </c>
      <c r="D43" t="s">
        <v>99</v>
      </c>
      <c r="E43" t="s">
        <v>172</v>
      </c>
      <c r="F43" t="s">
        <v>195</v>
      </c>
      <c r="G43" t="s">
        <v>289</v>
      </c>
      <c r="H43" t="s">
        <v>175</v>
      </c>
      <c r="I43" t="s">
        <v>176</v>
      </c>
      <c r="J43" t="s">
        <v>3023</v>
      </c>
      <c r="K43" t="s">
        <v>92</v>
      </c>
      <c r="L43" t="s">
        <v>38</v>
      </c>
      <c r="M43" t="s">
        <v>93</v>
      </c>
      <c r="N43" t="s">
        <v>82</v>
      </c>
      <c r="O43" s="4">
        <v>1</v>
      </c>
      <c r="P43" s="4">
        <v>9</v>
      </c>
      <c r="Q43" t="s">
        <v>142</v>
      </c>
      <c r="R43" s="2">
        <v>46175</v>
      </c>
      <c r="S43" s="4">
        <v>28</v>
      </c>
      <c r="T43" s="3">
        <v>146000000</v>
      </c>
      <c r="U43" t="s">
        <v>42</v>
      </c>
      <c r="V43" t="s">
        <v>43</v>
      </c>
      <c r="W43" t="s">
        <v>290</v>
      </c>
      <c r="Y43" t="s">
        <v>291</v>
      </c>
      <c r="Z43" t="s">
        <v>3178</v>
      </c>
      <c r="AA43" t="s">
        <v>181</v>
      </c>
      <c r="AB43" t="s">
        <v>87</v>
      </c>
      <c r="AC43" t="s">
        <v>181</v>
      </c>
    </row>
    <row r="44" spans="1:29">
      <c r="A44" t="s">
        <v>292</v>
      </c>
      <c r="B44" s="2">
        <v>46178</v>
      </c>
      <c r="C44" t="s">
        <v>30</v>
      </c>
      <c r="D44" t="s">
        <v>134</v>
      </c>
      <c r="E44" t="s">
        <v>75</v>
      </c>
      <c r="F44" t="s">
        <v>76</v>
      </c>
      <c r="G44" t="s">
        <v>77</v>
      </c>
      <c r="H44" t="s">
        <v>78</v>
      </c>
      <c r="I44" t="s">
        <v>163</v>
      </c>
      <c r="J44" t="s">
        <v>3021</v>
      </c>
      <c r="K44" t="s">
        <v>37</v>
      </c>
      <c r="L44" t="s">
        <v>150</v>
      </c>
      <c r="M44" t="s">
        <v>164</v>
      </c>
      <c r="N44" t="s">
        <v>57</v>
      </c>
      <c r="O44" s="4">
        <v>3</v>
      </c>
      <c r="P44" s="4">
        <v>5</v>
      </c>
      <c r="Q44" t="s">
        <v>83</v>
      </c>
      <c r="R44" s="2">
        <v>46168</v>
      </c>
      <c r="S44" s="4">
        <v>35</v>
      </c>
      <c r="T44" s="3">
        <v>240000000</v>
      </c>
      <c r="U44" t="s">
        <v>42</v>
      </c>
      <c r="V44" t="s">
        <v>59</v>
      </c>
      <c r="W44" t="s">
        <v>71</v>
      </c>
      <c r="Y44" t="s">
        <v>158</v>
      </c>
      <c r="Z44" t="s">
        <v>3177</v>
      </c>
      <c r="AA44" t="s">
        <v>86</v>
      </c>
      <c r="AB44" t="s">
        <v>63</v>
      </c>
      <c r="AC44" t="s">
        <v>86</v>
      </c>
    </row>
    <row r="45" spans="1:29">
      <c r="A45" t="s">
        <v>293</v>
      </c>
      <c r="B45" s="2">
        <v>46183</v>
      </c>
      <c r="C45" t="s">
        <v>30</v>
      </c>
      <c r="D45" t="s">
        <v>99</v>
      </c>
      <c r="E45" t="s">
        <v>152</v>
      </c>
      <c r="F45" t="s">
        <v>153</v>
      </c>
      <c r="G45" t="s">
        <v>294</v>
      </c>
      <c r="H45" t="s">
        <v>283</v>
      </c>
      <c r="I45" t="s">
        <v>295</v>
      </c>
      <c r="J45" t="s">
        <v>3043</v>
      </c>
      <c r="K45" t="s">
        <v>56</v>
      </c>
      <c r="L45" t="s">
        <v>169</v>
      </c>
      <c r="M45" t="s">
        <v>56</v>
      </c>
      <c r="N45" t="s">
        <v>82</v>
      </c>
      <c r="O45" s="4">
        <v>1</v>
      </c>
      <c r="P45" s="4">
        <v>18</v>
      </c>
      <c r="Q45" t="s">
        <v>69</v>
      </c>
      <c r="R45" s="2">
        <v>46176</v>
      </c>
      <c r="S45" s="4">
        <v>27</v>
      </c>
      <c r="T45" s="3">
        <v>234000000</v>
      </c>
      <c r="U45" t="s">
        <v>42</v>
      </c>
      <c r="V45" t="s">
        <v>59</v>
      </c>
      <c r="W45" t="s">
        <v>84</v>
      </c>
      <c r="Y45" t="s">
        <v>85</v>
      </c>
      <c r="Z45" t="s">
        <v>3180</v>
      </c>
      <c r="AA45" t="s">
        <v>159</v>
      </c>
      <c r="AB45" t="s">
        <v>193</v>
      </c>
      <c r="AC45" t="s">
        <v>159</v>
      </c>
    </row>
    <row r="46" spans="1:29">
      <c r="A46" t="s">
        <v>296</v>
      </c>
      <c r="B46" s="2">
        <v>46200</v>
      </c>
      <c r="C46" t="s">
        <v>30</v>
      </c>
      <c r="D46" t="s">
        <v>49</v>
      </c>
      <c r="E46" t="s">
        <v>32</v>
      </c>
      <c r="F46" t="s">
        <v>256</v>
      </c>
      <c r="G46" t="s">
        <v>257</v>
      </c>
      <c r="H46" t="s">
        <v>258</v>
      </c>
      <c r="I46" t="s">
        <v>297</v>
      </c>
      <c r="J46" t="s">
        <v>3044</v>
      </c>
      <c r="K46" t="s">
        <v>92</v>
      </c>
      <c r="L46" t="s">
        <v>187</v>
      </c>
      <c r="M46" t="s">
        <v>106</v>
      </c>
      <c r="N46" t="s">
        <v>40</v>
      </c>
      <c r="O46" s="4">
        <v>2</v>
      </c>
      <c r="P46" s="4">
        <v>1</v>
      </c>
      <c r="Q46" t="s">
        <v>69</v>
      </c>
      <c r="R46" s="2">
        <v>46195</v>
      </c>
      <c r="S46" s="4">
        <v>8</v>
      </c>
      <c r="T46" s="3">
        <v>88000000</v>
      </c>
      <c r="U46" t="s">
        <v>42</v>
      </c>
      <c r="V46" t="s">
        <v>59</v>
      </c>
      <c r="W46" t="s">
        <v>298</v>
      </c>
      <c r="Y46" t="s">
        <v>180</v>
      </c>
      <c r="Z46" t="s">
        <v>3176</v>
      </c>
      <c r="AA46" t="s">
        <v>46</v>
      </c>
      <c r="AB46" t="s">
        <v>47</v>
      </c>
      <c r="AC46" t="s">
        <v>46</v>
      </c>
    </row>
    <row r="47" spans="1:29">
      <c r="A47" t="s">
        <v>299</v>
      </c>
      <c r="B47" s="2">
        <v>46186</v>
      </c>
      <c r="C47" t="s">
        <v>30</v>
      </c>
      <c r="D47" t="s">
        <v>99</v>
      </c>
      <c r="E47" t="s">
        <v>120</v>
      </c>
      <c r="F47" t="s">
        <v>167</v>
      </c>
      <c r="G47" t="s">
        <v>122</v>
      </c>
      <c r="H47" t="s">
        <v>300</v>
      </c>
      <c r="I47" t="s">
        <v>301</v>
      </c>
      <c r="J47" t="s">
        <v>3045</v>
      </c>
      <c r="K47" t="s">
        <v>105</v>
      </c>
      <c r="L47" t="s">
        <v>187</v>
      </c>
      <c r="M47" t="s">
        <v>93</v>
      </c>
      <c r="N47" t="s">
        <v>57</v>
      </c>
      <c r="O47" s="4">
        <v>3</v>
      </c>
      <c r="P47" s="4">
        <v>8</v>
      </c>
      <c r="Q47" t="s">
        <v>138</v>
      </c>
      <c r="R47" s="2">
        <v>46182</v>
      </c>
      <c r="S47" s="4">
        <v>21</v>
      </c>
      <c r="T47" s="3">
        <v>137000000</v>
      </c>
      <c r="U47" t="s">
        <v>42</v>
      </c>
      <c r="V47" t="s">
        <v>43</v>
      </c>
      <c r="W47" t="s">
        <v>203</v>
      </c>
      <c r="Y47" t="s">
        <v>158</v>
      </c>
      <c r="Z47" t="s">
        <v>3177</v>
      </c>
      <c r="AA47" t="s">
        <v>97</v>
      </c>
      <c r="AB47" t="s">
        <v>63</v>
      </c>
      <c r="AC47" t="s">
        <v>97</v>
      </c>
    </row>
    <row r="48" spans="1:29">
      <c r="A48" t="s">
        <v>302</v>
      </c>
      <c r="B48" s="2">
        <v>46190</v>
      </c>
      <c r="C48" t="s">
        <v>30</v>
      </c>
      <c r="D48" t="s">
        <v>74</v>
      </c>
      <c r="E48" t="s">
        <v>32</v>
      </c>
      <c r="F48" t="s">
        <v>33</v>
      </c>
      <c r="G48" t="s">
        <v>34</v>
      </c>
      <c r="H48" t="s">
        <v>303</v>
      </c>
      <c r="I48" t="s">
        <v>304</v>
      </c>
      <c r="J48" t="s">
        <v>3046</v>
      </c>
      <c r="K48" t="s">
        <v>105</v>
      </c>
      <c r="L48" t="s">
        <v>187</v>
      </c>
      <c r="M48" t="s">
        <v>93</v>
      </c>
      <c r="N48" t="s">
        <v>82</v>
      </c>
      <c r="O48" s="4">
        <v>1</v>
      </c>
      <c r="P48" s="4">
        <v>1</v>
      </c>
      <c r="Q48" t="s">
        <v>58</v>
      </c>
      <c r="R48" s="2">
        <v>46185</v>
      </c>
      <c r="S48" s="4">
        <v>18</v>
      </c>
      <c r="T48" s="3">
        <v>147000000</v>
      </c>
      <c r="U48" t="s">
        <v>260</v>
      </c>
      <c r="V48" t="s">
        <v>43</v>
      </c>
      <c r="W48" t="s">
        <v>84</v>
      </c>
      <c r="X48" t="s">
        <v>179</v>
      </c>
      <c r="Y48" t="s">
        <v>305</v>
      </c>
      <c r="Z48" t="s">
        <v>3176</v>
      </c>
      <c r="AA48" t="s">
        <v>46</v>
      </c>
      <c r="AB48" t="s">
        <v>47</v>
      </c>
      <c r="AC48" t="s">
        <v>46</v>
      </c>
    </row>
    <row r="49" spans="1:29">
      <c r="A49" t="s">
        <v>306</v>
      </c>
      <c r="B49" s="2">
        <v>46193</v>
      </c>
      <c r="C49" t="s">
        <v>30</v>
      </c>
      <c r="D49" t="s">
        <v>74</v>
      </c>
      <c r="E49" t="s">
        <v>50</v>
      </c>
      <c r="F49" t="s">
        <v>89</v>
      </c>
      <c r="G49" t="s">
        <v>52</v>
      </c>
      <c r="H49" t="s">
        <v>53</v>
      </c>
      <c r="I49" t="s">
        <v>307</v>
      </c>
      <c r="J49" t="s">
        <v>3047</v>
      </c>
      <c r="K49" t="s">
        <v>105</v>
      </c>
      <c r="L49" t="s">
        <v>38</v>
      </c>
      <c r="M49" t="s">
        <v>106</v>
      </c>
      <c r="N49" t="s">
        <v>40</v>
      </c>
      <c r="O49" s="4">
        <v>2</v>
      </c>
      <c r="P49" s="4">
        <v>17</v>
      </c>
      <c r="Q49" t="s">
        <v>142</v>
      </c>
      <c r="R49" s="2">
        <v>46191</v>
      </c>
      <c r="S49" s="4">
        <v>12</v>
      </c>
      <c r="T49" s="3">
        <v>182000000</v>
      </c>
      <c r="U49" t="s">
        <v>260</v>
      </c>
      <c r="V49" t="s">
        <v>59</v>
      </c>
      <c r="W49" t="s">
        <v>298</v>
      </c>
      <c r="X49" t="s">
        <v>308</v>
      </c>
      <c r="Y49" t="s">
        <v>309</v>
      </c>
      <c r="Z49" t="s">
        <v>3180</v>
      </c>
      <c r="AA49" t="s">
        <v>62</v>
      </c>
      <c r="AB49" t="s">
        <v>193</v>
      </c>
      <c r="AC49" t="s">
        <v>62</v>
      </c>
    </row>
    <row r="50" spans="1:29">
      <c r="A50" t="s">
        <v>310</v>
      </c>
      <c r="B50" s="2">
        <v>46179</v>
      </c>
      <c r="C50" t="s">
        <v>30</v>
      </c>
      <c r="D50" t="s">
        <v>134</v>
      </c>
      <c r="E50" t="s">
        <v>111</v>
      </c>
      <c r="F50" t="s">
        <v>190</v>
      </c>
      <c r="G50" t="s">
        <v>113</v>
      </c>
      <c r="H50" t="s">
        <v>127</v>
      </c>
      <c r="I50" t="s">
        <v>311</v>
      </c>
      <c r="J50" t="s">
        <v>3048</v>
      </c>
      <c r="K50" t="s">
        <v>56</v>
      </c>
      <c r="L50" t="s">
        <v>150</v>
      </c>
      <c r="M50" t="s">
        <v>56</v>
      </c>
      <c r="N50" t="s">
        <v>94</v>
      </c>
      <c r="O50" s="4">
        <v>4</v>
      </c>
      <c r="P50" s="4">
        <v>7</v>
      </c>
      <c r="Q50" t="s">
        <v>69</v>
      </c>
      <c r="R50" s="2">
        <v>46176</v>
      </c>
      <c r="S50" s="4">
        <v>27</v>
      </c>
      <c r="T50" s="3">
        <v>116000000</v>
      </c>
      <c r="U50" t="s">
        <v>42</v>
      </c>
      <c r="V50" t="s">
        <v>70</v>
      </c>
      <c r="W50" t="s">
        <v>170</v>
      </c>
      <c r="Y50" t="s">
        <v>96</v>
      </c>
      <c r="Z50" t="s">
        <v>3179</v>
      </c>
      <c r="AA50" t="s">
        <v>118</v>
      </c>
      <c r="AB50" t="s">
        <v>97</v>
      </c>
      <c r="AC50" t="s">
        <v>118</v>
      </c>
    </row>
    <row r="51" spans="1:29">
      <c r="A51" t="s">
        <v>312</v>
      </c>
      <c r="B51" s="2">
        <v>46186</v>
      </c>
      <c r="C51" t="s">
        <v>30</v>
      </c>
      <c r="D51" t="s">
        <v>99</v>
      </c>
      <c r="E51" t="s">
        <v>100</v>
      </c>
      <c r="F51" t="s">
        <v>140</v>
      </c>
      <c r="G51" t="s">
        <v>313</v>
      </c>
      <c r="H51" t="s">
        <v>103</v>
      </c>
      <c r="I51" t="s">
        <v>141</v>
      </c>
      <c r="J51" t="s">
        <v>3018</v>
      </c>
      <c r="K51" t="s">
        <v>56</v>
      </c>
      <c r="L51" t="s">
        <v>80</v>
      </c>
      <c r="M51" t="s">
        <v>56</v>
      </c>
      <c r="N51" t="s">
        <v>94</v>
      </c>
      <c r="O51" s="4">
        <v>4</v>
      </c>
      <c r="P51" s="4">
        <v>17</v>
      </c>
      <c r="Q51" t="s">
        <v>41</v>
      </c>
      <c r="R51" s="2">
        <v>46185</v>
      </c>
      <c r="S51" s="4">
        <v>18</v>
      </c>
      <c r="T51" s="3">
        <v>461000000</v>
      </c>
      <c r="U51" t="s">
        <v>42</v>
      </c>
      <c r="V51" t="s">
        <v>59</v>
      </c>
      <c r="W51" t="s">
        <v>95</v>
      </c>
      <c r="Y51" t="s">
        <v>228</v>
      </c>
      <c r="Z51" t="s">
        <v>3179</v>
      </c>
      <c r="AA51" t="s">
        <v>109</v>
      </c>
      <c r="AB51" t="s">
        <v>97</v>
      </c>
      <c r="AC51" t="s">
        <v>109</v>
      </c>
    </row>
    <row r="52" spans="1:29">
      <c r="A52" t="s">
        <v>314</v>
      </c>
      <c r="B52" s="2">
        <v>46181</v>
      </c>
      <c r="C52" t="s">
        <v>30</v>
      </c>
      <c r="D52" t="s">
        <v>99</v>
      </c>
      <c r="E52" t="s">
        <v>100</v>
      </c>
      <c r="F52" t="s">
        <v>146</v>
      </c>
      <c r="G52" t="s">
        <v>212</v>
      </c>
      <c r="H52" t="s">
        <v>148</v>
      </c>
      <c r="I52" t="s">
        <v>315</v>
      </c>
      <c r="J52" t="s">
        <v>3049</v>
      </c>
      <c r="K52" t="s">
        <v>92</v>
      </c>
      <c r="L52" t="s">
        <v>80</v>
      </c>
      <c r="M52" t="s">
        <v>129</v>
      </c>
      <c r="N52" t="s">
        <v>94</v>
      </c>
      <c r="O52" s="4">
        <v>4</v>
      </c>
      <c r="P52" s="4">
        <v>9</v>
      </c>
      <c r="Q52" t="s">
        <v>107</v>
      </c>
      <c r="R52" s="2">
        <v>46177</v>
      </c>
      <c r="S52" s="4">
        <v>26</v>
      </c>
      <c r="T52" s="3">
        <v>227000000</v>
      </c>
      <c r="U52" t="s">
        <v>42</v>
      </c>
      <c r="V52" t="s">
        <v>59</v>
      </c>
      <c r="W52" t="s">
        <v>170</v>
      </c>
      <c r="X52" t="s">
        <v>117</v>
      </c>
      <c r="Y52" t="s">
        <v>268</v>
      </c>
      <c r="Z52" t="s">
        <v>3179</v>
      </c>
      <c r="AA52" t="s">
        <v>109</v>
      </c>
      <c r="AB52" t="s">
        <v>97</v>
      </c>
      <c r="AC52" t="s">
        <v>109</v>
      </c>
    </row>
    <row r="53" spans="1:29">
      <c r="A53" t="s">
        <v>316</v>
      </c>
      <c r="B53" s="2">
        <v>46190</v>
      </c>
      <c r="C53" t="s">
        <v>30</v>
      </c>
      <c r="D53" t="s">
        <v>74</v>
      </c>
      <c r="E53" t="s">
        <v>172</v>
      </c>
      <c r="F53" t="s">
        <v>195</v>
      </c>
      <c r="G53" t="s">
        <v>278</v>
      </c>
      <c r="H53" t="s">
        <v>317</v>
      </c>
      <c r="I53" t="s">
        <v>318</v>
      </c>
      <c r="J53" t="s">
        <v>3050</v>
      </c>
      <c r="K53" t="s">
        <v>56</v>
      </c>
      <c r="L53" t="s">
        <v>80</v>
      </c>
      <c r="M53" t="s">
        <v>106</v>
      </c>
      <c r="N53" t="s">
        <v>57</v>
      </c>
      <c r="O53" s="4">
        <v>3</v>
      </c>
      <c r="P53" s="4">
        <v>3</v>
      </c>
      <c r="Q53" t="s">
        <v>83</v>
      </c>
      <c r="R53" s="2">
        <v>46182</v>
      </c>
      <c r="S53" s="4">
        <v>21</v>
      </c>
      <c r="T53" s="3">
        <v>349000000</v>
      </c>
      <c r="U53" t="s">
        <v>42</v>
      </c>
      <c r="V53" t="s">
        <v>59</v>
      </c>
      <c r="W53" t="s">
        <v>203</v>
      </c>
      <c r="Y53" t="s">
        <v>158</v>
      </c>
      <c r="Z53" t="s">
        <v>3177</v>
      </c>
      <c r="AA53" t="s">
        <v>181</v>
      </c>
      <c r="AB53" t="s">
        <v>63</v>
      </c>
      <c r="AC53" t="s">
        <v>181</v>
      </c>
    </row>
    <row r="54" spans="1:29">
      <c r="A54" t="s">
        <v>319</v>
      </c>
      <c r="B54" s="2">
        <v>46179</v>
      </c>
      <c r="C54" t="s">
        <v>30</v>
      </c>
      <c r="D54" t="s">
        <v>134</v>
      </c>
      <c r="E54" t="s">
        <v>32</v>
      </c>
      <c r="F54" t="s">
        <v>33</v>
      </c>
      <c r="G54" t="s">
        <v>218</v>
      </c>
      <c r="H54" t="s">
        <v>35</v>
      </c>
      <c r="I54" t="s">
        <v>320</v>
      </c>
      <c r="J54" t="s">
        <v>3051</v>
      </c>
      <c r="K54" t="s">
        <v>56</v>
      </c>
      <c r="L54" t="s">
        <v>80</v>
      </c>
      <c r="M54" t="s">
        <v>39</v>
      </c>
      <c r="N54" t="s">
        <v>196</v>
      </c>
      <c r="O54" s="4">
        <v>7</v>
      </c>
      <c r="P54" s="4">
        <v>5</v>
      </c>
      <c r="Q54" t="s">
        <v>69</v>
      </c>
      <c r="R54" s="2">
        <v>46177</v>
      </c>
      <c r="S54" s="4">
        <v>26</v>
      </c>
      <c r="T54" s="3">
        <v>375000000</v>
      </c>
      <c r="U54" t="s">
        <v>196</v>
      </c>
      <c r="V54" t="s">
        <v>70</v>
      </c>
      <c r="W54" t="s">
        <v>209</v>
      </c>
      <c r="Y54" t="s">
        <v>210</v>
      </c>
      <c r="Z54" t="s">
        <v>3181</v>
      </c>
      <c r="AA54" t="s">
        <v>46</v>
      </c>
      <c r="AB54" t="s">
        <v>199</v>
      </c>
      <c r="AC54" t="s">
        <v>46</v>
      </c>
    </row>
    <row r="55" spans="1:29">
      <c r="A55" t="s">
        <v>321</v>
      </c>
      <c r="B55" s="2">
        <v>46194</v>
      </c>
      <c r="C55" t="s">
        <v>30</v>
      </c>
      <c r="D55" t="s">
        <v>74</v>
      </c>
      <c r="E55" t="s">
        <v>32</v>
      </c>
      <c r="F55" t="s">
        <v>273</v>
      </c>
      <c r="G55" t="s">
        <v>34</v>
      </c>
      <c r="H55" t="s">
        <v>258</v>
      </c>
      <c r="I55" t="s">
        <v>297</v>
      </c>
      <c r="J55" t="s">
        <v>3044</v>
      </c>
      <c r="K55" t="s">
        <v>37</v>
      </c>
      <c r="L55" t="s">
        <v>150</v>
      </c>
      <c r="M55" t="s">
        <v>164</v>
      </c>
      <c r="N55" t="s">
        <v>40</v>
      </c>
      <c r="O55" s="4">
        <v>2</v>
      </c>
      <c r="P55" s="4">
        <v>3</v>
      </c>
      <c r="Q55" t="s">
        <v>83</v>
      </c>
      <c r="R55" s="2">
        <v>46191</v>
      </c>
      <c r="S55" s="4">
        <v>12</v>
      </c>
      <c r="T55" s="3">
        <v>75000000</v>
      </c>
      <c r="U55" t="s">
        <v>42</v>
      </c>
      <c r="V55" t="s">
        <v>43</v>
      </c>
      <c r="W55" t="s">
        <v>298</v>
      </c>
      <c r="Y55" t="s">
        <v>45</v>
      </c>
      <c r="Z55" t="s">
        <v>3176</v>
      </c>
      <c r="AA55" t="s">
        <v>46</v>
      </c>
      <c r="AB55" t="s">
        <v>47</v>
      </c>
      <c r="AC55" t="s">
        <v>46</v>
      </c>
    </row>
    <row r="56" spans="1:29">
      <c r="A56" t="s">
        <v>322</v>
      </c>
      <c r="B56" s="2">
        <v>46200</v>
      </c>
      <c r="C56" t="s">
        <v>30</v>
      </c>
      <c r="D56" t="s">
        <v>49</v>
      </c>
      <c r="E56" t="s">
        <v>32</v>
      </c>
      <c r="F56" t="s">
        <v>256</v>
      </c>
      <c r="G56" t="s">
        <v>218</v>
      </c>
      <c r="H56" t="s">
        <v>35</v>
      </c>
      <c r="I56" t="s">
        <v>323</v>
      </c>
      <c r="J56" t="s">
        <v>3052</v>
      </c>
      <c r="K56" t="s">
        <v>105</v>
      </c>
      <c r="L56" t="s">
        <v>68</v>
      </c>
      <c r="M56" t="s">
        <v>129</v>
      </c>
      <c r="N56" t="s">
        <v>82</v>
      </c>
      <c r="O56" s="4">
        <v>1</v>
      </c>
      <c r="P56" s="4">
        <v>5</v>
      </c>
      <c r="Q56" t="s">
        <v>138</v>
      </c>
      <c r="R56" s="2">
        <v>46198</v>
      </c>
      <c r="S56" s="4">
        <v>5</v>
      </c>
      <c r="T56" s="3">
        <v>105000000</v>
      </c>
      <c r="U56" t="s">
        <v>42</v>
      </c>
      <c r="V56" t="s">
        <v>43</v>
      </c>
      <c r="W56" t="s">
        <v>84</v>
      </c>
      <c r="Y56" t="s">
        <v>291</v>
      </c>
      <c r="Z56" t="s">
        <v>3178</v>
      </c>
      <c r="AA56" t="s">
        <v>46</v>
      </c>
      <c r="AB56" t="s">
        <v>87</v>
      </c>
      <c r="AC56" t="s">
        <v>46</v>
      </c>
    </row>
    <row r="57" spans="1:29">
      <c r="A57" t="s">
        <v>324</v>
      </c>
      <c r="B57" s="2">
        <v>46195</v>
      </c>
      <c r="C57" t="s">
        <v>30</v>
      </c>
      <c r="D57" t="s">
        <v>49</v>
      </c>
      <c r="E57" t="s">
        <v>75</v>
      </c>
      <c r="F57" t="s">
        <v>161</v>
      </c>
      <c r="G57" t="s">
        <v>162</v>
      </c>
      <c r="H57" t="s">
        <v>78</v>
      </c>
      <c r="I57" t="s">
        <v>231</v>
      </c>
      <c r="J57" t="s">
        <v>3031</v>
      </c>
      <c r="K57" t="s">
        <v>92</v>
      </c>
      <c r="L57" t="s">
        <v>150</v>
      </c>
      <c r="M57" t="s">
        <v>129</v>
      </c>
      <c r="N57" t="s">
        <v>57</v>
      </c>
      <c r="O57" s="4">
        <v>3</v>
      </c>
      <c r="P57" s="4">
        <v>4</v>
      </c>
      <c r="Q57" t="s">
        <v>58</v>
      </c>
      <c r="R57" s="2">
        <v>46193</v>
      </c>
      <c r="S57" s="4">
        <v>10</v>
      </c>
      <c r="T57" s="3">
        <v>213000000</v>
      </c>
      <c r="U57" t="s">
        <v>42</v>
      </c>
      <c r="V57" t="s">
        <v>43</v>
      </c>
      <c r="W57" t="s">
        <v>203</v>
      </c>
      <c r="Y57" t="s">
        <v>165</v>
      </c>
      <c r="Z57" t="s">
        <v>3177</v>
      </c>
      <c r="AA57" t="s">
        <v>86</v>
      </c>
      <c r="AB57" t="s">
        <v>63</v>
      </c>
      <c r="AC57" t="s">
        <v>86</v>
      </c>
    </row>
    <row r="58" spans="1:29">
      <c r="A58" t="s">
        <v>325</v>
      </c>
      <c r="B58" s="2">
        <v>46182</v>
      </c>
      <c r="C58" t="s">
        <v>30</v>
      </c>
      <c r="D58" t="s">
        <v>99</v>
      </c>
      <c r="E58" t="s">
        <v>32</v>
      </c>
      <c r="F58" t="s">
        <v>256</v>
      </c>
      <c r="G58" t="s">
        <v>34</v>
      </c>
      <c r="H58" t="s">
        <v>303</v>
      </c>
      <c r="I58" t="s">
        <v>326</v>
      </c>
      <c r="J58" t="s">
        <v>3053</v>
      </c>
      <c r="K58" t="s">
        <v>56</v>
      </c>
      <c r="L58" t="s">
        <v>80</v>
      </c>
      <c r="M58" t="s">
        <v>39</v>
      </c>
      <c r="N58" t="s">
        <v>40</v>
      </c>
      <c r="O58" s="4">
        <v>2</v>
      </c>
      <c r="P58" s="4">
        <v>5</v>
      </c>
      <c r="Q58" t="s">
        <v>41</v>
      </c>
      <c r="R58" s="2">
        <v>46179</v>
      </c>
      <c r="S58" s="4">
        <v>24</v>
      </c>
      <c r="T58" s="3">
        <v>357000000</v>
      </c>
      <c r="U58" t="s">
        <v>42</v>
      </c>
      <c r="V58" t="s">
        <v>43</v>
      </c>
      <c r="W58" t="s">
        <v>298</v>
      </c>
      <c r="Y58" t="s">
        <v>309</v>
      </c>
      <c r="Z58" t="s">
        <v>3178</v>
      </c>
      <c r="AA58" t="s">
        <v>46</v>
      </c>
      <c r="AB58" t="s">
        <v>87</v>
      </c>
      <c r="AC58" t="s">
        <v>46</v>
      </c>
    </row>
    <row r="59" spans="1:29">
      <c r="A59" t="s">
        <v>327</v>
      </c>
      <c r="B59" s="2">
        <v>46191</v>
      </c>
      <c r="C59" t="s">
        <v>30</v>
      </c>
      <c r="D59" t="s">
        <v>74</v>
      </c>
      <c r="E59" t="s">
        <v>152</v>
      </c>
      <c r="F59" t="s">
        <v>205</v>
      </c>
      <c r="G59" t="s">
        <v>328</v>
      </c>
      <c r="H59" t="s">
        <v>207</v>
      </c>
      <c r="I59" t="s">
        <v>208</v>
      </c>
      <c r="J59" t="s">
        <v>3027</v>
      </c>
      <c r="K59" t="s">
        <v>105</v>
      </c>
      <c r="L59" t="s">
        <v>187</v>
      </c>
      <c r="M59" t="s">
        <v>106</v>
      </c>
      <c r="N59" t="s">
        <v>94</v>
      </c>
      <c r="O59" s="4">
        <v>4</v>
      </c>
      <c r="P59" s="4">
        <v>11</v>
      </c>
      <c r="Q59" t="s">
        <v>41</v>
      </c>
      <c r="R59" s="2">
        <v>46183</v>
      </c>
      <c r="S59" s="4">
        <v>20</v>
      </c>
      <c r="T59" s="3">
        <v>145000000</v>
      </c>
      <c r="U59" t="s">
        <v>42</v>
      </c>
      <c r="V59" t="s">
        <v>59</v>
      </c>
      <c r="W59" t="s">
        <v>170</v>
      </c>
      <c r="Y59" t="s">
        <v>108</v>
      </c>
      <c r="Z59" t="s">
        <v>3179</v>
      </c>
      <c r="AA59" t="s">
        <v>159</v>
      </c>
      <c r="AB59" t="s">
        <v>97</v>
      </c>
      <c r="AC59" t="s">
        <v>159</v>
      </c>
    </row>
    <row r="60" spans="1:29">
      <c r="A60" t="s">
        <v>329</v>
      </c>
      <c r="B60" s="2">
        <v>46196</v>
      </c>
      <c r="C60" t="s">
        <v>30</v>
      </c>
      <c r="D60" t="s">
        <v>49</v>
      </c>
      <c r="E60" t="s">
        <v>32</v>
      </c>
      <c r="F60" t="s">
        <v>33</v>
      </c>
      <c r="G60" t="s">
        <v>257</v>
      </c>
      <c r="H60" t="s">
        <v>35</v>
      </c>
      <c r="I60" t="s">
        <v>320</v>
      </c>
      <c r="J60" t="s">
        <v>3051</v>
      </c>
      <c r="K60" t="s">
        <v>56</v>
      </c>
      <c r="L60" t="s">
        <v>150</v>
      </c>
      <c r="M60" t="s">
        <v>93</v>
      </c>
      <c r="N60" t="s">
        <v>82</v>
      </c>
      <c r="O60" s="4">
        <v>1</v>
      </c>
      <c r="P60" s="4">
        <v>5</v>
      </c>
      <c r="Q60" t="s">
        <v>107</v>
      </c>
      <c r="R60" s="2">
        <v>46189</v>
      </c>
      <c r="S60" s="4">
        <v>14</v>
      </c>
      <c r="T60" s="3">
        <v>300000000</v>
      </c>
      <c r="U60" t="s">
        <v>42</v>
      </c>
      <c r="V60" t="s">
        <v>43</v>
      </c>
      <c r="W60" t="s">
        <v>290</v>
      </c>
      <c r="Y60" t="s">
        <v>330</v>
      </c>
      <c r="Z60" t="s">
        <v>3178</v>
      </c>
      <c r="AA60" t="s">
        <v>46</v>
      </c>
      <c r="AB60" t="s">
        <v>87</v>
      </c>
      <c r="AC60" t="s">
        <v>46</v>
      </c>
    </row>
    <row r="61" spans="1:29">
      <c r="A61" t="s">
        <v>331</v>
      </c>
      <c r="B61" s="2">
        <v>46196</v>
      </c>
      <c r="C61" t="s">
        <v>30</v>
      </c>
      <c r="D61" t="s">
        <v>49</v>
      </c>
      <c r="E61" t="s">
        <v>120</v>
      </c>
      <c r="F61" t="s">
        <v>246</v>
      </c>
      <c r="G61" t="s">
        <v>227</v>
      </c>
      <c r="H61" t="s">
        <v>136</v>
      </c>
      <c r="I61" t="s">
        <v>168</v>
      </c>
      <c r="J61" t="s">
        <v>3022</v>
      </c>
      <c r="K61" t="s">
        <v>56</v>
      </c>
      <c r="L61" t="s">
        <v>68</v>
      </c>
      <c r="M61" t="s">
        <v>56</v>
      </c>
      <c r="N61" t="s">
        <v>40</v>
      </c>
      <c r="O61" s="4">
        <v>2</v>
      </c>
      <c r="P61" s="4">
        <v>9</v>
      </c>
      <c r="Q61" t="s">
        <v>138</v>
      </c>
      <c r="R61" s="2">
        <v>46193</v>
      </c>
      <c r="S61" s="4">
        <v>10</v>
      </c>
      <c r="T61" s="3">
        <v>368000000</v>
      </c>
      <c r="U61" t="s">
        <v>42</v>
      </c>
      <c r="V61" t="s">
        <v>43</v>
      </c>
      <c r="W61" t="s">
        <v>178</v>
      </c>
      <c r="Y61" t="s">
        <v>309</v>
      </c>
      <c r="Z61" t="s">
        <v>3178</v>
      </c>
      <c r="AA61" t="s">
        <v>97</v>
      </c>
      <c r="AB61" t="s">
        <v>87</v>
      </c>
      <c r="AC61" t="s">
        <v>97</v>
      </c>
    </row>
    <row r="62" spans="1:29">
      <c r="A62" t="s">
        <v>332</v>
      </c>
      <c r="B62" s="2">
        <v>46200</v>
      </c>
      <c r="C62" t="s">
        <v>30</v>
      </c>
      <c r="D62" t="s">
        <v>49</v>
      </c>
      <c r="E62" t="s">
        <v>172</v>
      </c>
      <c r="F62" t="s">
        <v>195</v>
      </c>
      <c r="G62" t="s">
        <v>289</v>
      </c>
      <c r="H62" t="s">
        <v>175</v>
      </c>
      <c r="I62" t="s">
        <v>333</v>
      </c>
      <c r="J62" t="s">
        <v>3054</v>
      </c>
      <c r="K62" t="s">
        <v>105</v>
      </c>
      <c r="L62" t="s">
        <v>150</v>
      </c>
      <c r="M62" t="s">
        <v>81</v>
      </c>
      <c r="N62" t="s">
        <v>130</v>
      </c>
      <c r="O62" s="4">
        <v>5</v>
      </c>
      <c r="P62" s="4">
        <v>14</v>
      </c>
      <c r="Q62" t="s">
        <v>142</v>
      </c>
      <c r="R62" s="2">
        <v>46200</v>
      </c>
      <c r="S62" s="4">
        <v>3</v>
      </c>
      <c r="T62" s="3">
        <v>211000000</v>
      </c>
      <c r="U62" t="s">
        <v>42</v>
      </c>
      <c r="V62" t="s">
        <v>70</v>
      </c>
      <c r="W62" t="s">
        <v>131</v>
      </c>
      <c r="Y62" t="s">
        <v>334</v>
      </c>
      <c r="Z62" t="s">
        <v>3179</v>
      </c>
      <c r="AA62" t="s">
        <v>181</v>
      </c>
      <c r="AB62" t="s">
        <v>97</v>
      </c>
      <c r="AC62" t="s">
        <v>181</v>
      </c>
    </row>
    <row r="63" spans="1:29">
      <c r="A63" t="s">
        <v>335</v>
      </c>
      <c r="B63" s="2">
        <v>46184</v>
      </c>
      <c r="C63" t="s">
        <v>30</v>
      </c>
      <c r="D63" t="s">
        <v>99</v>
      </c>
      <c r="E63" t="s">
        <v>120</v>
      </c>
      <c r="F63" t="s">
        <v>167</v>
      </c>
      <c r="G63" t="s">
        <v>135</v>
      </c>
      <c r="H63" t="s">
        <v>123</v>
      </c>
      <c r="I63" t="s">
        <v>336</v>
      </c>
      <c r="J63" t="s">
        <v>3055</v>
      </c>
      <c r="K63" t="s">
        <v>105</v>
      </c>
      <c r="L63" t="s">
        <v>55</v>
      </c>
      <c r="M63" t="s">
        <v>164</v>
      </c>
      <c r="N63" t="s">
        <v>40</v>
      </c>
      <c r="O63" s="4">
        <v>2</v>
      </c>
      <c r="P63" s="4">
        <v>9</v>
      </c>
      <c r="Q63" t="s">
        <v>107</v>
      </c>
      <c r="R63" s="2">
        <v>46179</v>
      </c>
      <c r="S63" s="4">
        <v>24</v>
      </c>
      <c r="T63" s="3">
        <v>123000000</v>
      </c>
      <c r="U63" t="s">
        <v>42</v>
      </c>
      <c r="V63" t="s">
        <v>43</v>
      </c>
      <c r="W63" t="s">
        <v>178</v>
      </c>
      <c r="Y63" t="s">
        <v>45</v>
      </c>
      <c r="Z63" t="s">
        <v>3178</v>
      </c>
      <c r="AA63" t="s">
        <v>97</v>
      </c>
      <c r="AB63" t="s">
        <v>87</v>
      </c>
      <c r="AC63" t="s">
        <v>97</v>
      </c>
    </row>
    <row r="64" spans="1:29">
      <c r="A64" t="s">
        <v>337</v>
      </c>
      <c r="B64" s="2">
        <v>46179</v>
      </c>
      <c r="C64" t="s">
        <v>30</v>
      </c>
      <c r="D64" t="s">
        <v>134</v>
      </c>
      <c r="E64" t="s">
        <v>172</v>
      </c>
      <c r="F64" t="s">
        <v>173</v>
      </c>
      <c r="G64" t="s">
        <v>338</v>
      </c>
      <c r="H64" t="s">
        <v>241</v>
      </c>
      <c r="I64" t="s">
        <v>242</v>
      </c>
      <c r="J64" t="s">
        <v>3034</v>
      </c>
      <c r="K64" t="s">
        <v>37</v>
      </c>
      <c r="L64" t="s">
        <v>150</v>
      </c>
      <c r="M64" t="s">
        <v>93</v>
      </c>
      <c r="N64" t="s">
        <v>94</v>
      </c>
      <c r="O64" s="4">
        <v>4</v>
      </c>
      <c r="P64" s="4">
        <v>11</v>
      </c>
      <c r="Q64" t="s">
        <v>142</v>
      </c>
      <c r="R64" s="2">
        <v>46172</v>
      </c>
      <c r="S64" s="4">
        <v>31</v>
      </c>
      <c r="T64" s="3">
        <v>154000000</v>
      </c>
      <c r="U64" t="s">
        <v>42</v>
      </c>
      <c r="V64" t="s">
        <v>59</v>
      </c>
      <c r="W64" t="s">
        <v>188</v>
      </c>
      <c r="Y64" t="s">
        <v>108</v>
      </c>
      <c r="Z64" t="s">
        <v>3179</v>
      </c>
      <c r="AA64" t="s">
        <v>181</v>
      </c>
      <c r="AB64" t="s">
        <v>97</v>
      </c>
      <c r="AC64" t="s">
        <v>181</v>
      </c>
    </row>
    <row r="65" spans="1:29">
      <c r="A65" t="s">
        <v>339</v>
      </c>
      <c r="B65" s="2">
        <v>46186</v>
      </c>
      <c r="C65" t="s">
        <v>30</v>
      </c>
      <c r="D65" t="s">
        <v>99</v>
      </c>
      <c r="E65" t="s">
        <v>120</v>
      </c>
      <c r="F65" t="s">
        <v>121</v>
      </c>
      <c r="G65" t="s">
        <v>227</v>
      </c>
      <c r="H65" t="s">
        <v>136</v>
      </c>
      <c r="I65" t="s">
        <v>137</v>
      </c>
      <c r="J65" t="s">
        <v>3017</v>
      </c>
      <c r="K65" t="s">
        <v>56</v>
      </c>
      <c r="L65" t="s">
        <v>55</v>
      </c>
      <c r="M65" t="s">
        <v>129</v>
      </c>
      <c r="N65" t="s">
        <v>130</v>
      </c>
      <c r="O65" s="4">
        <v>5</v>
      </c>
      <c r="P65" s="4">
        <v>14</v>
      </c>
      <c r="Q65" t="s">
        <v>142</v>
      </c>
      <c r="R65" s="2">
        <v>46186</v>
      </c>
      <c r="S65" s="4">
        <v>17</v>
      </c>
      <c r="T65" s="3">
        <v>415000000</v>
      </c>
      <c r="U65" t="s">
        <v>42</v>
      </c>
      <c r="V65" t="s">
        <v>70</v>
      </c>
      <c r="W65" t="s">
        <v>144</v>
      </c>
      <c r="X65" t="s">
        <v>253</v>
      </c>
      <c r="Y65" t="s">
        <v>334</v>
      </c>
      <c r="Z65" t="s">
        <v>3179</v>
      </c>
      <c r="AA65" t="s">
        <v>97</v>
      </c>
      <c r="AB65" t="s">
        <v>97</v>
      </c>
      <c r="AC65" t="s">
        <v>97</v>
      </c>
    </row>
    <row r="66" spans="1:29">
      <c r="A66" t="s">
        <v>340</v>
      </c>
      <c r="B66" s="2">
        <v>46175</v>
      </c>
      <c r="C66" t="s">
        <v>30</v>
      </c>
      <c r="D66" t="s">
        <v>134</v>
      </c>
      <c r="E66" t="s">
        <v>50</v>
      </c>
      <c r="F66" t="s">
        <v>89</v>
      </c>
      <c r="G66" t="s">
        <v>52</v>
      </c>
      <c r="H66" t="s">
        <v>66</v>
      </c>
      <c r="I66" t="s">
        <v>341</v>
      </c>
      <c r="J66" t="s">
        <v>3056</v>
      </c>
      <c r="K66" t="s">
        <v>56</v>
      </c>
      <c r="L66" t="s">
        <v>187</v>
      </c>
      <c r="M66" t="s">
        <v>93</v>
      </c>
      <c r="N66" t="s">
        <v>94</v>
      </c>
      <c r="O66" s="4">
        <v>4</v>
      </c>
      <c r="P66" s="4">
        <v>6</v>
      </c>
      <c r="Q66" t="s">
        <v>138</v>
      </c>
      <c r="R66" s="2">
        <v>46175</v>
      </c>
      <c r="S66" s="4">
        <v>28</v>
      </c>
      <c r="T66" s="3">
        <v>278000000</v>
      </c>
      <c r="U66" t="s">
        <v>42</v>
      </c>
      <c r="V66" t="s">
        <v>59</v>
      </c>
      <c r="W66" t="s">
        <v>95</v>
      </c>
      <c r="X66" t="s">
        <v>253</v>
      </c>
      <c r="Y66" t="s">
        <v>268</v>
      </c>
      <c r="Z66" t="s">
        <v>3179</v>
      </c>
      <c r="AA66" t="s">
        <v>62</v>
      </c>
      <c r="AB66" t="s">
        <v>97</v>
      </c>
      <c r="AC66" t="s">
        <v>62</v>
      </c>
    </row>
    <row r="67" spans="1:29">
      <c r="A67" t="s">
        <v>342</v>
      </c>
      <c r="B67" s="2">
        <v>46184</v>
      </c>
      <c r="C67" t="s">
        <v>30</v>
      </c>
      <c r="D67" t="s">
        <v>99</v>
      </c>
      <c r="E67" t="s">
        <v>50</v>
      </c>
      <c r="F67" t="s">
        <v>51</v>
      </c>
      <c r="G67" t="s">
        <v>343</v>
      </c>
      <c r="H67" t="s">
        <v>66</v>
      </c>
      <c r="I67" t="s">
        <v>344</v>
      </c>
      <c r="J67" t="s">
        <v>3057</v>
      </c>
      <c r="K67" t="s">
        <v>37</v>
      </c>
      <c r="L67" t="s">
        <v>150</v>
      </c>
      <c r="M67" t="s">
        <v>81</v>
      </c>
      <c r="N67" t="s">
        <v>94</v>
      </c>
      <c r="O67" s="4">
        <v>4</v>
      </c>
      <c r="P67" s="4">
        <v>7</v>
      </c>
      <c r="Q67" t="s">
        <v>83</v>
      </c>
      <c r="R67" s="2">
        <v>46174</v>
      </c>
      <c r="S67" s="4">
        <v>29</v>
      </c>
      <c r="T67" s="3">
        <v>233000000</v>
      </c>
      <c r="U67" t="s">
        <v>42</v>
      </c>
      <c r="V67" t="s">
        <v>59</v>
      </c>
      <c r="W67" t="s">
        <v>170</v>
      </c>
      <c r="X67" t="s">
        <v>117</v>
      </c>
      <c r="Y67" t="s">
        <v>108</v>
      </c>
      <c r="Z67" t="s">
        <v>3179</v>
      </c>
      <c r="AA67" t="s">
        <v>62</v>
      </c>
      <c r="AB67" t="s">
        <v>97</v>
      </c>
      <c r="AC67" t="s">
        <v>62</v>
      </c>
    </row>
    <row r="68" spans="1:29">
      <c r="A68" t="s">
        <v>345</v>
      </c>
      <c r="B68" s="2">
        <v>46177</v>
      </c>
      <c r="C68" t="s">
        <v>30</v>
      </c>
      <c r="D68" t="s">
        <v>134</v>
      </c>
      <c r="E68" t="s">
        <v>50</v>
      </c>
      <c r="F68" t="s">
        <v>51</v>
      </c>
      <c r="G68" t="s">
        <v>52</v>
      </c>
      <c r="H68" t="s">
        <v>66</v>
      </c>
      <c r="I68" t="s">
        <v>346</v>
      </c>
      <c r="J68" t="s">
        <v>3058</v>
      </c>
      <c r="K68" t="s">
        <v>116</v>
      </c>
      <c r="L68" t="s">
        <v>80</v>
      </c>
      <c r="M68" t="s">
        <v>129</v>
      </c>
      <c r="N68" t="s">
        <v>82</v>
      </c>
      <c r="O68" s="4">
        <v>1</v>
      </c>
      <c r="P68" s="4">
        <v>5</v>
      </c>
      <c r="Q68" t="s">
        <v>138</v>
      </c>
      <c r="R68" s="2">
        <v>46174</v>
      </c>
      <c r="S68" s="4">
        <v>29</v>
      </c>
      <c r="T68" s="3">
        <v>142000000</v>
      </c>
      <c r="U68" t="s">
        <v>42</v>
      </c>
      <c r="V68" t="s">
        <v>43</v>
      </c>
      <c r="W68" t="s">
        <v>84</v>
      </c>
      <c r="Y68" t="s">
        <v>330</v>
      </c>
      <c r="Z68" t="s">
        <v>3178</v>
      </c>
      <c r="AA68" t="s">
        <v>62</v>
      </c>
      <c r="AB68" t="s">
        <v>87</v>
      </c>
      <c r="AC68" t="s">
        <v>62</v>
      </c>
    </row>
    <row r="69" spans="1:29">
      <c r="A69" t="s">
        <v>347</v>
      </c>
      <c r="B69" s="2">
        <v>46191</v>
      </c>
      <c r="C69" t="s">
        <v>30</v>
      </c>
      <c r="D69" t="s">
        <v>74</v>
      </c>
      <c r="E69" t="s">
        <v>111</v>
      </c>
      <c r="F69" t="s">
        <v>190</v>
      </c>
      <c r="G69" t="s">
        <v>348</v>
      </c>
      <c r="H69" t="s">
        <v>127</v>
      </c>
      <c r="I69" t="s">
        <v>349</v>
      </c>
      <c r="J69" t="s">
        <v>3059</v>
      </c>
      <c r="K69" t="s">
        <v>56</v>
      </c>
      <c r="L69" t="s">
        <v>68</v>
      </c>
      <c r="M69" t="s">
        <v>129</v>
      </c>
      <c r="N69" t="s">
        <v>196</v>
      </c>
      <c r="O69" s="4">
        <v>7</v>
      </c>
      <c r="P69" s="4">
        <v>16</v>
      </c>
      <c r="Q69" t="s">
        <v>83</v>
      </c>
      <c r="R69" s="2">
        <v>46186</v>
      </c>
      <c r="S69" s="4">
        <v>17</v>
      </c>
      <c r="T69" s="3">
        <v>512000000</v>
      </c>
      <c r="U69" t="s">
        <v>196</v>
      </c>
      <c r="V69" t="s">
        <v>70</v>
      </c>
      <c r="W69" t="s">
        <v>243</v>
      </c>
      <c r="Y69" t="s">
        <v>244</v>
      </c>
      <c r="Z69" t="s">
        <v>3181</v>
      </c>
      <c r="AA69" t="s">
        <v>118</v>
      </c>
      <c r="AB69" t="s">
        <v>199</v>
      </c>
      <c r="AC69" t="s">
        <v>118</v>
      </c>
    </row>
    <row r="70" spans="1:29">
      <c r="A70" t="s">
        <v>350</v>
      </c>
      <c r="B70" s="2">
        <v>46189</v>
      </c>
      <c r="C70" t="s">
        <v>30</v>
      </c>
      <c r="D70" t="s">
        <v>74</v>
      </c>
      <c r="E70" t="s">
        <v>50</v>
      </c>
      <c r="F70" t="s">
        <v>351</v>
      </c>
      <c r="G70" t="s">
        <v>52</v>
      </c>
      <c r="H70" t="s">
        <v>90</v>
      </c>
      <c r="I70" t="s">
        <v>352</v>
      </c>
      <c r="J70" t="s">
        <v>3060</v>
      </c>
      <c r="K70" t="s">
        <v>56</v>
      </c>
      <c r="L70" t="s">
        <v>80</v>
      </c>
      <c r="M70" t="s">
        <v>164</v>
      </c>
      <c r="N70" t="s">
        <v>130</v>
      </c>
      <c r="O70" s="4">
        <v>5</v>
      </c>
      <c r="P70" s="4">
        <v>15</v>
      </c>
      <c r="Q70" t="s">
        <v>58</v>
      </c>
      <c r="R70" s="2">
        <v>46184</v>
      </c>
      <c r="S70" s="4">
        <v>19</v>
      </c>
      <c r="T70" s="3">
        <v>249000000</v>
      </c>
      <c r="U70" t="s">
        <v>42</v>
      </c>
      <c r="V70" t="s">
        <v>70</v>
      </c>
      <c r="W70" t="s">
        <v>144</v>
      </c>
      <c r="Y70" t="s">
        <v>254</v>
      </c>
      <c r="Z70" t="s">
        <v>3179</v>
      </c>
      <c r="AA70" t="s">
        <v>62</v>
      </c>
      <c r="AB70" t="s">
        <v>97</v>
      </c>
      <c r="AC70" t="s">
        <v>62</v>
      </c>
    </row>
    <row r="71" spans="1:29">
      <c r="A71" t="s">
        <v>353</v>
      </c>
      <c r="B71" s="2">
        <v>46191</v>
      </c>
      <c r="C71" t="s">
        <v>30</v>
      </c>
      <c r="D71" t="s">
        <v>74</v>
      </c>
      <c r="E71" t="s">
        <v>75</v>
      </c>
      <c r="F71" t="s">
        <v>76</v>
      </c>
      <c r="G71" t="s">
        <v>77</v>
      </c>
      <c r="H71" t="s">
        <v>185</v>
      </c>
      <c r="I71" t="s">
        <v>354</v>
      </c>
      <c r="J71" t="s">
        <v>3061</v>
      </c>
      <c r="K71" t="s">
        <v>37</v>
      </c>
      <c r="L71" t="s">
        <v>68</v>
      </c>
      <c r="M71" t="s">
        <v>56</v>
      </c>
      <c r="N71" t="s">
        <v>130</v>
      </c>
      <c r="O71" s="4">
        <v>5</v>
      </c>
      <c r="P71" s="4">
        <v>8</v>
      </c>
      <c r="Q71" t="s">
        <v>41</v>
      </c>
      <c r="R71" s="2">
        <v>46187</v>
      </c>
      <c r="S71" s="4">
        <v>16</v>
      </c>
      <c r="T71" s="3">
        <v>285000000</v>
      </c>
      <c r="U71" t="s">
        <v>42</v>
      </c>
      <c r="V71" t="s">
        <v>59</v>
      </c>
      <c r="W71" t="s">
        <v>355</v>
      </c>
      <c r="Y71" t="s">
        <v>262</v>
      </c>
      <c r="Z71" t="s">
        <v>3179</v>
      </c>
      <c r="AA71" t="s">
        <v>86</v>
      </c>
      <c r="AB71" t="s">
        <v>97</v>
      </c>
      <c r="AC71" t="s">
        <v>86</v>
      </c>
    </row>
    <row r="72" spans="1:29">
      <c r="A72" t="s">
        <v>356</v>
      </c>
      <c r="B72" s="2">
        <v>46183</v>
      </c>
      <c r="C72" t="s">
        <v>30</v>
      </c>
      <c r="D72" t="s">
        <v>99</v>
      </c>
      <c r="E72" t="s">
        <v>152</v>
      </c>
      <c r="F72" t="s">
        <v>221</v>
      </c>
      <c r="G72" t="s">
        <v>154</v>
      </c>
      <c r="H72" t="s">
        <v>283</v>
      </c>
      <c r="I72" t="s">
        <v>284</v>
      </c>
      <c r="J72" t="s">
        <v>3041</v>
      </c>
      <c r="K72" t="s">
        <v>37</v>
      </c>
      <c r="L72" t="s">
        <v>187</v>
      </c>
      <c r="M72" t="s">
        <v>164</v>
      </c>
      <c r="N72" t="s">
        <v>94</v>
      </c>
      <c r="O72" s="4">
        <v>4</v>
      </c>
      <c r="P72" s="4">
        <v>7</v>
      </c>
      <c r="Q72" t="s">
        <v>69</v>
      </c>
      <c r="R72" s="2">
        <v>46173</v>
      </c>
      <c r="S72" s="4">
        <v>30</v>
      </c>
      <c r="T72" s="3">
        <v>90000000</v>
      </c>
      <c r="U72" t="s">
        <v>42</v>
      </c>
      <c r="V72" t="s">
        <v>59</v>
      </c>
      <c r="W72" t="s">
        <v>170</v>
      </c>
      <c r="X72" t="s">
        <v>253</v>
      </c>
      <c r="Y72" t="s">
        <v>228</v>
      </c>
      <c r="Z72" t="s">
        <v>3179</v>
      </c>
      <c r="AA72" t="s">
        <v>159</v>
      </c>
      <c r="AB72" t="s">
        <v>97</v>
      </c>
      <c r="AC72" t="s">
        <v>159</v>
      </c>
    </row>
    <row r="73" spans="1:29">
      <c r="A73" t="s">
        <v>357</v>
      </c>
      <c r="B73" s="2">
        <v>46177</v>
      </c>
      <c r="C73" t="s">
        <v>30</v>
      </c>
      <c r="D73" t="s">
        <v>134</v>
      </c>
      <c r="E73" t="s">
        <v>172</v>
      </c>
      <c r="F73" t="s">
        <v>173</v>
      </c>
      <c r="G73" t="s">
        <v>278</v>
      </c>
      <c r="H73" t="s">
        <v>175</v>
      </c>
      <c r="I73" t="s">
        <v>358</v>
      </c>
      <c r="J73" t="s">
        <v>3062</v>
      </c>
      <c r="K73" t="s">
        <v>105</v>
      </c>
      <c r="L73" t="s">
        <v>80</v>
      </c>
      <c r="M73" t="s">
        <v>81</v>
      </c>
      <c r="N73" t="s">
        <v>82</v>
      </c>
      <c r="O73" s="4">
        <v>1</v>
      </c>
      <c r="P73" s="4">
        <v>7</v>
      </c>
      <c r="Q73" t="s">
        <v>58</v>
      </c>
      <c r="R73" s="2">
        <v>46172</v>
      </c>
      <c r="S73" s="4">
        <v>31</v>
      </c>
      <c r="T73" s="3">
        <v>342000000</v>
      </c>
      <c r="U73" t="s">
        <v>42</v>
      </c>
      <c r="V73" t="s">
        <v>59</v>
      </c>
      <c r="W73" t="s">
        <v>359</v>
      </c>
      <c r="Y73" t="s">
        <v>291</v>
      </c>
      <c r="Z73" t="s">
        <v>3178</v>
      </c>
      <c r="AA73" t="s">
        <v>181</v>
      </c>
      <c r="AB73" t="s">
        <v>87</v>
      </c>
      <c r="AC73" t="s">
        <v>181</v>
      </c>
    </row>
    <row r="74" spans="1:29">
      <c r="A74" t="s">
        <v>360</v>
      </c>
      <c r="B74" s="2">
        <v>46202</v>
      </c>
      <c r="C74" t="s">
        <v>30</v>
      </c>
      <c r="D74" t="s">
        <v>31</v>
      </c>
      <c r="E74" t="s">
        <v>32</v>
      </c>
      <c r="F74" t="s">
        <v>33</v>
      </c>
      <c r="G74" t="s">
        <v>361</v>
      </c>
      <c r="H74" t="s">
        <v>258</v>
      </c>
      <c r="I74" t="s">
        <v>297</v>
      </c>
      <c r="J74" t="s">
        <v>3044</v>
      </c>
      <c r="K74" t="s">
        <v>92</v>
      </c>
      <c r="L74" t="s">
        <v>187</v>
      </c>
      <c r="M74" t="s">
        <v>81</v>
      </c>
      <c r="N74" t="s">
        <v>82</v>
      </c>
      <c r="O74" s="4">
        <v>1</v>
      </c>
      <c r="P74" s="4">
        <v>4</v>
      </c>
      <c r="Q74" t="s">
        <v>142</v>
      </c>
      <c r="R74" s="2">
        <v>46196</v>
      </c>
      <c r="S74" s="4">
        <v>7</v>
      </c>
      <c r="T74" s="3">
        <v>63000000</v>
      </c>
      <c r="U74" t="s">
        <v>42</v>
      </c>
      <c r="V74" t="s">
        <v>43</v>
      </c>
      <c r="W74" t="s">
        <v>359</v>
      </c>
      <c r="Y74" t="s">
        <v>291</v>
      </c>
      <c r="Z74" t="s">
        <v>3176</v>
      </c>
      <c r="AA74" t="s">
        <v>46</v>
      </c>
      <c r="AB74" t="s">
        <v>47</v>
      </c>
      <c r="AC74" t="s">
        <v>46</v>
      </c>
    </row>
    <row r="75" spans="1:29">
      <c r="A75" t="s">
        <v>362</v>
      </c>
      <c r="B75" s="2">
        <v>46183</v>
      </c>
      <c r="C75" t="s">
        <v>30</v>
      </c>
      <c r="D75" t="s">
        <v>99</v>
      </c>
      <c r="E75" t="s">
        <v>50</v>
      </c>
      <c r="F75" t="s">
        <v>351</v>
      </c>
      <c r="G75" t="s">
        <v>52</v>
      </c>
      <c r="H75" t="s">
        <v>66</v>
      </c>
      <c r="I75" t="s">
        <v>344</v>
      </c>
      <c r="J75" t="s">
        <v>3057</v>
      </c>
      <c r="K75" t="s">
        <v>37</v>
      </c>
      <c r="L75" t="s">
        <v>55</v>
      </c>
      <c r="M75" t="s">
        <v>106</v>
      </c>
      <c r="N75" t="s">
        <v>82</v>
      </c>
      <c r="O75" s="4">
        <v>1</v>
      </c>
      <c r="P75" s="4">
        <v>11</v>
      </c>
      <c r="Q75" t="s">
        <v>107</v>
      </c>
      <c r="R75" s="2">
        <v>46181</v>
      </c>
      <c r="S75" s="4">
        <v>22</v>
      </c>
      <c r="T75" s="3">
        <v>249000000</v>
      </c>
      <c r="U75" t="s">
        <v>42</v>
      </c>
      <c r="V75" t="s">
        <v>43</v>
      </c>
      <c r="W75" t="s">
        <v>359</v>
      </c>
      <c r="Y75" t="s">
        <v>330</v>
      </c>
      <c r="Z75" t="s">
        <v>3178</v>
      </c>
      <c r="AA75" t="s">
        <v>62</v>
      </c>
      <c r="AB75" t="s">
        <v>87</v>
      </c>
      <c r="AC75" t="s">
        <v>62</v>
      </c>
    </row>
    <row r="76" spans="1:29">
      <c r="A76" t="s">
        <v>363</v>
      </c>
      <c r="B76" s="2">
        <v>46198</v>
      </c>
      <c r="C76" t="s">
        <v>30</v>
      </c>
      <c r="D76" t="s">
        <v>49</v>
      </c>
      <c r="E76" t="s">
        <v>32</v>
      </c>
      <c r="F76" t="s">
        <v>273</v>
      </c>
      <c r="G76" t="s">
        <v>34</v>
      </c>
      <c r="H76" t="s">
        <v>35</v>
      </c>
      <c r="I76" t="s">
        <v>219</v>
      </c>
      <c r="J76" t="s">
        <v>3028</v>
      </c>
      <c r="K76" t="s">
        <v>92</v>
      </c>
      <c r="L76" t="s">
        <v>187</v>
      </c>
      <c r="M76" t="s">
        <v>106</v>
      </c>
      <c r="N76" t="s">
        <v>94</v>
      </c>
      <c r="O76" s="4">
        <v>4</v>
      </c>
      <c r="P76" s="4">
        <v>6</v>
      </c>
      <c r="Q76" t="s">
        <v>83</v>
      </c>
      <c r="R76" s="2">
        <v>46195</v>
      </c>
      <c r="S76" s="4">
        <v>8</v>
      </c>
      <c r="T76" s="3">
        <v>67000000</v>
      </c>
      <c r="U76" t="s">
        <v>42</v>
      </c>
      <c r="V76" t="s">
        <v>59</v>
      </c>
      <c r="W76" t="s">
        <v>170</v>
      </c>
      <c r="Y76" t="s">
        <v>96</v>
      </c>
      <c r="Z76" t="s">
        <v>3179</v>
      </c>
      <c r="AA76" t="s">
        <v>46</v>
      </c>
      <c r="AB76" t="s">
        <v>97</v>
      </c>
      <c r="AC76" t="s">
        <v>46</v>
      </c>
    </row>
    <row r="77" spans="1:29">
      <c r="A77" t="s">
        <v>364</v>
      </c>
      <c r="B77" s="2">
        <v>46188</v>
      </c>
      <c r="C77" t="s">
        <v>30</v>
      </c>
      <c r="D77" t="s">
        <v>74</v>
      </c>
      <c r="E77" t="s">
        <v>152</v>
      </c>
      <c r="F77" t="s">
        <v>221</v>
      </c>
      <c r="G77" t="s">
        <v>294</v>
      </c>
      <c r="H77" t="s">
        <v>207</v>
      </c>
      <c r="I77" t="s">
        <v>365</v>
      </c>
      <c r="J77" t="s">
        <v>3063</v>
      </c>
      <c r="K77" t="s">
        <v>92</v>
      </c>
      <c r="L77" t="s">
        <v>150</v>
      </c>
      <c r="M77" t="s">
        <v>81</v>
      </c>
      <c r="N77" t="s">
        <v>57</v>
      </c>
      <c r="O77" s="4">
        <v>3</v>
      </c>
      <c r="P77" s="4">
        <v>13</v>
      </c>
      <c r="Q77" t="s">
        <v>41</v>
      </c>
      <c r="R77" s="2">
        <v>46188</v>
      </c>
      <c r="S77" s="4">
        <v>15</v>
      </c>
      <c r="T77" s="3">
        <v>159000000</v>
      </c>
      <c r="U77" t="s">
        <v>42</v>
      </c>
      <c r="V77" t="s">
        <v>59</v>
      </c>
      <c r="W77" t="s">
        <v>157</v>
      </c>
      <c r="Y77" t="s">
        <v>72</v>
      </c>
      <c r="Z77" t="s">
        <v>3180</v>
      </c>
      <c r="AA77" t="s">
        <v>159</v>
      </c>
      <c r="AB77" t="s">
        <v>193</v>
      </c>
      <c r="AC77" t="s">
        <v>159</v>
      </c>
    </row>
    <row r="78" spans="1:29">
      <c r="A78" t="s">
        <v>366</v>
      </c>
      <c r="B78" s="2">
        <v>46178</v>
      </c>
      <c r="C78" t="s">
        <v>30</v>
      </c>
      <c r="D78" t="s">
        <v>134</v>
      </c>
      <c r="E78" t="s">
        <v>120</v>
      </c>
      <c r="F78" t="s">
        <v>167</v>
      </c>
      <c r="G78" t="s">
        <v>122</v>
      </c>
      <c r="H78" t="s">
        <v>136</v>
      </c>
      <c r="I78" t="s">
        <v>275</v>
      </c>
      <c r="J78" t="s">
        <v>3039</v>
      </c>
      <c r="K78" t="s">
        <v>37</v>
      </c>
      <c r="L78" t="s">
        <v>68</v>
      </c>
      <c r="M78" t="s">
        <v>164</v>
      </c>
      <c r="N78" t="s">
        <v>57</v>
      </c>
      <c r="O78" s="4">
        <v>3</v>
      </c>
      <c r="P78" s="4">
        <v>10</v>
      </c>
      <c r="Q78" t="s">
        <v>83</v>
      </c>
      <c r="R78" s="2">
        <v>46168</v>
      </c>
      <c r="S78" s="4">
        <v>35</v>
      </c>
      <c r="T78" s="3">
        <v>171000000</v>
      </c>
      <c r="U78" t="s">
        <v>42</v>
      </c>
      <c r="V78" t="s">
        <v>43</v>
      </c>
      <c r="W78" t="s">
        <v>71</v>
      </c>
      <c r="Y78" t="s">
        <v>72</v>
      </c>
      <c r="Z78" t="s">
        <v>3177</v>
      </c>
      <c r="AA78" t="s">
        <v>97</v>
      </c>
      <c r="AB78" t="s">
        <v>63</v>
      </c>
      <c r="AC78" t="s">
        <v>97</v>
      </c>
    </row>
    <row r="79" spans="1:29">
      <c r="A79" t="s">
        <v>367</v>
      </c>
      <c r="B79" s="2">
        <v>46197</v>
      </c>
      <c r="C79" t="s">
        <v>30</v>
      </c>
      <c r="D79" t="s">
        <v>49</v>
      </c>
      <c r="E79" t="s">
        <v>50</v>
      </c>
      <c r="F79" t="s">
        <v>89</v>
      </c>
      <c r="G79" t="s">
        <v>65</v>
      </c>
      <c r="H79" t="s">
        <v>53</v>
      </c>
      <c r="I79" t="s">
        <v>368</v>
      </c>
      <c r="J79" t="s">
        <v>3064</v>
      </c>
      <c r="K79" t="s">
        <v>56</v>
      </c>
      <c r="L79" t="s">
        <v>80</v>
      </c>
      <c r="M79" t="s">
        <v>81</v>
      </c>
      <c r="N79" t="s">
        <v>196</v>
      </c>
      <c r="O79" s="4">
        <v>7</v>
      </c>
      <c r="P79" s="4">
        <v>15</v>
      </c>
      <c r="Q79" t="s">
        <v>142</v>
      </c>
      <c r="R79" s="2">
        <v>46189</v>
      </c>
      <c r="S79" s="4">
        <v>14</v>
      </c>
      <c r="T79" s="3">
        <v>234000000</v>
      </c>
      <c r="U79" t="s">
        <v>196</v>
      </c>
      <c r="V79" t="s">
        <v>70</v>
      </c>
      <c r="W79" t="s">
        <v>243</v>
      </c>
      <c r="Y79" t="s">
        <v>369</v>
      </c>
      <c r="Z79" t="s">
        <v>3181</v>
      </c>
      <c r="AA79" t="s">
        <v>62</v>
      </c>
      <c r="AB79" t="s">
        <v>199</v>
      </c>
      <c r="AC79" t="s">
        <v>62</v>
      </c>
    </row>
    <row r="80" spans="1:29">
      <c r="A80" t="s">
        <v>370</v>
      </c>
      <c r="B80" s="2">
        <v>46202</v>
      </c>
      <c r="C80" t="s">
        <v>30</v>
      </c>
      <c r="D80" t="s">
        <v>31</v>
      </c>
      <c r="E80" t="s">
        <v>100</v>
      </c>
      <c r="F80" t="s">
        <v>146</v>
      </c>
      <c r="G80" t="s">
        <v>147</v>
      </c>
      <c r="H80" t="s">
        <v>201</v>
      </c>
      <c r="I80" t="s">
        <v>371</v>
      </c>
      <c r="J80" t="s">
        <v>3065</v>
      </c>
      <c r="K80" t="s">
        <v>116</v>
      </c>
      <c r="L80" t="s">
        <v>55</v>
      </c>
      <c r="M80" t="s">
        <v>81</v>
      </c>
      <c r="N80" t="s">
        <v>130</v>
      </c>
      <c r="O80" s="4">
        <v>5</v>
      </c>
      <c r="P80" s="4">
        <v>13</v>
      </c>
      <c r="Q80" t="s">
        <v>83</v>
      </c>
      <c r="R80" s="2">
        <v>46202</v>
      </c>
      <c r="S80" s="4">
        <v>1</v>
      </c>
      <c r="T80" s="3">
        <v>43000000</v>
      </c>
      <c r="U80" t="s">
        <v>42</v>
      </c>
      <c r="V80" t="s">
        <v>70</v>
      </c>
      <c r="W80" t="s">
        <v>252</v>
      </c>
      <c r="Y80" t="s">
        <v>254</v>
      </c>
      <c r="Z80" t="s">
        <v>3179</v>
      </c>
      <c r="AA80" t="s">
        <v>109</v>
      </c>
      <c r="AB80" t="s">
        <v>97</v>
      </c>
      <c r="AC80" t="s">
        <v>109</v>
      </c>
    </row>
    <row r="81" spans="1:29">
      <c r="A81" t="s">
        <v>372</v>
      </c>
      <c r="B81" s="2">
        <v>46195</v>
      </c>
      <c r="C81" t="s">
        <v>30</v>
      </c>
      <c r="D81" t="s">
        <v>49</v>
      </c>
      <c r="E81" t="s">
        <v>50</v>
      </c>
      <c r="F81" t="s">
        <v>51</v>
      </c>
      <c r="G81" t="s">
        <v>343</v>
      </c>
      <c r="H81" t="s">
        <v>53</v>
      </c>
      <c r="I81" t="s">
        <v>373</v>
      </c>
      <c r="J81" t="s">
        <v>3066</v>
      </c>
      <c r="K81" t="s">
        <v>92</v>
      </c>
      <c r="L81" t="s">
        <v>150</v>
      </c>
      <c r="M81" t="s">
        <v>81</v>
      </c>
      <c r="N81" t="s">
        <v>57</v>
      </c>
      <c r="O81" s="4">
        <v>3</v>
      </c>
      <c r="P81" s="4">
        <v>8</v>
      </c>
      <c r="Q81" t="s">
        <v>69</v>
      </c>
      <c r="R81" s="2">
        <v>46187</v>
      </c>
      <c r="S81" s="4">
        <v>16</v>
      </c>
      <c r="T81" s="3">
        <v>120000000</v>
      </c>
      <c r="U81" t="s">
        <v>42</v>
      </c>
      <c r="V81" t="s">
        <v>59</v>
      </c>
      <c r="W81" t="s">
        <v>71</v>
      </c>
      <c r="Y81" t="s">
        <v>61</v>
      </c>
      <c r="Z81" t="s">
        <v>3177</v>
      </c>
      <c r="AA81" t="s">
        <v>62</v>
      </c>
      <c r="AB81" t="s">
        <v>63</v>
      </c>
      <c r="AC81" t="s">
        <v>62</v>
      </c>
    </row>
    <row r="82" spans="1:29">
      <c r="A82" t="s">
        <v>374</v>
      </c>
      <c r="B82" s="2">
        <v>46201</v>
      </c>
      <c r="C82" t="s">
        <v>30</v>
      </c>
      <c r="D82" t="s">
        <v>49</v>
      </c>
      <c r="E82" t="s">
        <v>152</v>
      </c>
      <c r="F82" t="s">
        <v>153</v>
      </c>
      <c r="G82" t="s">
        <v>154</v>
      </c>
      <c r="H82" t="s">
        <v>155</v>
      </c>
      <c r="I82" t="s">
        <v>375</v>
      </c>
      <c r="J82" t="s">
        <v>3067</v>
      </c>
      <c r="K82" t="s">
        <v>56</v>
      </c>
      <c r="L82" t="s">
        <v>55</v>
      </c>
      <c r="M82" t="s">
        <v>39</v>
      </c>
      <c r="N82" t="s">
        <v>94</v>
      </c>
      <c r="O82" s="4">
        <v>4</v>
      </c>
      <c r="P82" s="4">
        <v>11</v>
      </c>
      <c r="Q82" t="s">
        <v>107</v>
      </c>
      <c r="R82" s="2">
        <v>46198</v>
      </c>
      <c r="S82" s="4">
        <v>5</v>
      </c>
      <c r="T82" s="3">
        <v>169000000</v>
      </c>
      <c r="U82" t="s">
        <v>42</v>
      </c>
      <c r="V82" t="s">
        <v>59</v>
      </c>
      <c r="W82" t="s">
        <v>170</v>
      </c>
      <c r="Y82" t="s">
        <v>228</v>
      </c>
      <c r="Z82" t="s">
        <v>3179</v>
      </c>
      <c r="AA82" t="s">
        <v>159</v>
      </c>
      <c r="AB82" t="s">
        <v>97</v>
      </c>
      <c r="AC82" t="s">
        <v>159</v>
      </c>
    </row>
    <row r="83" spans="1:29">
      <c r="A83" t="s">
        <v>376</v>
      </c>
      <c r="B83" s="2">
        <v>46201</v>
      </c>
      <c r="C83" t="s">
        <v>30</v>
      </c>
      <c r="D83" t="s">
        <v>49</v>
      </c>
      <c r="E83" t="s">
        <v>50</v>
      </c>
      <c r="F83" t="s">
        <v>351</v>
      </c>
      <c r="G83" t="s">
        <v>234</v>
      </c>
      <c r="H83" t="s">
        <v>90</v>
      </c>
      <c r="I83" t="s">
        <v>377</v>
      </c>
      <c r="J83" t="s">
        <v>3068</v>
      </c>
      <c r="K83" t="s">
        <v>105</v>
      </c>
      <c r="L83" t="s">
        <v>38</v>
      </c>
      <c r="M83" t="s">
        <v>81</v>
      </c>
      <c r="N83" t="s">
        <v>130</v>
      </c>
      <c r="O83" s="4">
        <v>5</v>
      </c>
      <c r="P83" s="4">
        <v>10</v>
      </c>
      <c r="Q83" t="s">
        <v>83</v>
      </c>
      <c r="R83" s="2">
        <v>46200</v>
      </c>
      <c r="S83" s="4">
        <v>3</v>
      </c>
      <c r="T83" s="3">
        <v>183000000</v>
      </c>
      <c r="U83" t="s">
        <v>42</v>
      </c>
      <c r="V83" t="s">
        <v>143</v>
      </c>
      <c r="W83" t="s">
        <v>252</v>
      </c>
      <c r="X83" t="s">
        <v>117</v>
      </c>
      <c r="Y83" t="s">
        <v>334</v>
      </c>
      <c r="Z83" t="s">
        <v>3179</v>
      </c>
      <c r="AA83" t="s">
        <v>62</v>
      </c>
      <c r="AB83" t="s">
        <v>97</v>
      </c>
      <c r="AC83" t="s">
        <v>62</v>
      </c>
    </row>
    <row r="84" spans="1:29">
      <c r="A84" t="s">
        <v>378</v>
      </c>
      <c r="B84" s="2">
        <v>46185</v>
      </c>
      <c r="C84" t="s">
        <v>30</v>
      </c>
      <c r="D84" t="s">
        <v>99</v>
      </c>
      <c r="E84" t="s">
        <v>172</v>
      </c>
      <c r="F84" t="s">
        <v>173</v>
      </c>
      <c r="G84" t="s">
        <v>289</v>
      </c>
      <c r="H84" t="s">
        <v>241</v>
      </c>
      <c r="I84" t="s">
        <v>379</v>
      </c>
      <c r="J84" t="s">
        <v>3069</v>
      </c>
      <c r="K84" t="s">
        <v>105</v>
      </c>
      <c r="L84" t="s">
        <v>80</v>
      </c>
      <c r="M84" t="s">
        <v>129</v>
      </c>
      <c r="N84" t="s">
        <v>57</v>
      </c>
      <c r="O84" s="4">
        <v>3</v>
      </c>
      <c r="P84" s="4">
        <v>7</v>
      </c>
      <c r="Q84" t="s">
        <v>58</v>
      </c>
      <c r="R84" s="2">
        <v>46181</v>
      </c>
      <c r="S84" s="4">
        <v>22</v>
      </c>
      <c r="T84" s="3">
        <v>333000000</v>
      </c>
      <c r="U84" t="s">
        <v>42</v>
      </c>
      <c r="V84" t="s">
        <v>59</v>
      </c>
      <c r="W84" t="s">
        <v>203</v>
      </c>
      <c r="Y84" t="s">
        <v>165</v>
      </c>
      <c r="Z84" t="s">
        <v>3177</v>
      </c>
      <c r="AA84" t="s">
        <v>181</v>
      </c>
      <c r="AB84" t="s">
        <v>63</v>
      </c>
      <c r="AC84" t="s">
        <v>181</v>
      </c>
    </row>
    <row r="85" spans="1:29">
      <c r="A85" t="s">
        <v>380</v>
      </c>
      <c r="B85" s="2">
        <v>46181</v>
      </c>
      <c r="C85" t="s">
        <v>30</v>
      </c>
      <c r="D85" t="s">
        <v>99</v>
      </c>
      <c r="E85" t="s">
        <v>50</v>
      </c>
      <c r="F85" t="s">
        <v>51</v>
      </c>
      <c r="G85" t="s">
        <v>234</v>
      </c>
      <c r="H85" t="s">
        <v>53</v>
      </c>
      <c r="I85" t="s">
        <v>373</v>
      </c>
      <c r="J85" t="s">
        <v>3066</v>
      </c>
      <c r="K85" t="s">
        <v>37</v>
      </c>
      <c r="L85" t="s">
        <v>68</v>
      </c>
      <c r="M85" t="s">
        <v>106</v>
      </c>
      <c r="N85" t="s">
        <v>57</v>
      </c>
      <c r="O85" s="4">
        <v>3</v>
      </c>
      <c r="P85" s="4">
        <v>8</v>
      </c>
      <c r="Q85" t="s">
        <v>83</v>
      </c>
      <c r="R85" s="2">
        <v>46175</v>
      </c>
      <c r="S85" s="4">
        <v>28</v>
      </c>
      <c r="T85" s="3">
        <v>248000000</v>
      </c>
      <c r="U85" t="s">
        <v>177</v>
      </c>
      <c r="V85" t="s">
        <v>59</v>
      </c>
      <c r="W85" t="s">
        <v>71</v>
      </c>
      <c r="X85" t="s">
        <v>381</v>
      </c>
      <c r="Y85" t="s">
        <v>61</v>
      </c>
      <c r="Z85" t="s">
        <v>3177</v>
      </c>
      <c r="AA85" t="s">
        <v>62</v>
      </c>
      <c r="AB85" t="s">
        <v>63</v>
      </c>
      <c r="AC85" t="s">
        <v>62</v>
      </c>
    </row>
    <row r="86" spans="1:29">
      <c r="A86" t="s">
        <v>382</v>
      </c>
      <c r="B86" s="2">
        <v>46198</v>
      </c>
      <c r="C86" t="s">
        <v>30</v>
      </c>
      <c r="D86" t="s">
        <v>49</v>
      </c>
      <c r="E86" t="s">
        <v>111</v>
      </c>
      <c r="F86" t="s">
        <v>264</v>
      </c>
      <c r="G86" t="s">
        <v>126</v>
      </c>
      <c r="H86" t="s">
        <v>114</v>
      </c>
      <c r="I86" t="s">
        <v>383</v>
      </c>
      <c r="J86" t="s">
        <v>3070</v>
      </c>
      <c r="K86" t="s">
        <v>105</v>
      </c>
      <c r="L86" t="s">
        <v>150</v>
      </c>
      <c r="M86" t="s">
        <v>129</v>
      </c>
      <c r="N86" t="s">
        <v>196</v>
      </c>
      <c r="O86" s="4">
        <v>7</v>
      </c>
      <c r="P86" s="4">
        <v>14</v>
      </c>
      <c r="Q86" t="s">
        <v>83</v>
      </c>
      <c r="R86" s="2">
        <v>46198</v>
      </c>
      <c r="S86" s="4">
        <v>5</v>
      </c>
      <c r="T86" s="3">
        <v>200000000</v>
      </c>
      <c r="U86" t="s">
        <v>196</v>
      </c>
      <c r="V86" t="s">
        <v>70</v>
      </c>
      <c r="W86" t="s">
        <v>209</v>
      </c>
      <c r="Y86" t="s">
        <v>210</v>
      </c>
      <c r="Z86" t="s">
        <v>3181</v>
      </c>
      <c r="AA86" t="s">
        <v>118</v>
      </c>
      <c r="AB86" t="s">
        <v>199</v>
      </c>
      <c r="AC86" t="s">
        <v>118</v>
      </c>
    </row>
    <row r="87" spans="1:29">
      <c r="A87" t="s">
        <v>384</v>
      </c>
      <c r="B87" s="2">
        <v>46191</v>
      </c>
      <c r="C87" t="s">
        <v>30</v>
      </c>
      <c r="D87" t="s">
        <v>74</v>
      </c>
      <c r="E87" t="s">
        <v>120</v>
      </c>
      <c r="F87" t="s">
        <v>121</v>
      </c>
      <c r="G87" t="s">
        <v>135</v>
      </c>
      <c r="H87" t="s">
        <v>300</v>
      </c>
      <c r="I87" t="s">
        <v>301</v>
      </c>
      <c r="J87" t="s">
        <v>3045</v>
      </c>
      <c r="K87" t="s">
        <v>37</v>
      </c>
      <c r="L87" t="s">
        <v>80</v>
      </c>
      <c r="M87" t="s">
        <v>106</v>
      </c>
      <c r="N87" t="s">
        <v>94</v>
      </c>
      <c r="O87" s="4">
        <v>4</v>
      </c>
      <c r="P87" s="4">
        <v>18</v>
      </c>
      <c r="Q87" t="s">
        <v>83</v>
      </c>
      <c r="R87" s="2">
        <v>46183</v>
      </c>
      <c r="S87" s="4">
        <v>20</v>
      </c>
      <c r="T87" s="3">
        <v>273000000</v>
      </c>
      <c r="U87" t="s">
        <v>42</v>
      </c>
      <c r="V87" t="s">
        <v>59</v>
      </c>
      <c r="W87" t="s">
        <v>267</v>
      </c>
      <c r="X87" t="s">
        <v>253</v>
      </c>
      <c r="Y87" t="s">
        <v>96</v>
      </c>
      <c r="Z87" t="s">
        <v>3179</v>
      </c>
      <c r="AA87" t="s">
        <v>97</v>
      </c>
      <c r="AB87" t="s">
        <v>97</v>
      </c>
      <c r="AC87" t="s">
        <v>97</v>
      </c>
    </row>
    <row r="88" spans="1:29">
      <c r="A88" t="s">
        <v>385</v>
      </c>
      <c r="B88" s="2">
        <v>46192</v>
      </c>
      <c r="C88" t="s">
        <v>30</v>
      </c>
      <c r="D88" t="s">
        <v>74</v>
      </c>
      <c r="E88" t="s">
        <v>32</v>
      </c>
      <c r="F88" t="s">
        <v>273</v>
      </c>
      <c r="G88" t="s">
        <v>257</v>
      </c>
      <c r="H88" t="s">
        <v>258</v>
      </c>
      <c r="I88" t="s">
        <v>259</v>
      </c>
      <c r="J88" t="s">
        <v>3036</v>
      </c>
      <c r="K88" t="s">
        <v>56</v>
      </c>
      <c r="L88" t="s">
        <v>150</v>
      </c>
      <c r="M88" t="s">
        <v>164</v>
      </c>
      <c r="N88" t="s">
        <v>40</v>
      </c>
      <c r="O88" s="4">
        <v>2</v>
      </c>
      <c r="P88" s="4">
        <v>2</v>
      </c>
      <c r="Q88" t="s">
        <v>41</v>
      </c>
      <c r="R88" s="2">
        <v>46189</v>
      </c>
      <c r="S88" s="4">
        <v>14</v>
      </c>
      <c r="T88" s="3">
        <v>126000000</v>
      </c>
      <c r="U88" t="s">
        <v>42</v>
      </c>
      <c r="V88" t="s">
        <v>59</v>
      </c>
      <c r="W88" t="s">
        <v>178</v>
      </c>
      <c r="Y88" t="s">
        <v>309</v>
      </c>
      <c r="Z88" t="s">
        <v>3176</v>
      </c>
      <c r="AA88" t="s">
        <v>46</v>
      </c>
      <c r="AB88" t="s">
        <v>47</v>
      </c>
      <c r="AC88" t="s">
        <v>46</v>
      </c>
    </row>
    <row r="89" spans="1:29">
      <c r="A89" t="s">
        <v>386</v>
      </c>
      <c r="B89" s="2">
        <v>46202</v>
      </c>
      <c r="C89" t="s">
        <v>30</v>
      </c>
      <c r="D89" t="s">
        <v>31</v>
      </c>
      <c r="E89" t="s">
        <v>75</v>
      </c>
      <c r="F89" t="s">
        <v>76</v>
      </c>
      <c r="G89" t="s">
        <v>387</v>
      </c>
      <c r="H89" t="s">
        <v>388</v>
      </c>
      <c r="I89" t="s">
        <v>389</v>
      </c>
      <c r="J89" t="s">
        <v>3071</v>
      </c>
      <c r="K89" t="s">
        <v>37</v>
      </c>
      <c r="L89" t="s">
        <v>55</v>
      </c>
      <c r="M89" t="s">
        <v>93</v>
      </c>
      <c r="N89" t="s">
        <v>213</v>
      </c>
      <c r="O89" s="4">
        <v>6</v>
      </c>
      <c r="P89" s="4">
        <v>14</v>
      </c>
      <c r="Q89" t="s">
        <v>69</v>
      </c>
      <c r="R89" s="2">
        <v>46193</v>
      </c>
      <c r="S89" s="4">
        <v>10</v>
      </c>
      <c r="T89" s="3">
        <v>90000000</v>
      </c>
      <c r="U89" t="s">
        <v>214</v>
      </c>
      <c r="V89" t="s">
        <v>70</v>
      </c>
      <c r="W89" t="s">
        <v>390</v>
      </c>
      <c r="Y89" t="s">
        <v>249</v>
      </c>
      <c r="Z89" t="s">
        <v>3179</v>
      </c>
      <c r="AA89" t="s">
        <v>86</v>
      </c>
      <c r="AB89" t="s">
        <v>97</v>
      </c>
      <c r="AC89" t="s">
        <v>86</v>
      </c>
    </row>
    <row r="90" spans="1:29">
      <c r="A90" t="s">
        <v>391</v>
      </c>
      <c r="B90" s="2">
        <v>46186</v>
      </c>
      <c r="C90" t="s">
        <v>30</v>
      </c>
      <c r="D90" t="s">
        <v>99</v>
      </c>
      <c r="E90" t="s">
        <v>152</v>
      </c>
      <c r="F90" t="s">
        <v>205</v>
      </c>
      <c r="G90" t="s">
        <v>294</v>
      </c>
      <c r="H90" t="s">
        <v>155</v>
      </c>
      <c r="I90" t="s">
        <v>375</v>
      </c>
      <c r="J90" t="s">
        <v>3067</v>
      </c>
      <c r="K90" t="s">
        <v>92</v>
      </c>
      <c r="L90" t="s">
        <v>55</v>
      </c>
      <c r="M90" t="s">
        <v>106</v>
      </c>
      <c r="N90" t="s">
        <v>40</v>
      </c>
      <c r="O90" s="4">
        <v>2</v>
      </c>
      <c r="P90" s="4">
        <v>14</v>
      </c>
      <c r="Q90" t="s">
        <v>138</v>
      </c>
      <c r="R90" s="2">
        <v>46176</v>
      </c>
      <c r="S90" s="4">
        <v>27</v>
      </c>
      <c r="T90" s="3">
        <v>80000000</v>
      </c>
      <c r="U90" t="s">
        <v>42</v>
      </c>
      <c r="V90" t="s">
        <v>43</v>
      </c>
      <c r="W90" t="s">
        <v>178</v>
      </c>
      <c r="Y90" t="s">
        <v>45</v>
      </c>
      <c r="Z90" t="s">
        <v>3180</v>
      </c>
      <c r="AA90" t="s">
        <v>159</v>
      </c>
      <c r="AB90" t="s">
        <v>193</v>
      </c>
      <c r="AC90" t="s">
        <v>159</v>
      </c>
    </row>
    <row r="91" spans="1:29">
      <c r="A91" t="s">
        <v>392</v>
      </c>
      <c r="B91" s="2">
        <v>46181</v>
      </c>
      <c r="C91" t="s">
        <v>30</v>
      </c>
      <c r="D91" t="s">
        <v>99</v>
      </c>
      <c r="E91" t="s">
        <v>152</v>
      </c>
      <c r="F91" t="s">
        <v>221</v>
      </c>
      <c r="G91" t="s">
        <v>328</v>
      </c>
      <c r="H91" t="s">
        <v>283</v>
      </c>
      <c r="I91" t="s">
        <v>393</v>
      </c>
      <c r="J91" t="s">
        <v>3072</v>
      </c>
      <c r="K91" t="s">
        <v>56</v>
      </c>
      <c r="L91" t="s">
        <v>187</v>
      </c>
      <c r="M91" t="s">
        <v>129</v>
      </c>
      <c r="N91" t="s">
        <v>94</v>
      </c>
      <c r="O91" s="4">
        <v>4</v>
      </c>
      <c r="P91" s="4">
        <v>15</v>
      </c>
      <c r="Q91" t="s">
        <v>58</v>
      </c>
      <c r="R91" s="2">
        <v>46176</v>
      </c>
      <c r="S91" s="4">
        <v>27</v>
      </c>
      <c r="T91" s="3">
        <v>335000000</v>
      </c>
      <c r="U91" t="s">
        <v>42</v>
      </c>
      <c r="V91" t="s">
        <v>59</v>
      </c>
      <c r="W91" t="s">
        <v>188</v>
      </c>
      <c r="Y91" t="s">
        <v>96</v>
      </c>
      <c r="Z91" t="s">
        <v>3179</v>
      </c>
      <c r="AA91" t="s">
        <v>159</v>
      </c>
      <c r="AB91" t="s">
        <v>97</v>
      </c>
      <c r="AC91" t="s">
        <v>159</v>
      </c>
    </row>
    <row r="92" spans="1:29">
      <c r="A92" t="s">
        <v>394</v>
      </c>
      <c r="B92" s="2">
        <v>46176</v>
      </c>
      <c r="C92" t="s">
        <v>30</v>
      </c>
      <c r="D92" t="s">
        <v>134</v>
      </c>
      <c r="E92" t="s">
        <v>120</v>
      </c>
      <c r="F92" t="s">
        <v>167</v>
      </c>
      <c r="G92" t="s">
        <v>227</v>
      </c>
      <c r="H92" t="s">
        <v>136</v>
      </c>
      <c r="I92" t="s">
        <v>137</v>
      </c>
      <c r="J92" t="s">
        <v>3017</v>
      </c>
      <c r="K92" t="s">
        <v>37</v>
      </c>
      <c r="L92" t="s">
        <v>80</v>
      </c>
      <c r="M92" t="s">
        <v>106</v>
      </c>
      <c r="N92" t="s">
        <v>130</v>
      </c>
      <c r="O92" s="4">
        <v>5</v>
      </c>
      <c r="P92" s="4">
        <v>12</v>
      </c>
      <c r="Q92" t="s">
        <v>69</v>
      </c>
      <c r="R92" s="2">
        <v>46174</v>
      </c>
      <c r="S92" s="4">
        <v>29</v>
      </c>
      <c r="T92" s="3">
        <v>230000000</v>
      </c>
      <c r="U92" t="s">
        <v>42</v>
      </c>
      <c r="V92" t="s">
        <v>143</v>
      </c>
      <c r="W92" t="s">
        <v>252</v>
      </c>
      <c r="Y92" t="s">
        <v>334</v>
      </c>
      <c r="Z92" t="s">
        <v>3179</v>
      </c>
      <c r="AA92" t="s">
        <v>97</v>
      </c>
      <c r="AB92" t="s">
        <v>97</v>
      </c>
      <c r="AC92" t="s">
        <v>97</v>
      </c>
    </row>
    <row r="93" spans="1:29">
      <c r="A93" t="s">
        <v>395</v>
      </c>
      <c r="B93" s="2">
        <v>46182</v>
      </c>
      <c r="C93" t="s">
        <v>30</v>
      </c>
      <c r="D93" t="s">
        <v>99</v>
      </c>
      <c r="E93" t="s">
        <v>111</v>
      </c>
      <c r="F93" t="s">
        <v>112</v>
      </c>
      <c r="G93" t="s">
        <v>265</v>
      </c>
      <c r="H93" t="s">
        <v>114</v>
      </c>
      <c r="I93" t="s">
        <v>383</v>
      </c>
      <c r="J93" t="s">
        <v>3070</v>
      </c>
      <c r="K93" t="s">
        <v>37</v>
      </c>
      <c r="L93" t="s">
        <v>80</v>
      </c>
      <c r="M93" t="s">
        <v>129</v>
      </c>
      <c r="N93" t="s">
        <v>130</v>
      </c>
      <c r="O93" s="4">
        <v>5</v>
      </c>
      <c r="P93" s="4">
        <v>10</v>
      </c>
      <c r="Q93" t="s">
        <v>107</v>
      </c>
      <c r="R93" s="2">
        <v>46178</v>
      </c>
      <c r="S93" s="4">
        <v>25</v>
      </c>
      <c r="T93" s="3">
        <v>85000000</v>
      </c>
      <c r="U93" t="s">
        <v>42</v>
      </c>
      <c r="V93" t="s">
        <v>143</v>
      </c>
      <c r="W93" t="s">
        <v>355</v>
      </c>
      <c r="Y93" t="s">
        <v>262</v>
      </c>
      <c r="Z93" t="s">
        <v>3179</v>
      </c>
      <c r="AA93" t="s">
        <v>118</v>
      </c>
      <c r="AB93" t="s">
        <v>97</v>
      </c>
      <c r="AC93" t="s">
        <v>118</v>
      </c>
    </row>
    <row r="94" spans="1:29">
      <c r="A94" t="s">
        <v>396</v>
      </c>
      <c r="B94" s="2">
        <v>46184</v>
      </c>
      <c r="C94" t="s">
        <v>30</v>
      </c>
      <c r="D94" t="s">
        <v>99</v>
      </c>
      <c r="E94" t="s">
        <v>120</v>
      </c>
      <c r="F94" t="s">
        <v>121</v>
      </c>
      <c r="G94" t="s">
        <v>135</v>
      </c>
      <c r="H94" t="s">
        <v>123</v>
      </c>
      <c r="I94" t="s">
        <v>397</v>
      </c>
      <c r="J94" t="s">
        <v>3073</v>
      </c>
      <c r="K94" t="s">
        <v>56</v>
      </c>
      <c r="L94" t="s">
        <v>187</v>
      </c>
      <c r="M94" t="s">
        <v>93</v>
      </c>
      <c r="N94" t="s">
        <v>130</v>
      </c>
      <c r="O94" s="4">
        <v>5</v>
      </c>
      <c r="P94" s="4">
        <v>8</v>
      </c>
      <c r="Q94" t="s">
        <v>142</v>
      </c>
      <c r="R94" s="2">
        <v>46178</v>
      </c>
      <c r="S94" s="4">
        <v>25</v>
      </c>
      <c r="T94" s="3">
        <v>444000000</v>
      </c>
      <c r="U94" t="s">
        <v>260</v>
      </c>
      <c r="V94" t="s">
        <v>70</v>
      </c>
      <c r="W94" t="s">
        <v>355</v>
      </c>
      <c r="X94" t="s">
        <v>308</v>
      </c>
      <c r="Y94" t="s">
        <v>262</v>
      </c>
      <c r="Z94" t="s">
        <v>3179</v>
      </c>
      <c r="AA94" t="s">
        <v>97</v>
      </c>
      <c r="AB94" t="s">
        <v>97</v>
      </c>
      <c r="AC94" t="s">
        <v>97</v>
      </c>
    </row>
    <row r="95" spans="1:29">
      <c r="A95" t="s">
        <v>398</v>
      </c>
      <c r="B95" s="2">
        <v>46195</v>
      </c>
      <c r="C95" t="s">
        <v>30</v>
      </c>
      <c r="D95" t="s">
        <v>49</v>
      </c>
      <c r="E95" t="s">
        <v>100</v>
      </c>
      <c r="F95" t="s">
        <v>146</v>
      </c>
      <c r="G95" t="s">
        <v>237</v>
      </c>
      <c r="H95" t="s">
        <v>103</v>
      </c>
      <c r="I95" t="s">
        <v>141</v>
      </c>
      <c r="J95" t="s">
        <v>3018</v>
      </c>
      <c r="K95" t="s">
        <v>105</v>
      </c>
      <c r="L95" t="s">
        <v>150</v>
      </c>
      <c r="M95" t="s">
        <v>164</v>
      </c>
      <c r="N95" t="s">
        <v>130</v>
      </c>
      <c r="O95" s="4">
        <v>5</v>
      </c>
      <c r="P95" s="4">
        <v>12</v>
      </c>
      <c r="Q95" t="s">
        <v>58</v>
      </c>
      <c r="R95" s="2">
        <v>46187</v>
      </c>
      <c r="S95" s="4">
        <v>16</v>
      </c>
      <c r="T95" s="3">
        <v>179000000</v>
      </c>
      <c r="U95" t="s">
        <v>42</v>
      </c>
      <c r="V95" t="s">
        <v>70</v>
      </c>
      <c r="W95" t="s">
        <v>131</v>
      </c>
      <c r="Y95" t="s">
        <v>262</v>
      </c>
      <c r="Z95" t="s">
        <v>3179</v>
      </c>
      <c r="AA95" t="s">
        <v>109</v>
      </c>
      <c r="AB95" t="s">
        <v>97</v>
      </c>
      <c r="AC95" t="s">
        <v>109</v>
      </c>
    </row>
    <row r="96" spans="1:29">
      <c r="A96" t="s">
        <v>399</v>
      </c>
      <c r="B96" s="2">
        <v>46201</v>
      </c>
      <c r="C96" t="s">
        <v>30</v>
      </c>
      <c r="D96" t="s">
        <v>49</v>
      </c>
      <c r="E96" t="s">
        <v>120</v>
      </c>
      <c r="F96" t="s">
        <v>121</v>
      </c>
      <c r="G96" t="s">
        <v>135</v>
      </c>
      <c r="H96" t="s">
        <v>300</v>
      </c>
      <c r="I96" t="s">
        <v>400</v>
      </c>
      <c r="J96" t="s">
        <v>3074</v>
      </c>
      <c r="K96" t="s">
        <v>116</v>
      </c>
      <c r="L96" t="s">
        <v>150</v>
      </c>
      <c r="M96" t="s">
        <v>39</v>
      </c>
      <c r="N96" t="s">
        <v>94</v>
      </c>
      <c r="O96" s="4">
        <v>4</v>
      </c>
      <c r="P96" s="4">
        <v>18</v>
      </c>
      <c r="Q96" t="s">
        <v>69</v>
      </c>
      <c r="R96" s="2">
        <v>46195</v>
      </c>
      <c r="S96" s="4">
        <v>8</v>
      </c>
      <c r="T96" s="3">
        <v>187000000</v>
      </c>
      <c r="U96" t="s">
        <v>42</v>
      </c>
      <c r="V96" t="s">
        <v>59</v>
      </c>
      <c r="W96" t="s">
        <v>95</v>
      </c>
      <c r="X96" t="s">
        <v>253</v>
      </c>
      <c r="Y96" t="s">
        <v>268</v>
      </c>
      <c r="Z96" t="s">
        <v>3179</v>
      </c>
      <c r="AA96" t="s">
        <v>97</v>
      </c>
      <c r="AB96" t="s">
        <v>97</v>
      </c>
      <c r="AC96" t="s">
        <v>97</v>
      </c>
    </row>
    <row r="97" spans="1:29">
      <c r="A97" t="s">
        <v>401</v>
      </c>
      <c r="B97" s="2">
        <v>46181</v>
      </c>
      <c r="C97" t="s">
        <v>30</v>
      </c>
      <c r="D97" t="s">
        <v>99</v>
      </c>
      <c r="E97" t="s">
        <v>120</v>
      </c>
      <c r="F97" t="s">
        <v>121</v>
      </c>
      <c r="G97" t="s">
        <v>224</v>
      </c>
      <c r="H97" t="s">
        <v>136</v>
      </c>
      <c r="I97" t="s">
        <v>168</v>
      </c>
      <c r="J97" t="s">
        <v>3022</v>
      </c>
      <c r="K97" t="s">
        <v>105</v>
      </c>
      <c r="L97" t="s">
        <v>55</v>
      </c>
      <c r="M97" t="s">
        <v>106</v>
      </c>
      <c r="N97" t="s">
        <v>94</v>
      </c>
      <c r="O97" s="4">
        <v>4</v>
      </c>
      <c r="P97" s="4">
        <v>10</v>
      </c>
      <c r="Q97" t="s">
        <v>107</v>
      </c>
      <c r="R97" s="2">
        <v>46174</v>
      </c>
      <c r="S97" s="4">
        <v>29</v>
      </c>
      <c r="T97" s="3">
        <v>343000000</v>
      </c>
      <c r="U97" t="s">
        <v>42</v>
      </c>
      <c r="V97" t="s">
        <v>143</v>
      </c>
      <c r="W97" t="s">
        <v>170</v>
      </c>
      <c r="Y97" t="s">
        <v>268</v>
      </c>
      <c r="Z97" t="s">
        <v>3179</v>
      </c>
      <c r="AA97" t="s">
        <v>97</v>
      </c>
      <c r="AB97" t="s">
        <v>97</v>
      </c>
      <c r="AC97" t="s">
        <v>97</v>
      </c>
    </row>
    <row r="98" spans="1:29">
      <c r="A98" t="s">
        <v>402</v>
      </c>
      <c r="B98" s="2">
        <v>46199</v>
      </c>
      <c r="C98" t="s">
        <v>30</v>
      </c>
      <c r="D98" t="s">
        <v>49</v>
      </c>
      <c r="E98" t="s">
        <v>152</v>
      </c>
      <c r="F98" t="s">
        <v>153</v>
      </c>
      <c r="G98" t="s">
        <v>286</v>
      </c>
      <c r="H98" t="s">
        <v>283</v>
      </c>
      <c r="I98" t="s">
        <v>393</v>
      </c>
      <c r="J98" t="s">
        <v>3072</v>
      </c>
      <c r="K98" t="s">
        <v>56</v>
      </c>
      <c r="L98" t="s">
        <v>55</v>
      </c>
      <c r="M98" t="s">
        <v>81</v>
      </c>
      <c r="N98" t="s">
        <v>40</v>
      </c>
      <c r="O98" s="4">
        <v>2</v>
      </c>
      <c r="P98" s="4">
        <v>6</v>
      </c>
      <c r="Q98" t="s">
        <v>83</v>
      </c>
      <c r="R98" s="2">
        <v>46198</v>
      </c>
      <c r="S98" s="4">
        <v>5</v>
      </c>
      <c r="T98" s="3">
        <v>439000000</v>
      </c>
      <c r="U98" t="s">
        <v>42</v>
      </c>
      <c r="V98" t="s">
        <v>59</v>
      </c>
      <c r="W98" t="s">
        <v>298</v>
      </c>
      <c r="Y98" t="s">
        <v>180</v>
      </c>
      <c r="Z98" t="s">
        <v>3178</v>
      </c>
      <c r="AA98" t="s">
        <v>159</v>
      </c>
      <c r="AB98" t="s">
        <v>87</v>
      </c>
      <c r="AC98" t="s">
        <v>159</v>
      </c>
    </row>
    <row r="99" spans="1:29">
      <c r="A99" t="s">
        <v>403</v>
      </c>
      <c r="B99" s="2">
        <v>46180</v>
      </c>
      <c r="C99" t="s">
        <v>30</v>
      </c>
      <c r="D99" t="s">
        <v>134</v>
      </c>
      <c r="E99" t="s">
        <v>172</v>
      </c>
      <c r="F99" t="s">
        <v>173</v>
      </c>
      <c r="G99" t="s">
        <v>174</v>
      </c>
      <c r="H99" t="s">
        <v>175</v>
      </c>
      <c r="I99" t="s">
        <v>333</v>
      </c>
      <c r="J99" t="s">
        <v>3054</v>
      </c>
      <c r="K99" t="s">
        <v>105</v>
      </c>
      <c r="L99" t="s">
        <v>80</v>
      </c>
      <c r="M99" t="s">
        <v>81</v>
      </c>
      <c r="N99" t="s">
        <v>82</v>
      </c>
      <c r="O99" s="4">
        <v>1</v>
      </c>
      <c r="P99" s="4">
        <v>9</v>
      </c>
      <c r="Q99" t="s">
        <v>107</v>
      </c>
      <c r="R99" s="2">
        <v>46173</v>
      </c>
      <c r="S99" s="4">
        <v>30</v>
      </c>
      <c r="T99" s="3">
        <v>165000000</v>
      </c>
      <c r="U99" t="s">
        <v>42</v>
      </c>
      <c r="V99" t="s">
        <v>43</v>
      </c>
      <c r="W99" t="s">
        <v>404</v>
      </c>
      <c r="Y99" t="s">
        <v>330</v>
      </c>
      <c r="Z99" t="s">
        <v>3178</v>
      </c>
      <c r="AA99" t="s">
        <v>181</v>
      </c>
      <c r="AB99" t="s">
        <v>87</v>
      </c>
      <c r="AC99" t="s">
        <v>181</v>
      </c>
    </row>
    <row r="100" spans="1:29">
      <c r="A100" t="s">
        <v>405</v>
      </c>
      <c r="B100" s="2">
        <v>46177</v>
      </c>
      <c r="C100" t="s">
        <v>30</v>
      </c>
      <c r="D100" t="s">
        <v>134</v>
      </c>
      <c r="E100" t="s">
        <v>100</v>
      </c>
      <c r="F100" t="s">
        <v>140</v>
      </c>
      <c r="G100" t="s">
        <v>212</v>
      </c>
      <c r="H100" t="s">
        <v>148</v>
      </c>
      <c r="I100" t="s">
        <v>315</v>
      </c>
      <c r="J100" t="s">
        <v>3049</v>
      </c>
      <c r="K100" t="s">
        <v>56</v>
      </c>
      <c r="L100" t="s">
        <v>187</v>
      </c>
      <c r="M100" t="s">
        <v>106</v>
      </c>
      <c r="N100" t="s">
        <v>94</v>
      </c>
      <c r="O100" s="4">
        <v>4</v>
      </c>
      <c r="P100" s="4">
        <v>16</v>
      </c>
      <c r="Q100" t="s">
        <v>138</v>
      </c>
      <c r="R100" s="2">
        <v>46172</v>
      </c>
      <c r="S100" s="4">
        <v>31</v>
      </c>
      <c r="T100" s="3">
        <v>475000000</v>
      </c>
      <c r="U100" t="s">
        <v>42</v>
      </c>
      <c r="V100" t="s">
        <v>59</v>
      </c>
      <c r="W100" t="s">
        <v>170</v>
      </c>
      <c r="Y100" t="s">
        <v>96</v>
      </c>
      <c r="Z100" t="s">
        <v>3179</v>
      </c>
      <c r="AA100" t="s">
        <v>109</v>
      </c>
      <c r="AB100" t="s">
        <v>97</v>
      </c>
      <c r="AC100" t="s">
        <v>109</v>
      </c>
    </row>
    <row r="101" spans="1:29">
      <c r="A101" t="s">
        <v>406</v>
      </c>
      <c r="B101" s="2">
        <v>46194</v>
      </c>
      <c r="C101" t="s">
        <v>30</v>
      </c>
      <c r="D101" t="s">
        <v>74</v>
      </c>
      <c r="E101" t="s">
        <v>172</v>
      </c>
      <c r="F101" t="s">
        <v>277</v>
      </c>
      <c r="G101" t="s">
        <v>174</v>
      </c>
      <c r="H101" t="s">
        <v>317</v>
      </c>
      <c r="I101" t="s">
        <v>407</v>
      </c>
      <c r="J101" t="s">
        <v>3075</v>
      </c>
      <c r="K101" t="s">
        <v>105</v>
      </c>
      <c r="L101" t="s">
        <v>38</v>
      </c>
      <c r="M101" t="s">
        <v>164</v>
      </c>
      <c r="N101" t="s">
        <v>94</v>
      </c>
      <c r="O101" s="4">
        <v>4</v>
      </c>
      <c r="P101" s="4">
        <v>6</v>
      </c>
      <c r="Q101" t="s">
        <v>107</v>
      </c>
      <c r="R101" s="2">
        <v>46192</v>
      </c>
      <c r="S101" s="4">
        <v>11</v>
      </c>
      <c r="T101" s="3">
        <v>135000000</v>
      </c>
      <c r="U101" t="s">
        <v>42</v>
      </c>
      <c r="V101" t="s">
        <v>143</v>
      </c>
      <c r="W101" t="s">
        <v>95</v>
      </c>
      <c r="X101" t="s">
        <v>253</v>
      </c>
      <c r="Y101" t="s">
        <v>108</v>
      </c>
      <c r="Z101" t="s">
        <v>3179</v>
      </c>
      <c r="AA101" t="s">
        <v>181</v>
      </c>
      <c r="AB101" t="s">
        <v>97</v>
      </c>
      <c r="AC101" t="s">
        <v>181</v>
      </c>
    </row>
    <row r="102" spans="1:29">
      <c r="A102" t="s">
        <v>408</v>
      </c>
      <c r="B102" s="2">
        <v>46181</v>
      </c>
      <c r="C102" t="s">
        <v>30</v>
      </c>
      <c r="D102" t="s">
        <v>99</v>
      </c>
      <c r="E102" t="s">
        <v>75</v>
      </c>
      <c r="F102" t="s">
        <v>76</v>
      </c>
      <c r="G102" t="s">
        <v>184</v>
      </c>
      <c r="H102" t="s">
        <v>388</v>
      </c>
      <c r="I102" t="s">
        <v>409</v>
      </c>
      <c r="J102" t="s">
        <v>3076</v>
      </c>
      <c r="K102" t="s">
        <v>92</v>
      </c>
      <c r="L102" t="s">
        <v>55</v>
      </c>
      <c r="M102" t="s">
        <v>39</v>
      </c>
      <c r="N102" t="s">
        <v>94</v>
      </c>
      <c r="O102" s="4">
        <v>4</v>
      </c>
      <c r="P102" s="4">
        <v>5</v>
      </c>
      <c r="Q102" t="s">
        <v>138</v>
      </c>
      <c r="R102" s="2">
        <v>46177</v>
      </c>
      <c r="S102" s="4">
        <v>26</v>
      </c>
      <c r="T102" s="3">
        <v>198000000</v>
      </c>
      <c r="U102" t="s">
        <v>42</v>
      </c>
      <c r="V102" t="s">
        <v>59</v>
      </c>
      <c r="W102" t="s">
        <v>188</v>
      </c>
      <c r="X102" t="s">
        <v>117</v>
      </c>
      <c r="Y102" t="s">
        <v>268</v>
      </c>
      <c r="Z102" t="s">
        <v>3179</v>
      </c>
      <c r="AA102" t="s">
        <v>86</v>
      </c>
      <c r="AB102" t="s">
        <v>97</v>
      </c>
      <c r="AC102" t="s">
        <v>86</v>
      </c>
    </row>
    <row r="103" spans="1:29">
      <c r="A103" t="s">
        <v>410</v>
      </c>
      <c r="B103" s="2">
        <v>46198</v>
      </c>
      <c r="C103" t="s">
        <v>30</v>
      </c>
      <c r="D103" t="s">
        <v>49</v>
      </c>
      <c r="E103" t="s">
        <v>100</v>
      </c>
      <c r="F103" t="s">
        <v>101</v>
      </c>
      <c r="G103" t="s">
        <v>147</v>
      </c>
      <c r="H103" t="s">
        <v>103</v>
      </c>
      <c r="I103" t="s">
        <v>411</v>
      </c>
      <c r="J103" t="s">
        <v>3077</v>
      </c>
      <c r="K103" t="s">
        <v>92</v>
      </c>
      <c r="L103" t="s">
        <v>169</v>
      </c>
      <c r="M103" t="s">
        <v>93</v>
      </c>
      <c r="N103" t="s">
        <v>40</v>
      </c>
      <c r="O103" s="4">
        <v>2</v>
      </c>
      <c r="P103" s="4">
        <v>10</v>
      </c>
      <c r="Q103" t="s">
        <v>83</v>
      </c>
      <c r="R103" s="2">
        <v>46195</v>
      </c>
      <c r="S103" s="4">
        <v>8</v>
      </c>
      <c r="T103" s="3">
        <v>50000000</v>
      </c>
      <c r="U103" t="s">
        <v>42</v>
      </c>
      <c r="V103" t="s">
        <v>59</v>
      </c>
      <c r="W103" t="s">
        <v>239</v>
      </c>
      <c r="Y103" t="s">
        <v>180</v>
      </c>
      <c r="Z103" t="s">
        <v>3178</v>
      </c>
      <c r="AA103" t="s">
        <v>109</v>
      </c>
      <c r="AB103" t="s">
        <v>87</v>
      </c>
      <c r="AC103" t="s">
        <v>109</v>
      </c>
    </row>
    <row r="104" spans="1:29">
      <c r="A104" t="s">
        <v>412</v>
      </c>
      <c r="B104" s="2">
        <v>46191</v>
      </c>
      <c r="C104" t="s">
        <v>30</v>
      </c>
      <c r="D104" t="s">
        <v>74</v>
      </c>
      <c r="E104" t="s">
        <v>172</v>
      </c>
      <c r="F104" t="s">
        <v>277</v>
      </c>
      <c r="G104" t="s">
        <v>338</v>
      </c>
      <c r="H104" t="s">
        <v>241</v>
      </c>
      <c r="I104" t="s">
        <v>242</v>
      </c>
      <c r="J104" t="s">
        <v>3034</v>
      </c>
      <c r="K104" t="s">
        <v>37</v>
      </c>
      <c r="L104" t="s">
        <v>55</v>
      </c>
      <c r="M104" t="s">
        <v>56</v>
      </c>
      <c r="N104" t="s">
        <v>57</v>
      </c>
      <c r="O104" s="4">
        <v>3</v>
      </c>
      <c r="P104" s="4">
        <v>8</v>
      </c>
      <c r="Q104" t="s">
        <v>142</v>
      </c>
      <c r="R104" s="2">
        <v>46189</v>
      </c>
      <c r="S104" s="4">
        <v>14</v>
      </c>
      <c r="T104" s="3">
        <v>145000000</v>
      </c>
      <c r="U104" t="s">
        <v>42</v>
      </c>
      <c r="V104" t="s">
        <v>70</v>
      </c>
      <c r="W104" t="s">
        <v>60</v>
      </c>
      <c r="Y104" t="s">
        <v>72</v>
      </c>
      <c r="Z104" t="s">
        <v>3177</v>
      </c>
      <c r="AA104" t="s">
        <v>181</v>
      </c>
      <c r="AB104" t="s">
        <v>63</v>
      </c>
      <c r="AC104" t="s">
        <v>181</v>
      </c>
    </row>
    <row r="105" spans="1:29">
      <c r="A105" t="s">
        <v>413</v>
      </c>
      <c r="B105" s="2">
        <v>46195</v>
      </c>
      <c r="C105" t="s">
        <v>30</v>
      </c>
      <c r="D105" t="s">
        <v>49</v>
      </c>
      <c r="E105" t="s">
        <v>75</v>
      </c>
      <c r="F105" t="s">
        <v>76</v>
      </c>
      <c r="G105" t="s">
        <v>230</v>
      </c>
      <c r="H105" t="s">
        <v>78</v>
      </c>
      <c r="I105" t="s">
        <v>163</v>
      </c>
      <c r="J105" t="s">
        <v>3021</v>
      </c>
      <c r="K105" t="s">
        <v>92</v>
      </c>
      <c r="L105" t="s">
        <v>68</v>
      </c>
      <c r="M105" t="s">
        <v>129</v>
      </c>
      <c r="N105" t="s">
        <v>130</v>
      </c>
      <c r="O105" s="4">
        <v>5</v>
      </c>
      <c r="P105" s="4">
        <v>13</v>
      </c>
      <c r="Q105" t="s">
        <v>107</v>
      </c>
      <c r="R105" s="2">
        <v>46189</v>
      </c>
      <c r="S105" s="4">
        <v>14</v>
      </c>
      <c r="T105" s="3">
        <v>231000000</v>
      </c>
      <c r="U105" t="s">
        <v>42</v>
      </c>
      <c r="V105" t="s">
        <v>59</v>
      </c>
      <c r="W105" t="s">
        <v>131</v>
      </c>
      <c r="Y105" t="s">
        <v>254</v>
      </c>
      <c r="Z105" t="s">
        <v>3179</v>
      </c>
      <c r="AA105" t="s">
        <v>86</v>
      </c>
      <c r="AB105" t="s">
        <v>97</v>
      </c>
      <c r="AC105" t="s">
        <v>86</v>
      </c>
    </row>
    <row r="106" spans="1:29">
      <c r="A106" t="s">
        <v>414</v>
      </c>
      <c r="B106" s="2">
        <v>46201</v>
      </c>
      <c r="C106" t="s">
        <v>30</v>
      </c>
      <c r="D106" t="s">
        <v>49</v>
      </c>
      <c r="E106" t="s">
        <v>50</v>
      </c>
      <c r="F106" t="s">
        <v>51</v>
      </c>
      <c r="G106" t="s">
        <v>234</v>
      </c>
      <c r="H106" t="s">
        <v>53</v>
      </c>
      <c r="I106" t="s">
        <v>271</v>
      </c>
      <c r="J106" t="s">
        <v>3038</v>
      </c>
      <c r="K106" t="s">
        <v>105</v>
      </c>
      <c r="L106" t="s">
        <v>80</v>
      </c>
      <c r="M106" t="s">
        <v>93</v>
      </c>
      <c r="N106" t="s">
        <v>130</v>
      </c>
      <c r="O106" s="4">
        <v>5</v>
      </c>
      <c r="P106" s="4">
        <v>15</v>
      </c>
      <c r="Q106" t="s">
        <v>41</v>
      </c>
      <c r="R106" s="2">
        <v>46200</v>
      </c>
      <c r="S106" s="4">
        <v>3</v>
      </c>
      <c r="T106" s="3">
        <v>309000000</v>
      </c>
      <c r="U106" t="s">
        <v>42</v>
      </c>
      <c r="V106" t="s">
        <v>59</v>
      </c>
      <c r="W106" t="s">
        <v>131</v>
      </c>
      <c r="X106" t="s">
        <v>117</v>
      </c>
      <c r="Y106" t="s">
        <v>132</v>
      </c>
      <c r="Z106" t="s">
        <v>3179</v>
      </c>
      <c r="AA106" t="s">
        <v>62</v>
      </c>
      <c r="AB106" t="s">
        <v>97</v>
      </c>
      <c r="AC106" t="s">
        <v>62</v>
      </c>
    </row>
    <row r="107" spans="1:29">
      <c r="A107" t="s">
        <v>415</v>
      </c>
      <c r="B107" s="2">
        <v>46187</v>
      </c>
      <c r="C107" t="s">
        <v>30</v>
      </c>
      <c r="D107" t="s">
        <v>99</v>
      </c>
      <c r="E107" t="s">
        <v>100</v>
      </c>
      <c r="F107" t="s">
        <v>101</v>
      </c>
      <c r="G107" t="s">
        <v>147</v>
      </c>
      <c r="H107" t="s">
        <v>201</v>
      </c>
      <c r="I107" t="s">
        <v>416</v>
      </c>
      <c r="J107" t="s">
        <v>3078</v>
      </c>
      <c r="K107" t="s">
        <v>116</v>
      </c>
      <c r="L107" t="s">
        <v>80</v>
      </c>
      <c r="M107" t="s">
        <v>56</v>
      </c>
      <c r="N107" t="s">
        <v>94</v>
      </c>
      <c r="O107" s="4">
        <v>4</v>
      </c>
      <c r="P107" s="4">
        <v>12</v>
      </c>
      <c r="Q107" t="s">
        <v>58</v>
      </c>
      <c r="R107" s="2">
        <v>46184</v>
      </c>
      <c r="S107" s="4">
        <v>19</v>
      </c>
      <c r="T107" s="3">
        <v>111000000</v>
      </c>
      <c r="U107" t="s">
        <v>42</v>
      </c>
      <c r="V107" t="s">
        <v>59</v>
      </c>
      <c r="W107" t="s">
        <v>170</v>
      </c>
      <c r="Y107" t="s">
        <v>228</v>
      </c>
      <c r="Z107" t="s">
        <v>3179</v>
      </c>
      <c r="AA107" t="s">
        <v>109</v>
      </c>
      <c r="AB107" t="s">
        <v>97</v>
      </c>
      <c r="AC107" t="s">
        <v>109</v>
      </c>
    </row>
    <row r="108" spans="1:29">
      <c r="A108" t="s">
        <v>417</v>
      </c>
      <c r="B108" s="2">
        <v>46196</v>
      </c>
      <c r="C108" t="s">
        <v>30</v>
      </c>
      <c r="D108" t="s">
        <v>49</v>
      </c>
      <c r="E108" t="s">
        <v>152</v>
      </c>
      <c r="F108" t="s">
        <v>205</v>
      </c>
      <c r="G108" t="s">
        <v>294</v>
      </c>
      <c r="H108" t="s">
        <v>155</v>
      </c>
      <c r="I108" t="s">
        <v>418</v>
      </c>
      <c r="J108" t="s">
        <v>3079</v>
      </c>
      <c r="K108" t="s">
        <v>37</v>
      </c>
      <c r="L108" t="s">
        <v>68</v>
      </c>
      <c r="M108" t="s">
        <v>56</v>
      </c>
      <c r="N108" t="s">
        <v>94</v>
      </c>
      <c r="O108" s="4">
        <v>4</v>
      </c>
      <c r="P108" s="4">
        <v>8</v>
      </c>
      <c r="Q108" t="s">
        <v>58</v>
      </c>
      <c r="R108" s="2">
        <v>46191</v>
      </c>
      <c r="S108" s="4">
        <v>12</v>
      </c>
      <c r="T108" s="3">
        <v>186000000</v>
      </c>
      <c r="U108" t="s">
        <v>42</v>
      </c>
      <c r="V108" t="s">
        <v>70</v>
      </c>
      <c r="W108" t="s">
        <v>188</v>
      </c>
      <c r="Y108" t="s">
        <v>96</v>
      </c>
      <c r="Z108" t="s">
        <v>3179</v>
      </c>
      <c r="AA108" t="s">
        <v>159</v>
      </c>
      <c r="AB108" t="s">
        <v>97</v>
      </c>
      <c r="AC108" t="s">
        <v>159</v>
      </c>
    </row>
    <row r="109" spans="1:29">
      <c r="A109" t="s">
        <v>419</v>
      </c>
      <c r="B109" s="2">
        <v>46194</v>
      </c>
      <c r="C109" t="s">
        <v>30</v>
      </c>
      <c r="D109" t="s">
        <v>74</v>
      </c>
      <c r="E109" t="s">
        <v>120</v>
      </c>
      <c r="F109" t="s">
        <v>121</v>
      </c>
      <c r="G109" t="s">
        <v>420</v>
      </c>
      <c r="H109" t="s">
        <v>300</v>
      </c>
      <c r="I109" t="s">
        <v>421</v>
      </c>
      <c r="J109" t="s">
        <v>3080</v>
      </c>
      <c r="K109" t="s">
        <v>105</v>
      </c>
      <c r="L109" t="s">
        <v>38</v>
      </c>
      <c r="M109" t="s">
        <v>56</v>
      </c>
      <c r="N109" t="s">
        <v>94</v>
      </c>
      <c r="O109" s="4">
        <v>4</v>
      </c>
      <c r="P109" s="4">
        <v>11</v>
      </c>
      <c r="Q109" t="s">
        <v>142</v>
      </c>
      <c r="R109" s="2">
        <v>46192</v>
      </c>
      <c r="S109" s="4">
        <v>11</v>
      </c>
      <c r="T109" s="3">
        <v>309000000</v>
      </c>
      <c r="U109" t="s">
        <v>260</v>
      </c>
      <c r="V109" t="s">
        <v>59</v>
      </c>
      <c r="W109" t="s">
        <v>188</v>
      </c>
      <c r="X109" t="s">
        <v>422</v>
      </c>
      <c r="Y109" t="s">
        <v>96</v>
      </c>
      <c r="Z109" t="s">
        <v>3179</v>
      </c>
      <c r="AA109" t="s">
        <v>97</v>
      </c>
      <c r="AB109" t="s">
        <v>97</v>
      </c>
      <c r="AC109" t="s">
        <v>97</v>
      </c>
    </row>
    <row r="110" spans="1:29">
      <c r="A110" t="s">
        <v>423</v>
      </c>
      <c r="B110" s="2">
        <v>46201</v>
      </c>
      <c r="C110" t="s">
        <v>30</v>
      </c>
      <c r="D110" t="s">
        <v>49</v>
      </c>
      <c r="E110" t="s">
        <v>50</v>
      </c>
      <c r="F110" t="s">
        <v>51</v>
      </c>
      <c r="G110" t="s">
        <v>343</v>
      </c>
      <c r="H110" t="s">
        <v>53</v>
      </c>
      <c r="I110" t="s">
        <v>54</v>
      </c>
      <c r="J110" t="s">
        <v>3009</v>
      </c>
      <c r="K110" t="s">
        <v>105</v>
      </c>
      <c r="L110" t="s">
        <v>169</v>
      </c>
      <c r="M110" t="s">
        <v>106</v>
      </c>
      <c r="N110" t="s">
        <v>213</v>
      </c>
      <c r="O110" s="4">
        <v>6</v>
      </c>
      <c r="P110" s="4">
        <v>12</v>
      </c>
      <c r="Q110" t="s">
        <v>58</v>
      </c>
      <c r="R110" s="2">
        <v>46191</v>
      </c>
      <c r="S110" s="4">
        <v>12</v>
      </c>
      <c r="T110" s="3">
        <v>364000000</v>
      </c>
      <c r="U110" t="s">
        <v>214</v>
      </c>
      <c r="V110" t="s">
        <v>70</v>
      </c>
      <c r="W110" t="s">
        <v>390</v>
      </c>
      <c r="Y110" t="s">
        <v>424</v>
      </c>
      <c r="Z110" t="s">
        <v>3179</v>
      </c>
      <c r="AA110" t="s">
        <v>62</v>
      </c>
      <c r="AB110" t="s">
        <v>97</v>
      </c>
      <c r="AC110" t="s">
        <v>62</v>
      </c>
    </row>
    <row r="111" spans="1:29">
      <c r="A111" t="s">
        <v>425</v>
      </c>
      <c r="B111" s="2">
        <v>46187</v>
      </c>
      <c r="C111" t="s">
        <v>30</v>
      </c>
      <c r="D111" t="s">
        <v>99</v>
      </c>
      <c r="E111" t="s">
        <v>111</v>
      </c>
      <c r="F111" t="s">
        <v>190</v>
      </c>
      <c r="G111" t="s">
        <v>265</v>
      </c>
      <c r="H111" t="s">
        <v>114</v>
      </c>
      <c r="I111" t="s">
        <v>266</v>
      </c>
      <c r="J111" t="s">
        <v>3037</v>
      </c>
      <c r="K111" t="s">
        <v>92</v>
      </c>
      <c r="L111" t="s">
        <v>38</v>
      </c>
      <c r="M111" t="s">
        <v>39</v>
      </c>
      <c r="N111" t="s">
        <v>94</v>
      </c>
      <c r="O111" s="4">
        <v>4</v>
      </c>
      <c r="P111" s="4">
        <v>13</v>
      </c>
      <c r="Q111" t="s">
        <v>107</v>
      </c>
      <c r="R111" s="2">
        <v>46182</v>
      </c>
      <c r="S111" s="4">
        <v>21</v>
      </c>
      <c r="T111" s="3">
        <v>179000000</v>
      </c>
      <c r="U111" t="s">
        <v>426</v>
      </c>
      <c r="V111" t="s">
        <v>59</v>
      </c>
      <c r="W111" t="s">
        <v>95</v>
      </c>
      <c r="X111" t="s">
        <v>179</v>
      </c>
      <c r="Y111" t="s">
        <v>108</v>
      </c>
      <c r="Z111" t="s">
        <v>3179</v>
      </c>
      <c r="AA111" t="s">
        <v>118</v>
      </c>
      <c r="AB111" t="s">
        <v>97</v>
      </c>
      <c r="AC111" t="s">
        <v>118</v>
      </c>
    </row>
    <row r="112" spans="1:29">
      <c r="A112" t="s">
        <v>427</v>
      </c>
      <c r="B112" s="2">
        <v>46203</v>
      </c>
      <c r="C112" t="s">
        <v>30</v>
      </c>
      <c r="D112" t="s">
        <v>31</v>
      </c>
      <c r="E112" t="s">
        <v>75</v>
      </c>
      <c r="F112" t="s">
        <v>76</v>
      </c>
      <c r="G112" t="s">
        <v>230</v>
      </c>
      <c r="H112" t="s">
        <v>185</v>
      </c>
      <c r="I112" t="s">
        <v>428</v>
      </c>
      <c r="J112" t="s">
        <v>3081</v>
      </c>
      <c r="K112" t="s">
        <v>37</v>
      </c>
      <c r="L112" t="s">
        <v>80</v>
      </c>
      <c r="M112" t="s">
        <v>164</v>
      </c>
      <c r="N112" t="s">
        <v>82</v>
      </c>
      <c r="O112" s="4">
        <v>1</v>
      </c>
      <c r="P112" s="4">
        <v>6</v>
      </c>
      <c r="Q112" t="s">
        <v>83</v>
      </c>
      <c r="R112" s="2">
        <v>46200</v>
      </c>
      <c r="S112" s="4">
        <v>3</v>
      </c>
      <c r="T112" s="3">
        <v>165000000</v>
      </c>
      <c r="U112" t="s">
        <v>42</v>
      </c>
      <c r="V112" t="s">
        <v>43</v>
      </c>
      <c r="W112" t="s">
        <v>290</v>
      </c>
      <c r="Y112" t="s">
        <v>305</v>
      </c>
      <c r="Z112" t="s">
        <v>3178</v>
      </c>
      <c r="AA112" t="s">
        <v>86</v>
      </c>
      <c r="AB112" t="s">
        <v>87</v>
      </c>
      <c r="AC112" t="s">
        <v>86</v>
      </c>
    </row>
    <row r="113" spans="1:29">
      <c r="A113" t="s">
        <v>429</v>
      </c>
      <c r="B113" s="2">
        <v>46179</v>
      </c>
      <c r="C113" t="s">
        <v>30</v>
      </c>
      <c r="D113" t="s">
        <v>134</v>
      </c>
      <c r="E113" t="s">
        <v>120</v>
      </c>
      <c r="F113" t="s">
        <v>246</v>
      </c>
      <c r="G113" t="s">
        <v>227</v>
      </c>
      <c r="H113" t="s">
        <v>300</v>
      </c>
      <c r="I113" t="s">
        <v>430</v>
      </c>
      <c r="J113" t="s">
        <v>3082</v>
      </c>
      <c r="K113" t="s">
        <v>105</v>
      </c>
      <c r="L113" t="s">
        <v>68</v>
      </c>
      <c r="M113" t="s">
        <v>129</v>
      </c>
      <c r="N113" t="s">
        <v>94</v>
      </c>
      <c r="O113" s="4">
        <v>4</v>
      </c>
      <c r="P113" s="4">
        <v>5</v>
      </c>
      <c r="Q113" t="s">
        <v>69</v>
      </c>
      <c r="R113" s="2">
        <v>46178</v>
      </c>
      <c r="S113" s="4">
        <v>25</v>
      </c>
      <c r="T113" s="3">
        <v>60000000</v>
      </c>
      <c r="U113" t="s">
        <v>42</v>
      </c>
      <c r="V113" t="s">
        <v>70</v>
      </c>
      <c r="W113" t="s">
        <v>188</v>
      </c>
      <c r="X113" t="s">
        <v>117</v>
      </c>
      <c r="Y113" t="s">
        <v>228</v>
      </c>
      <c r="Z113" t="s">
        <v>3179</v>
      </c>
      <c r="AA113" t="s">
        <v>97</v>
      </c>
      <c r="AB113" t="s">
        <v>97</v>
      </c>
      <c r="AC113" t="s">
        <v>97</v>
      </c>
    </row>
    <row r="114" spans="1:29">
      <c r="A114" t="s">
        <v>431</v>
      </c>
      <c r="B114" s="2">
        <v>46176</v>
      </c>
      <c r="C114" t="s">
        <v>30</v>
      </c>
      <c r="D114" t="s">
        <v>134</v>
      </c>
      <c r="E114" t="s">
        <v>100</v>
      </c>
      <c r="F114" t="s">
        <v>101</v>
      </c>
      <c r="G114" t="s">
        <v>102</v>
      </c>
      <c r="H114" t="s">
        <v>103</v>
      </c>
      <c r="I114" t="s">
        <v>411</v>
      </c>
      <c r="J114" t="s">
        <v>3077</v>
      </c>
      <c r="K114" t="s">
        <v>105</v>
      </c>
      <c r="L114" t="s">
        <v>80</v>
      </c>
      <c r="M114" t="s">
        <v>129</v>
      </c>
      <c r="N114" t="s">
        <v>213</v>
      </c>
      <c r="O114" s="4">
        <v>6</v>
      </c>
      <c r="P114" s="4">
        <v>19</v>
      </c>
      <c r="Q114" t="s">
        <v>83</v>
      </c>
      <c r="R114" s="2">
        <v>46169</v>
      </c>
      <c r="S114" s="4">
        <v>34</v>
      </c>
      <c r="T114" s="3">
        <v>157000000</v>
      </c>
      <c r="U114" t="s">
        <v>214</v>
      </c>
      <c r="V114" t="s">
        <v>70</v>
      </c>
      <c r="W114" t="s">
        <v>248</v>
      </c>
      <c r="Y114" t="s">
        <v>432</v>
      </c>
      <c r="Z114" t="s">
        <v>3179</v>
      </c>
      <c r="AA114" t="s">
        <v>109</v>
      </c>
      <c r="AB114" t="s">
        <v>97</v>
      </c>
      <c r="AC114" t="s">
        <v>109</v>
      </c>
    </row>
    <row r="115" spans="1:29">
      <c r="A115" t="s">
        <v>433</v>
      </c>
      <c r="B115" s="2">
        <v>46194</v>
      </c>
      <c r="C115" t="s">
        <v>30</v>
      </c>
      <c r="D115" t="s">
        <v>74</v>
      </c>
      <c r="E115" t="s">
        <v>152</v>
      </c>
      <c r="F115" t="s">
        <v>205</v>
      </c>
      <c r="G115" t="s">
        <v>294</v>
      </c>
      <c r="H115" t="s">
        <v>155</v>
      </c>
      <c r="I115" t="s">
        <v>434</v>
      </c>
      <c r="J115" t="s">
        <v>3083</v>
      </c>
      <c r="K115" t="s">
        <v>105</v>
      </c>
      <c r="L115" t="s">
        <v>80</v>
      </c>
      <c r="M115" t="s">
        <v>164</v>
      </c>
      <c r="N115" t="s">
        <v>130</v>
      </c>
      <c r="O115" s="4">
        <v>5</v>
      </c>
      <c r="P115" s="4">
        <v>11</v>
      </c>
      <c r="Q115" t="s">
        <v>107</v>
      </c>
      <c r="R115" s="2">
        <v>46188</v>
      </c>
      <c r="S115" s="4">
        <v>15</v>
      </c>
      <c r="T115" s="3">
        <v>301000000</v>
      </c>
      <c r="U115" t="s">
        <v>260</v>
      </c>
      <c r="V115" t="s">
        <v>70</v>
      </c>
      <c r="W115" t="s">
        <v>144</v>
      </c>
      <c r="X115" t="s">
        <v>422</v>
      </c>
      <c r="Y115" t="s">
        <v>132</v>
      </c>
      <c r="Z115" t="s">
        <v>3179</v>
      </c>
      <c r="AA115" t="s">
        <v>159</v>
      </c>
      <c r="AB115" t="s">
        <v>97</v>
      </c>
      <c r="AC115" t="s">
        <v>159</v>
      </c>
    </row>
    <row r="116" spans="1:29">
      <c r="A116" t="s">
        <v>435</v>
      </c>
      <c r="B116" s="2">
        <v>46183</v>
      </c>
      <c r="C116" t="s">
        <v>30</v>
      </c>
      <c r="D116" t="s">
        <v>99</v>
      </c>
      <c r="E116" t="s">
        <v>100</v>
      </c>
      <c r="F116" t="s">
        <v>101</v>
      </c>
      <c r="G116" t="s">
        <v>212</v>
      </c>
      <c r="H116" t="s">
        <v>103</v>
      </c>
      <c r="I116" t="s">
        <v>436</v>
      </c>
      <c r="J116" t="s">
        <v>3084</v>
      </c>
      <c r="K116" t="s">
        <v>56</v>
      </c>
      <c r="L116" t="s">
        <v>55</v>
      </c>
      <c r="M116" t="s">
        <v>39</v>
      </c>
      <c r="N116" t="s">
        <v>94</v>
      </c>
      <c r="O116" s="4">
        <v>4</v>
      </c>
      <c r="P116" s="4">
        <v>13</v>
      </c>
      <c r="Q116" t="s">
        <v>58</v>
      </c>
      <c r="R116" s="2">
        <v>46174</v>
      </c>
      <c r="S116" s="4">
        <v>29</v>
      </c>
      <c r="T116" s="3">
        <v>427000000</v>
      </c>
      <c r="U116" t="s">
        <v>426</v>
      </c>
      <c r="V116" t="s">
        <v>59</v>
      </c>
      <c r="W116" t="s">
        <v>95</v>
      </c>
      <c r="X116" t="s">
        <v>381</v>
      </c>
      <c r="Y116" t="s">
        <v>268</v>
      </c>
      <c r="Z116" t="s">
        <v>3179</v>
      </c>
      <c r="AA116" t="s">
        <v>109</v>
      </c>
      <c r="AB116" t="s">
        <v>97</v>
      </c>
      <c r="AC116" t="s">
        <v>109</v>
      </c>
    </row>
    <row r="117" spans="1:29">
      <c r="A117" t="s">
        <v>437</v>
      </c>
      <c r="B117" s="2">
        <v>46177</v>
      </c>
      <c r="C117" t="s">
        <v>30</v>
      </c>
      <c r="D117" t="s">
        <v>134</v>
      </c>
      <c r="E117" t="s">
        <v>111</v>
      </c>
      <c r="F117" t="s">
        <v>112</v>
      </c>
      <c r="G117" t="s">
        <v>113</v>
      </c>
      <c r="H117" t="s">
        <v>114</v>
      </c>
      <c r="I117" t="s">
        <v>115</v>
      </c>
      <c r="J117" t="s">
        <v>3014</v>
      </c>
      <c r="K117" t="s">
        <v>105</v>
      </c>
      <c r="L117" t="s">
        <v>68</v>
      </c>
      <c r="M117" t="s">
        <v>39</v>
      </c>
      <c r="N117" t="s">
        <v>213</v>
      </c>
      <c r="O117" s="4">
        <v>6</v>
      </c>
      <c r="P117" s="4">
        <v>15</v>
      </c>
      <c r="Q117" t="s">
        <v>107</v>
      </c>
      <c r="R117" s="2">
        <v>46174</v>
      </c>
      <c r="S117" s="4">
        <v>29</v>
      </c>
      <c r="T117" s="3">
        <v>310000000</v>
      </c>
      <c r="U117" t="s">
        <v>214</v>
      </c>
      <c r="V117" t="s">
        <v>143</v>
      </c>
      <c r="W117" t="s">
        <v>438</v>
      </c>
      <c r="Y117" t="s">
        <v>216</v>
      </c>
      <c r="Z117" t="s">
        <v>3179</v>
      </c>
      <c r="AA117" t="s">
        <v>118</v>
      </c>
      <c r="AB117" t="s">
        <v>97</v>
      </c>
      <c r="AC117" t="s">
        <v>118</v>
      </c>
    </row>
    <row r="118" spans="1:29">
      <c r="A118" t="s">
        <v>439</v>
      </c>
      <c r="B118" s="2">
        <v>46187</v>
      </c>
      <c r="C118" t="s">
        <v>30</v>
      </c>
      <c r="D118" t="s">
        <v>99</v>
      </c>
      <c r="E118" t="s">
        <v>50</v>
      </c>
      <c r="F118" t="s">
        <v>51</v>
      </c>
      <c r="G118" t="s">
        <v>234</v>
      </c>
      <c r="H118" t="s">
        <v>53</v>
      </c>
      <c r="I118" t="s">
        <v>368</v>
      </c>
      <c r="J118" t="s">
        <v>3064</v>
      </c>
      <c r="K118" t="s">
        <v>105</v>
      </c>
      <c r="L118" t="s">
        <v>55</v>
      </c>
      <c r="M118" t="s">
        <v>39</v>
      </c>
      <c r="N118" t="s">
        <v>82</v>
      </c>
      <c r="O118" s="4">
        <v>1</v>
      </c>
      <c r="P118" s="4">
        <v>7</v>
      </c>
      <c r="Q118" t="s">
        <v>69</v>
      </c>
      <c r="R118" s="2">
        <v>46177</v>
      </c>
      <c r="S118" s="4">
        <v>26</v>
      </c>
      <c r="T118" s="3">
        <v>190000000</v>
      </c>
      <c r="U118" t="s">
        <v>42</v>
      </c>
      <c r="V118" t="s">
        <v>59</v>
      </c>
      <c r="W118" t="s">
        <v>290</v>
      </c>
      <c r="Y118" t="s">
        <v>330</v>
      </c>
      <c r="Z118" t="s">
        <v>3178</v>
      </c>
      <c r="AA118" t="s">
        <v>62</v>
      </c>
      <c r="AB118" t="s">
        <v>87</v>
      </c>
      <c r="AC118" t="s">
        <v>62</v>
      </c>
    </row>
    <row r="119" spans="1:29">
      <c r="A119" t="s">
        <v>440</v>
      </c>
      <c r="B119" s="2">
        <v>46198</v>
      </c>
      <c r="C119" t="s">
        <v>30</v>
      </c>
      <c r="D119" t="s">
        <v>49</v>
      </c>
      <c r="E119" t="s">
        <v>172</v>
      </c>
      <c r="F119" t="s">
        <v>173</v>
      </c>
      <c r="G119" t="s">
        <v>289</v>
      </c>
      <c r="H119" t="s">
        <v>241</v>
      </c>
      <c r="I119" t="s">
        <v>441</v>
      </c>
      <c r="J119" t="s">
        <v>3085</v>
      </c>
      <c r="K119" t="s">
        <v>105</v>
      </c>
      <c r="L119" t="s">
        <v>38</v>
      </c>
      <c r="M119" t="s">
        <v>129</v>
      </c>
      <c r="N119" t="s">
        <v>57</v>
      </c>
      <c r="O119" s="4">
        <v>3</v>
      </c>
      <c r="P119" s="4">
        <v>10</v>
      </c>
      <c r="Q119" t="s">
        <v>41</v>
      </c>
      <c r="R119" s="2">
        <v>46195</v>
      </c>
      <c r="S119" s="4">
        <v>8</v>
      </c>
      <c r="T119" s="3">
        <v>202000000</v>
      </c>
      <c r="U119" t="s">
        <v>42</v>
      </c>
      <c r="V119" t="s">
        <v>43</v>
      </c>
      <c r="W119" t="s">
        <v>71</v>
      </c>
      <c r="Y119" t="s">
        <v>165</v>
      </c>
      <c r="Z119" t="s">
        <v>3177</v>
      </c>
      <c r="AA119" t="s">
        <v>181</v>
      </c>
      <c r="AB119" t="s">
        <v>63</v>
      </c>
      <c r="AC119" t="s">
        <v>181</v>
      </c>
    </row>
    <row r="120" spans="1:29">
      <c r="A120" t="s">
        <v>442</v>
      </c>
      <c r="B120" s="2">
        <v>46186</v>
      </c>
      <c r="C120" t="s">
        <v>30</v>
      </c>
      <c r="D120" t="s">
        <v>99</v>
      </c>
      <c r="E120" t="s">
        <v>152</v>
      </c>
      <c r="F120" t="s">
        <v>153</v>
      </c>
      <c r="G120" t="s">
        <v>328</v>
      </c>
      <c r="H120" t="s">
        <v>155</v>
      </c>
      <c r="I120" t="s">
        <v>443</v>
      </c>
      <c r="J120" t="s">
        <v>3086</v>
      </c>
      <c r="K120" t="s">
        <v>37</v>
      </c>
      <c r="L120" t="s">
        <v>38</v>
      </c>
      <c r="M120" t="s">
        <v>81</v>
      </c>
      <c r="N120" t="s">
        <v>130</v>
      </c>
      <c r="O120" s="4">
        <v>5</v>
      </c>
      <c r="P120" s="4">
        <v>16</v>
      </c>
      <c r="Q120" t="s">
        <v>58</v>
      </c>
      <c r="R120" s="2">
        <v>46179</v>
      </c>
      <c r="S120" s="4">
        <v>24</v>
      </c>
      <c r="T120" s="3">
        <v>140000000</v>
      </c>
      <c r="U120" t="s">
        <v>42</v>
      </c>
      <c r="V120" t="s">
        <v>143</v>
      </c>
      <c r="W120" t="s">
        <v>144</v>
      </c>
      <c r="X120" t="s">
        <v>117</v>
      </c>
      <c r="Y120" t="s">
        <v>254</v>
      </c>
      <c r="Z120" t="s">
        <v>3179</v>
      </c>
      <c r="AA120" t="s">
        <v>159</v>
      </c>
      <c r="AB120" t="s">
        <v>97</v>
      </c>
      <c r="AC120" t="s">
        <v>159</v>
      </c>
    </row>
    <row r="121" spans="1:29">
      <c r="A121" t="s">
        <v>444</v>
      </c>
      <c r="B121" s="2">
        <v>46194</v>
      </c>
      <c r="C121" t="s">
        <v>30</v>
      </c>
      <c r="D121" t="s">
        <v>74</v>
      </c>
      <c r="E121" t="s">
        <v>120</v>
      </c>
      <c r="F121" t="s">
        <v>246</v>
      </c>
      <c r="G121" t="s">
        <v>122</v>
      </c>
      <c r="H121" t="s">
        <v>300</v>
      </c>
      <c r="I121" t="s">
        <v>445</v>
      </c>
      <c r="J121" t="s">
        <v>3087</v>
      </c>
      <c r="K121" t="s">
        <v>37</v>
      </c>
      <c r="L121" t="s">
        <v>68</v>
      </c>
      <c r="M121" t="s">
        <v>164</v>
      </c>
      <c r="N121" t="s">
        <v>196</v>
      </c>
      <c r="O121" s="4">
        <v>7</v>
      </c>
      <c r="P121" s="4">
        <v>10</v>
      </c>
      <c r="Q121" t="s">
        <v>83</v>
      </c>
      <c r="R121" s="2">
        <v>46187</v>
      </c>
      <c r="S121" s="4">
        <v>16</v>
      </c>
      <c r="T121" s="3">
        <v>171000000</v>
      </c>
      <c r="U121" t="s">
        <v>196</v>
      </c>
      <c r="V121" t="s">
        <v>70</v>
      </c>
      <c r="W121" t="s">
        <v>197</v>
      </c>
      <c r="Y121" t="s">
        <v>210</v>
      </c>
      <c r="Z121" t="s">
        <v>3181</v>
      </c>
      <c r="AA121" t="s">
        <v>97</v>
      </c>
      <c r="AB121" t="s">
        <v>199</v>
      </c>
      <c r="AC121" t="s">
        <v>97</v>
      </c>
    </row>
    <row r="122" spans="1:29">
      <c r="A122" t="s">
        <v>446</v>
      </c>
      <c r="B122" s="2">
        <v>46180</v>
      </c>
      <c r="C122" t="s">
        <v>30</v>
      </c>
      <c r="D122" t="s">
        <v>134</v>
      </c>
      <c r="E122" t="s">
        <v>100</v>
      </c>
      <c r="F122" t="s">
        <v>101</v>
      </c>
      <c r="G122" t="s">
        <v>147</v>
      </c>
      <c r="H122" t="s">
        <v>103</v>
      </c>
      <c r="I122" t="s">
        <v>447</v>
      </c>
      <c r="J122" t="s">
        <v>3088</v>
      </c>
      <c r="K122" t="s">
        <v>37</v>
      </c>
      <c r="L122" t="s">
        <v>187</v>
      </c>
      <c r="M122" t="s">
        <v>81</v>
      </c>
      <c r="N122" t="s">
        <v>213</v>
      </c>
      <c r="O122" s="4">
        <v>6</v>
      </c>
      <c r="P122" s="4">
        <v>16</v>
      </c>
      <c r="Q122" t="s">
        <v>83</v>
      </c>
      <c r="R122" s="2">
        <v>46178</v>
      </c>
      <c r="S122" s="4">
        <v>25</v>
      </c>
      <c r="T122" s="3">
        <v>112000000</v>
      </c>
      <c r="U122" t="s">
        <v>214</v>
      </c>
      <c r="V122" t="s">
        <v>70</v>
      </c>
      <c r="W122" t="s">
        <v>215</v>
      </c>
      <c r="Y122" t="s">
        <v>424</v>
      </c>
      <c r="Z122" t="s">
        <v>3179</v>
      </c>
      <c r="AA122" t="s">
        <v>109</v>
      </c>
      <c r="AB122" t="s">
        <v>97</v>
      </c>
      <c r="AC122" t="s">
        <v>109</v>
      </c>
    </row>
    <row r="123" spans="1:29">
      <c r="A123" t="s">
        <v>448</v>
      </c>
      <c r="B123" s="2">
        <v>46199</v>
      </c>
      <c r="C123" t="s">
        <v>30</v>
      </c>
      <c r="D123" t="s">
        <v>49</v>
      </c>
      <c r="E123" t="s">
        <v>111</v>
      </c>
      <c r="F123" t="s">
        <v>112</v>
      </c>
      <c r="G123" t="s">
        <v>251</v>
      </c>
      <c r="H123" t="s">
        <v>191</v>
      </c>
      <c r="I123" t="s">
        <v>449</v>
      </c>
      <c r="J123" t="s">
        <v>3089</v>
      </c>
      <c r="K123" t="s">
        <v>116</v>
      </c>
      <c r="L123" t="s">
        <v>68</v>
      </c>
      <c r="M123" t="s">
        <v>106</v>
      </c>
      <c r="N123" t="s">
        <v>213</v>
      </c>
      <c r="O123" s="4">
        <v>6</v>
      </c>
      <c r="P123" s="4">
        <v>14</v>
      </c>
      <c r="Q123" t="s">
        <v>69</v>
      </c>
      <c r="R123" s="2">
        <v>46194</v>
      </c>
      <c r="S123" s="4">
        <v>9</v>
      </c>
      <c r="T123" s="3">
        <v>180000000</v>
      </c>
      <c r="U123" t="s">
        <v>214</v>
      </c>
      <c r="V123" t="s">
        <v>70</v>
      </c>
      <c r="W123" t="s">
        <v>215</v>
      </c>
      <c r="Y123" t="s">
        <v>432</v>
      </c>
      <c r="Z123" t="s">
        <v>3179</v>
      </c>
      <c r="AA123" t="s">
        <v>118</v>
      </c>
      <c r="AB123" t="s">
        <v>97</v>
      </c>
      <c r="AC123" t="s">
        <v>118</v>
      </c>
    </row>
    <row r="124" spans="1:29">
      <c r="A124" t="s">
        <v>450</v>
      </c>
      <c r="B124" s="2">
        <v>46191</v>
      </c>
      <c r="C124" t="s">
        <v>30</v>
      </c>
      <c r="D124" t="s">
        <v>74</v>
      </c>
      <c r="E124" t="s">
        <v>32</v>
      </c>
      <c r="F124" t="s">
        <v>256</v>
      </c>
      <c r="G124" t="s">
        <v>257</v>
      </c>
      <c r="H124" t="s">
        <v>35</v>
      </c>
      <c r="I124" t="s">
        <v>320</v>
      </c>
      <c r="J124" t="s">
        <v>3051</v>
      </c>
      <c r="K124" t="s">
        <v>37</v>
      </c>
      <c r="L124" t="s">
        <v>169</v>
      </c>
      <c r="M124" t="s">
        <v>106</v>
      </c>
      <c r="N124" t="s">
        <v>82</v>
      </c>
      <c r="O124" s="4">
        <v>1</v>
      </c>
      <c r="P124" s="4">
        <v>2</v>
      </c>
      <c r="Q124" t="s">
        <v>138</v>
      </c>
      <c r="R124" s="2">
        <v>46191</v>
      </c>
      <c r="S124" s="4">
        <v>12</v>
      </c>
      <c r="T124" s="3">
        <v>164000000</v>
      </c>
      <c r="U124" t="s">
        <v>42</v>
      </c>
      <c r="V124" t="s">
        <v>43</v>
      </c>
      <c r="W124" t="s">
        <v>84</v>
      </c>
      <c r="Y124" t="s">
        <v>291</v>
      </c>
      <c r="Z124" t="s">
        <v>3176</v>
      </c>
      <c r="AA124" t="s">
        <v>46</v>
      </c>
      <c r="AB124" t="s">
        <v>47</v>
      </c>
      <c r="AC124" t="s">
        <v>46</v>
      </c>
    </row>
    <row r="125" spans="1:29">
      <c r="A125" t="s">
        <v>451</v>
      </c>
      <c r="B125" s="2">
        <v>46181</v>
      </c>
      <c r="C125" t="s">
        <v>30</v>
      </c>
      <c r="D125" t="s">
        <v>99</v>
      </c>
      <c r="E125" t="s">
        <v>111</v>
      </c>
      <c r="F125" t="s">
        <v>190</v>
      </c>
      <c r="G125" t="s">
        <v>265</v>
      </c>
      <c r="H125" t="s">
        <v>127</v>
      </c>
      <c r="I125" t="s">
        <v>349</v>
      </c>
      <c r="J125" t="s">
        <v>3059</v>
      </c>
      <c r="K125" t="s">
        <v>37</v>
      </c>
      <c r="L125" t="s">
        <v>80</v>
      </c>
      <c r="M125" t="s">
        <v>106</v>
      </c>
      <c r="N125" t="s">
        <v>94</v>
      </c>
      <c r="O125" s="4">
        <v>4</v>
      </c>
      <c r="P125" s="4">
        <v>14</v>
      </c>
      <c r="Q125" t="s">
        <v>69</v>
      </c>
      <c r="R125" s="2">
        <v>46172</v>
      </c>
      <c r="S125" s="4">
        <v>31</v>
      </c>
      <c r="T125" s="3">
        <v>65000000</v>
      </c>
      <c r="U125" t="s">
        <v>42</v>
      </c>
      <c r="V125" t="s">
        <v>59</v>
      </c>
      <c r="W125" t="s">
        <v>267</v>
      </c>
      <c r="Y125" t="s">
        <v>96</v>
      </c>
      <c r="Z125" t="s">
        <v>3179</v>
      </c>
      <c r="AA125" t="s">
        <v>118</v>
      </c>
      <c r="AB125" t="s">
        <v>97</v>
      </c>
      <c r="AC125" t="s">
        <v>118</v>
      </c>
    </row>
    <row r="126" spans="1:29">
      <c r="A126" t="s">
        <v>452</v>
      </c>
      <c r="B126" s="2">
        <v>46184</v>
      </c>
      <c r="C126" t="s">
        <v>30</v>
      </c>
      <c r="D126" t="s">
        <v>99</v>
      </c>
      <c r="E126" t="s">
        <v>100</v>
      </c>
      <c r="F126" t="s">
        <v>146</v>
      </c>
      <c r="G126" t="s">
        <v>147</v>
      </c>
      <c r="H126" t="s">
        <v>201</v>
      </c>
      <c r="I126" t="s">
        <v>453</v>
      </c>
      <c r="J126" t="s">
        <v>3090</v>
      </c>
      <c r="K126" t="s">
        <v>56</v>
      </c>
      <c r="L126" t="s">
        <v>80</v>
      </c>
      <c r="M126" t="s">
        <v>39</v>
      </c>
      <c r="N126" t="s">
        <v>130</v>
      </c>
      <c r="O126" s="4">
        <v>5</v>
      </c>
      <c r="P126" s="4">
        <v>14</v>
      </c>
      <c r="Q126" t="s">
        <v>83</v>
      </c>
      <c r="R126" s="2">
        <v>46182</v>
      </c>
      <c r="S126" s="4">
        <v>21</v>
      </c>
      <c r="T126" s="3">
        <v>376000000</v>
      </c>
      <c r="U126" t="s">
        <v>42</v>
      </c>
      <c r="V126" t="s">
        <v>143</v>
      </c>
      <c r="W126" t="s">
        <v>144</v>
      </c>
      <c r="Y126" t="s">
        <v>254</v>
      </c>
      <c r="Z126" t="s">
        <v>3179</v>
      </c>
      <c r="AA126" t="s">
        <v>109</v>
      </c>
      <c r="AB126" t="s">
        <v>97</v>
      </c>
      <c r="AC126" t="s">
        <v>109</v>
      </c>
    </row>
    <row r="127" spans="1:29">
      <c r="A127" t="s">
        <v>454</v>
      </c>
      <c r="B127" s="2">
        <v>46199</v>
      </c>
      <c r="C127" t="s">
        <v>30</v>
      </c>
      <c r="D127" t="s">
        <v>49</v>
      </c>
      <c r="E127" t="s">
        <v>111</v>
      </c>
      <c r="F127" t="s">
        <v>112</v>
      </c>
      <c r="G127" t="s">
        <v>126</v>
      </c>
      <c r="H127" t="s">
        <v>191</v>
      </c>
      <c r="I127" t="s">
        <v>455</v>
      </c>
      <c r="J127" t="s">
        <v>3091</v>
      </c>
      <c r="K127" t="s">
        <v>56</v>
      </c>
      <c r="L127" t="s">
        <v>80</v>
      </c>
      <c r="M127" t="s">
        <v>56</v>
      </c>
      <c r="N127" t="s">
        <v>57</v>
      </c>
      <c r="O127" s="4">
        <v>3</v>
      </c>
      <c r="P127" s="4">
        <v>7</v>
      </c>
      <c r="Q127" t="s">
        <v>107</v>
      </c>
      <c r="R127" s="2">
        <v>46190</v>
      </c>
      <c r="S127" s="4">
        <v>13</v>
      </c>
      <c r="T127" s="3">
        <v>143000000</v>
      </c>
      <c r="U127" t="s">
        <v>177</v>
      </c>
      <c r="V127" t="s">
        <v>43</v>
      </c>
      <c r="W127" t="s">
        <v>203</v>
      </c>
      <c r="X127" t="s">
        <v>422</v>
      </c>
      <c r="Y127" t="s">
        <v>158</v>
      </c>
      <c r="Z127" t="s">
        <v>3177</v>
      </c>
      <c r="AA127" t="s">
        <v>118</v>
      </c>
      <c r="AB127" t="s">
        <v>63</v>
      </c>
      <c r="AC127" t="s">
        <v>118</v>
      </c>
    </row>
    <row r="128" spans="1:29">
      <c r="A128" t="s">
        <v>456</v>
      </c>
      <c r="B128" s="2">
        <v>46188</v>
      </c>
      <c r="C128" t="s">
        <v>30</v>
      </c>
      <c r="D128" t="s">
        <v>74</v>
      </c>
      <c r="E128" t="s">
        <v>172</v>
      </c>
      <c r="F128" t="s">
        <v>173</v>
      </c>
      <c r="G128" t="s">
        <v>278</v>
      </c>
      <c r="H128" t="s">
        <v>241</v>
      </c>
      <c r="I128" t="s">
        <v>457</v>
      </c>
      <c r="J128" t="s">
        <v>3092</v>
      </c>
      <c r="K128" t="s">
        <v>37</v>
      </c>
      <c r="L128" t="s">
        <v>55</v>
      </c>
      <c r="M128" t="s">
        <v>129</v>
      </c>
      <c r="N128" t="s">
        <v>94</v>
      </c>
      <c r="O128" s="4">
        <v>4</v>
      </c>
      <c r="P128" s="4">
        <v>6</v>
      </c>
      <c r="Q128" t="s">
        <v>69</v>
      </c>
      <c r="R128" s="2">
        <v>46182</v>
      </c>
      <c r="S128" s="4">
        <v>21</v>
      </c>
      <c r="T128" s="3">
        <v>207000000</v>
      </c>
      <c r="U128" t="s">
        <v>260</v>
      </c>
      <c r="V128" t="s">
        <v>70</v>
      </c>
      <c r="W128" t="s">
        <v>170</v>
      </c>
      <c r="X128" t="s">
        <v>381</v>
      </c>
      <c r="Y128" t="s">
        <v>228</v>
      </c>
      <c r="Z128" t="s">
        <v>3179</v>
      </c>
      <c r="AA128" t="s">
        <v>181</v>
      </c>
      <c r="AB128" t="s">
        <v>97</v>
      </c>
      <c r="AC128" t="s">
        <v>181</v>
      </c>
    </row>
    <row r="129" spans="1:29">
      <c r="A129" t="s">
        <v>458</v>
      </c>
      <c r="B129" s="2">
        <v>46197</v>
      </c>
      <c r="C129" t="s">
        <v>30</v>
      </c>
      <c r="D129" t="s">
        <v>49</v>
      </c>
      <c r="E129" t="s">
        <v>120</v>
      </c>
      <c r="F129" t="s">
        <v>246</v>
      </c>
      <c r="G129" t="s">
        <v>227</v>
      </c>
      <c r="H129" t="s">
        <v>123</v>
      </c>
      <c r="I129" t="s">
        <v>459</v>
      </c>
      <c r="J129" t="s">
        <v>3093</v>
      </c>
      <c r="K129" t="s">
        <v>56</v>
      </c>
      <c r="L129" t="s">
        <v>80</v>
      </c>
      <c r="M129" t="s">
        <v>56</v>
      </c>
      <c r="N129" t="s">
        <v>40</v>
      </c>
      <c r="O129" s="4">
        <v>2</v>
      </c>
      <c r="P129" s="4">
        <v>12</v>
      </c>
      <c r="Q129" t="s">
        <v>41</v>
      </c>
      <c r="R129" s="2">
        <v>46196</v>
      </c>
      <c r="S129" s="4">
        <v>7</v>
      </c>
      <c r="T129" s="3">
        <v>133000000</v>
      </c>
      <c r="U129" t="s">
        <v>42</v>
      </c>
      <c r="V129" t="s">
        <v>59</v>
      </c>
      <c r="W129" t="s">
        <v>298</v>
      </c>
      <c r="Y129" t="s">
        <v>309</v>
      </c>
      <c r="Z129" t="s">
        <v>3180</v>
      </c>
      <c r="AA129" t="s">
        <v>97</v>
      </c>
      <c r="AB129" t="s">
        <v>193</v>
      </c>
      <c r="AC129" t="s">
        <v>97</v>
      </c>
    </row>
    <row r="130" spans="1:29">
      <c r="A130" t="s">
        <v>460</v>
      </c>
      <c r="B130" s="2">
        <v>46181</v>
      </c>
      <c r="C130" t="s">
        <v>30</v>
      </c>
      <c r="D130" t="s">
        <v>99</v>
      </c>
      <c r="E130" t="s">
        <v>111</v>
      </c>
      <c r="F130" t="s">
        <v>112</v>
      </c>
      <c r="G130" t="s">
        <v>251</v>
      </c>
      <c r="H130" t="s">
        <v>127</v>
      </c>
      <c r="I130" t="s">
        <v>461</v>
      </c>
      <c r="J130" t="s">
        <v>3094</v>
      </c>
      <c r="K130" t="s">
        <v>37</v>
      </c>
      <c r="L130" t="s">
        <v>80</v>
      </c>
      <c r="M130" t="s">
        <v>81</v>
      </c>
      <c r="N130" t="s">
        <v>57</v>
      </c>
      <c r="O130" s="4">
        <v>3</v>
      </c>
      <c r="P130" s="4">
        <v>4</v>
      </c>
      <c r="Q130" t="s">
        <v>41</v>
      </c>
      <c r="R130" s="2">
        <v>46180</v>
      </c>
      <c r="S130" s="4">
        <v>23</v>
      </c>
      <c r="T130" s="3">
        <v>218000000</v>
      </c>
      <c r="U130" t="s">
        <v>42</v>
      </c>
      <c r="V130" t="s">
        <v>59</v>
      </c>
      <c r="W130" t="s">
        <v>157</v>
      </c>
      <c r="Y130" t="s">
        <v>72</v>
      </c>
      <c r="Z130" t="s">
        <v>3177</v>
      </c>
      <c r="AA130" t="s">
        <v>118</v>
      </c>
      <c r="AB130" t="s">
        <v>63</v>
      </c>
      <c r="AC130" t="s">
        <v>118</v>
      </c>
    </row>
    <row r="131" spans="1:29">
      <c r="A131" t="s">
        <v>462</v>
      </c>
      <c r="B131" s="2">
        <v>46202</v>
      </c>
      <c r="C131" t="s">
        <v>30</v>
      </c>
      <c r="D131" t="s">
        <v>31</v>
      </c>
      <c r="E131" t="s">
        <v>32</v>
      </c>
      <c r="F131" t="s">
        <v>256</v>
      </c>
      <c r="G131" t="s">
        <v>463</v>
      </c>
      <c r="H131" t="s">
        <v>303</v>
      </c>
      <c r="I131" t="s">
        <v>464</v>
      </c>
      <c r="J131" t="s">
        <v>3095</v>
      </c>
      <c r="K131" t="s">
        <v>56</v>
      </c>
      <c r="L131" t="s">
        <v>38</v>
      </c>
      <c r="M131" t="s">
        <v>39</v>
      </c>
      <c r="N131" t="s">
        <v>94</v>
      </c>
      <c r="O131" s="4">
        <v>4</v>
      </c>
      <c r="P131" s="4">
        <v>4</v>
      </c>
      <c r="Q131" t="s">
        <v>69</v>
      </c>
      <c r="R131" s="2">
        <v>46192</v>
      </c>
      <c r="S131" s="4">
        <v>11</v>
      </c>
      <c r="T131" s="3">
        <v>400000000</v>
      </c>
      <c r="U131" t="s">
        <v>42</v>
      </c>
      <c r="V131" t="s">
        <v>59</v>
      </c>
      <c r="W131" t="s">
        <v>188</v>
      </c>
      <c r="Y131" t="s">
        <v>96</v>
      </c>
      <c r="Z131" t="s">
        <v>3179</v>
      </c>
      <c r="AA131" t="s">
        <v>46</v>
      </c>
      <c r="AB131" t="s">
        <v>97</v>
      </c>
      <c r="AC131" t="s">
        <v>46</v>
      </c>
    </row>
    <row r="132" spans="1:29">
      <c r="A132" t="s">
        <v>465</v>
      </c>
      <c r="B132" s="2">
        <v>46191</v>
      </c>
      <c r="C132" t="s">
        <v>30</v>
      </c>
      <c r="D132" t="s">
        <v>74</v>
      </c>
      <c r="E132" t="s">
        <v>120</v>
      </c>
      <c r="F132" t="s">
        <v>121</v>
      </c>
      <c r="G132" t="s">
        <v>135</v>
      </c>
      <c r="H132" t="s">
        <v>123</v>
      </c>
      <c r="I132" t="s">
        <v>225</v>
      </c>
      <c r="J132" t="s">
        <v>3030</v>
      </c>
      <c r="K132" t="s">
        <v>105</v>
      </c>
      <c r="L132" t="s">
        <v>187</v>
      </c>
      <c r="M132" t="s">
        <v>164</v>
      </c>
      <c r="N132" t="s">
        <v>196</v>
      </c>
      <c r="O132" s="4">
        <v>7</v>
      </c>
      <c r="P132" s="4">
        <v>14</v>
      </c>
      <c r="Q132" t="s">
        <v>107</v>
      </c>
      <c r="R132" s="2">
        <v>46191</v>
      </c>
      <c r="S132" s="4">
        <v>12</v>
      </c>
      <c r="T132" s="3">
        <v>316000000</v>
      </c>
      <c r="U132" t="s">
        <v>232</v>
      </c>
      <c r="V132" t="s">
        <v>70</v>
      </c>
      <c r="W132" t="s">
        <v>197</v>
      </c>
      <c r="Y132" t="s">
        <v>369</v>
      </c>
      <c r="Z132" t="s">
        <v>3181</v>
      </c>
      <c r="AA132" t="s">
        <v>97</v>
      </c>
      <c r="AB132" t="s">
        <v>199</v>
      </c>
      <c r="AC132" t="s">
        <v>97</v>
      </c>
    </row>
    <row r="133" spans="1:29">
      <c r="A133" t="s">
        <v>466</v>
      </c>
      <c r="B133" s="2">
        <v>46195</v>
      </c>
      <c r="C133" t="s">
        <v>30</v>
      </c>
      <c r="D133" t="s">
        <v>49</v>
      </c>
      <c r="E133" t="s">
        <v>111</v>
      </c>
      <c r="F133" t="s">
        <v>112</v>
      </c>
      <c r="G133" t="s">
        <v>251</v>
      </c>
      <c r="H133" t="s">
        <v>191</v>
      </c>
      <c r="I133" t="s">
        <v>467</v>
      </c>
      <c r="J133" t="s">
        <v>3096</v>
      </c>
      <c r="K133" t="s">
        <v>92</v>
      </c>
      <c r="L133" t="s">
        <v>80</v>
      </c>
      <c r="M133" t="s">
        <v>39</v>
      </c>
      <c r="N133" t="s">
        <v>196</v>
      </c>
      <c r="O133" s="4">
        <v>7</v>
      </c>
      <c r="P133" s="4">
        <v>10</v>
      </c>
      <c r="Q133" t="s">
        <v>69</v>
      </c>
      <c r="R133" s="2">
        <v>46186</v>
      </c>
      <c r="S133" s="4">
        <v>17</v>
      </c>
      <c r="T133" s="3">
        <v>185000000</v>
      </c>
      <c r="U133" t="s">
        <v>196</v>
      </c>
      <c r="V133" t="s">
        <v>70</v>
      </c>
      <c r="W133" t="s">
        <v>209</v>
      </c>
      <c r="Y133" t="s">
        <v>369</v>
      </c>
      <c r="Z133" t="s">
        <v>3181</v>
      </c>
      <c r="AA133" t="s">
        <v>118</v>
      </c>
      <c r="AB133" t="s">
        <v>199</v>
      </c>
      <c r="AC133" t="s">
        <v>118</v>
      </c>
    </row>
    <row r="134" spans="1:29">
      <c r="A134" t="s">
        <v>468</v>
      </c>
      <c r="B134" s="2">
        <v>46203</v>
      </c>
      <c r="C134" t="s">
        <v>30</v>
      </c>
      <c r="D134" t="s">
        <v>31</v>
      </c>
      <c r="E134" t="s">
        <v>152</v>
      </c>
      <c r="F134" t="s">
        <v>205</v>
      </c>
      <c r="G134" t="s">
        <v>154</v>
      </c>
      <c r="H134" t="s">
        <v>207</v>
      </c>
      <c r="I134" t="s">
        <v>208</v>
      </c>
      <c r="J134" t="s">
        <v>3027</v>
      </c>
      <c r="K134" t="s">
        <v>37</v>
      </c>
      <c r="L134" t="s">
        <v>169</v>
      </c>
      <c r="M134" t="s">
        <v>106</v>
      </c>
      <c r="N134" t="s">
        <v>130</v>
      </c>
      <c r="O134" s="4">
        <v>5</v>
      </c>
      <c r="P134" s="4">
        <v>9</v>
      </c>
      <c r="Q134" t="s">
        <v>83</v>
      </c>
      <c r="R134" s="2">
        <v>46202</v>
      </c>
      <c r="S134" s="4">
        <v>1</v>
      </c>
      <c r="T134" s="3">
        <v>183000000</v>
      </c>
      <c r="U134" t="s">
        <v>42</v>
      </c>
      <c r="V134" t="s">
        <v>143</v>
      </c>
      <c r="W134" t="s">
        <v>355</v>
      </c>
      <c r="Y134" t="s">
        <v>262</v>
      </c>
      <c r="Z134" t="s">
        <v>3179</v>
      </c>
      <c r="AA134" t="s">
        <v>159</v>
      </c>
      <c r="AB134" t="s">
        <v>97</v>
      </c>
      <c r="AC134" t="s">
        <v>159</v>
      </c>
    </row>
    <row r="135" spans="1:29">
      <c r="A135" t="s">
        <v>469</v>
      </c>
      <c r="B135" s="2">
        <v>46202</v>
      </c>
      <c r="C135" t="s">
        <v>30</v>
      </c>
      <c r="D135" t="s">
        <v>31</v>
      </c>
      <c r="E135" t="s">
        <v>100</v>
      </c>
      <c r="F135" t="s">
        <v>146</v>
      </c>
      <c r="G135" t="s">
        <v>313</v>
      </c>
      <c r="H135" t="s">
        <v>201</v>
      </c>
      <c r="I135" t="s">
        <v>416</v>
      </c>
      <c r="J135" t="s">
        <v>3078</v>
      </c>
      <c r="K135" t="s">
        <v>92</v>
      </c>
      <c r="L135" t="s">
        <v>187</v>
      </c>
      <c r="M135" t="s">
        <v>56</v>
      </c>
      <c r="N135" t="s">
        <v>196</v>
      </c>
      <c r="O135" s="4">
        <v>7</v>
      </c>
      <c r="P135" s="4">
        <v>19</v>
      </c>
      <c r="Q135" t="s">
        <v>83</v>
      </c>
      <c r="R135" s="2">
        <v>46197</v>
      </c>
      <c r="S135" s="4">
        <v>6</v>
      </c>
      <c r="T135" s="3">
        <v>196000000</v>
      </c>
      <c r="U135" t="s">
        <v>196</v>
      </c>
      <c r="V135" t="s">
        <v>70</v>
      </c>
      <c r="W135" t="s">
        <v>197</v>
      </c>
      <c r="Y135" t="s">
        <v>210</v>
      </c>
      <c r="Z135" t="s">
        <v>3181</v>
      </c>
      <c r="AA135" t="s">
        <v>109</v>
      </c>
      <c r="AB135" t="s">
        <v>199</v>
      </c>
      <c r="AC135" t="s">
        <v>109</v>
      </c>
    </row>
    <row r="136" spans="1:29">
      <c r="A136" t="s">
        <v>470</v>
      </c>
      <c r="B136" s="2">
        <v>46196</v>
      </c>
      <c r="C136" t="s">
        <v>30</v>
      </c>
      <c r="D136" t="s">
        <v>49</v>
      </c>
      <c r="E136" t="s">
        <v>50</v>
      </c>
      <c r="F136" t="s">
        <v>351</v>
      </c>
      <c r="G136" t="s">
        <v>65</v>
      </c>
      <c r="H136" t="s">
        <v>53</v>
      </c>
      <c r="I136" t="s">
        <v>54</v>
      </c>
      <c r="J136" t="s">
        <v>3009</v>
      </c>
      <c r="K136" t="s">
        <v>92</v>
      </c>
      <c r="L136" t="s">
        <v>187</v>
      </c>
      <c r="M136" t="s">
        <v>81</v>
      </c>
      <c r="N136" t="s">
        <v>57</v>
      </c>
      <c r="O136" s="4">
        <v>3</v>
      </c>
      <c r="P136" s="4">
        <v>5</v>
      </c>
      <c r="Q136" t="s">
        <v>83</v>
      </c>
      <c r="R136" s="2">
        <v>46193</v>
      </c>
      <c r="S136" s="4">
        <v>10</v>
      </c>
      <c r="T136" s="3">
        <v>118000000</v>
      </c>
      <c r="U136" t="s">
        <v>42</v>
      </c>
      <c r="V136" t="s">
        <v>43</v>
      </c>
      <c r="W136" t="s">
        <v>203</v>
      </c>
      <c r="Y136" t="s">
        <v>165</v>
      </c>
      <c r="Z136" t="s">
        <v>3177</v>
      </c>
      <c r="AA136" t="s">
        <v>62</v>
      </c>
      <c r="AB136" t="s">
        <v>63</v>
      </c>
      <c r="AC136" t="s">
        <v>62</v>
      </c>
    </row>
    <row r="137" spans="1:29">
      <c r="A137" t="s">
        <v>471</v>
      </c>
      <c r="B137" s="2">
        <v>46188</v>
      </c>
      <c r="C137" t="s">
        <v>30</v>
      </c>
      <c r="D137" t="s">
        <v>74</v>
      </c>
      <c r="E137" t="s">
        <v>152</v>
      </c>
      <c r="F137" t="s">
        <v>221</v>
      </c>
      <c r="G137" t="s">
        <v>286</v>
      </c>
      <c r="H137" t="s">
        <v>283</v>
      </c>
      <c r="I137" t="s">
        <v>472</v>
      </c>
      <c r="J137" t="s">
        <v>3097</v>
      </c>
      <c r="K137" t="s">
        <v>37</v>
      </c>
      <c r="L137" t="s">
        <v>80</v>
      </c>
      <c r="M137" t="s">
        <v>39</v>
      </c>
      <c r="N137" t="s">
        <v>94</v>
      </c>
      <c r="O137" s="4">
        <v>4</v>
      </c>
      <c r="P137" s="4">
        <v>13</v>
      </c>
      <c r="Q137" t="s">
        <v>69</v>
      </c>
      <c r="R137" s="2">
        <v>46185</v>
      </c>
      <c r="S137" s="4">
        <v>18</v>
      </c>
      <c r="T137" s="3">
        <v>214000000</v>
      </c>
      <c r="U137" t="s">
        <v>260</v>
      </c>
      <c r="V137" t="s">
        <v>59</v>
      </c>
      <c r="W137" t="s">
        <v>267</v>
      </c>
      <c r="X137" t="s">
        <v>381</v>
      </c>
      <c r="Y137" t="s">
        <v>96</v>
      </c>
      <c r="Z137" t="s">
        <v>3179</v>
      </c>
      <c r="AA137" t="s">
        <v>159</v>
      </c>
      <c r="AB137" t="s">
        <v>97</v>
      </c>
      <c r="AC137" t="s">
        <v>159</v>
      </c>
    </row>
    <row r="138" spans="1:29">
      <c r="A138" t="s">
        <v>473</v>
      </c>
      <c r="B138" s="2">
        <v>46186</v>
      </c>
      <c r="C138" t="s">
        <v>30</v>
      </c>
      <c r="D138" t="s">
        <v>99</v>
      </c>
      <c r="E138" t="s">
        <v>152</v>
      </c>
      <c r="F138" t="s">
        <v>205</v>
      </c>
      <c r="G138" t="s">
        <v>328</v>
      </c>
      <c r="H138" t="s">
        <v>283</v>
      </c>
      <c r="I138" t="s">
        <v>474</v>
      </c>
      <c r="J138" t="s">
        <v>3098</v>
      </c>
      <c r="K138" t="s">
        <v>56</v>
      </c>
      <c r="L138" t="s">
        <v>80</v>
      </c>
      <c r="M138" t="s">
        <v>39</v>
      </c>
      <c r="N138" t="s">
        <v>57</v>
      </c>
      <c r="O138" s="4">
        <v>3</v>
      </c>
      <c r="P138" s="4">
        <v>7</v>
      </c>
      <c r="Q138" t="s">
        <v>142</v>
      </c>
      <c r="R138" s="2">
        <v>46176</v>
      </c>
      <c r="S138" s="4">
        <v>27</v>
      </c>
      <c r="T138" s="3">
        <v>220000000</v>
      </c>
      <c r="U138" t="s">
        <v>42</v>
      </c>
      <c r="V138" t="s">
        <v>59</v>
      </c>
      <c r="W138" t="s">
        <v>71</v>
      </c>
      <c r="Y138" t="s">
        <v>72</v>
      </c>
      <c r="Z138" t="s">
        <v>3177</v>
      </c>
      <c r="AA138" t="s">
        <v>159</v>
      </c>
      <c r="AB138" t="s">
        <v>63</v>
      </c>
      <c r="AC138" t="s">
        <v>159</v>
      </c>
    </row>
    <row r="139" spans="1:29">
      <c r="A139" t="s">
        <v>475</v>
      </c>
      <c r="B139" s="2">
        <v>46182</v>
      </c>
      <c r="C139" t="s">
        <v>30</v>
      </c>
      <c r="D139" t="s">
        <v>99</v>
      </c>
      <c r="E139" t="s">
        <v>172</v>
      </c>
      <c r="F139" t="s">
        <v>277</v>
      </c>
      <c r="G139" t="s">
        <v>476</v>
      </c>
      <c r="H139" t="s">
        <v>175</v>
      </c>
      <c r="I139" t="s">
        <v>358</v>
      </c>
      <c r="J139" t="s">
        <v>3062</v>
      </c>
      <c r="K139" t="s">
        <v>105</v>
      </c>
      <c r="L139" t="s">
        <v>187</v>
      </c>
      <c r="M139" t="s">
        <v>129</v>
      </c>
      <c r="N139" t="s">
        <v>94</v>
      </c>
      <c r="O139" s="4">
        <v>4</v>
      </c>
      <c r="P139" s="4">
        <v>10</v>
      </c>
      <c r="Q139" t="s">
        <v>69</v>
      </c>
      <c r="R139" s="2">
        <v>46172</v>
      </c>
      <c r="S139" s="4">
        <v>31</v>
      </c>
      <c r="T139" s="3">
        <v>59000000</v>
      </c>
      <c r="U139" t="s">
        <v>42</v>
      </c>
      <c r="V139" t="s">
        <v>59</v>
      </c>
      <c r="W139" t="s">
        <v>188</v>
      </c>
      <c r="Y139" t="s">
        <v>108</v>
      </c>
      <c r="Z139" t="s">
        <v>3179</v>
      </c>
      <c r="AA139" t="s">
        <v>181</v>
      </c>
      <c r="AB139" t="s">
        <v>97</v>
      </c>
      <c r="AC139" t="s">
        <v>181</v>
      </c>
    </row>
    <row r="140" spans="1:29">
      <c r="A140" t="s">
        <v>477</v>
      </c>
      <c r="B140" s="2">
        <v>46190</v>
      </c>
      <c r="C140" t="s">
        <v>30</v>
      </c>
      <c r="D140" t="s">
        <v>74</v>
      </c>
      <c r="E140" t="s">
        <v>172</v>
      </c>
      <c r="F140" t="s">
        <v>195</v>
      </c>
      <c r="G140" t="s">
        <v>338</v>
      </c>
      <c r="H140" t="s">
        <v>317</v>
      </c>
      <c r="I140" t="s">
        <v>478</v>
      </c>
      <c r="J140" t="s">
        <v>3099</v>
      </c>
      <c r="K140" t="s">
        <v>37</v>
      </c>
      <c r="L140" t="s">
        <v>80</v>
      </c>
      <c r="M140" t="s">
        <v>93</v>
      </c>
      <c r="N140" t="s">
        <v>57</v>
      </c>
      <c r="O140" s="4">
        <v>3</v>
      </c>
      <c r="P140" s="4">
        <v>8</v>
      </c>
      <c r="Q140" t="s">
        <v>83</v>
      </c>
      <c r="R140" s="2">
        <v>46180</v>
      </c>
      <c r="S140" s="4">
        <v>23</v>
      </c>
      <c r="T140" s="3">
        <v>230000000</v>
      </c>
      <c r="U140" t="s">
        <v>42</v>
      </c>
      <c r="V140" t="s">
        <v>43</v>
      </c>
      <c r="W140" t="s">
        <v>71</v>
      </c>
      <c r="Y140" t="s">
        <v>158</v>
      </c>
      <c r="Z140" t="s">
        <v>3177</v>
      </c>
      <c r="AA140" t="s">
        <v>181</v>
      </c>
      <c r="AB140" t="s">
        <v>63</v>
      </c>
      <c r="AC140" t="s">
        <v>181</v>
      </c>
    </row>
    <row r="141" spans="1:29">
      <c r="A141" t="s">
        <v>479</v>
      </c>
      <c r="B141" s="2">
        <v>46197</v>
      </c>
      <c r="C141" t="s">
        <v>30</v>
      </c>
      <c r="D141" t="s">
        <v>49</v>
      </c>
      <c r="E141" t="s">
        <v>172</v>
      </c>
      <c r="F141" t="s">
        <v>195</v>
      </c>
      <c r="G141" t="s">
        <v>174</v>
      </c>
      <c r="H141" t="s">
        <v>241</v>
      </c>
      <c r="I141" t="s">
        <v>242</v>
      </c>
      <c r="J141" t="s">
        <v>3034</v>
      </c>
      <c r="K141" t="s">
        <v>105</v>
      </c>
      <c r="L141" t="s">
        <v>187</v>
      </c>
      <c r="M141" t="s">
        <v>129</v>
      </c>
      <c r="N141" t="s">
        <v>94</v>
      </c>
      <c r="O141" s="4">
        <v>4</v>
      </c>
      <c r="P141" s="4">
        <v>11</v>
      </c>
      <c r="Q141" t="s">
        <v>58</v>
      </c>
      <c r="R141" s="2">
        <v>46197</v>
      </c>
      <c r="S141" s="4">
        <v>6</v>
      </c>
      <c r="T141" s="3">
        <v>203000000</v>
      </c>
      <c r="U141" t="s">
        <v>426</v>
      </c>
      <c r="V141" t="s">
        <v>143</v>
      </c>
      <c r="W141" t="s">
        <v>170</v>
      </c>
      <c r="X141" t="s">
        <v>261</v>
      </c>
      <c r="Y141" t="s">
        <v>108</v>
      </c>
      <c r="Z141" t="s">
        <v>3179</v>
      </c>
      <c r="AA141" t="s">
        <v>181</v>
      </c>
      <c r="AB141" t="s">
        <v>97</v>
      </c>
      <c r="AC141" t="s">
        <v>181</v>
      </c>
    </row>
    <row r="142" spans="1:29">
      <c r="A142" t="s">
        <v>480</v>
      </c>
      <c r="B142" s="2">
        <v>46182</v>
      </c>
      <c r="C142" t="s">
        <v>30</v>
      </c>
      <c r="D142" t="s">
        <v>99</v>
      </c>
      <c r="E142" t="s">
        <v>100</v>
      </c>
      <c r="F142" t="s">
        <v>101</v>
      </c>
      <c r="G142" t="s">
        <v>102</v>
      </c>
      <c r="H142" t="s">
        <v>148</v>
      </c>
      <c r="I142" t="s">
        <v>149</v>
      </c>
      <c r="J142" t="s">
        <v>3019</v>
      </c>
      <c r="K142" t="s">
        <v>37</v>
      </c>
      <c r="L142" t="s">
        <v>80</v>
      </c>
      <c r="M142" t="s">
        <v>39</v>
      </c>
      <c r="N142" t="s">
        <v>40</v>
      </c>
      <c r="O142" s="4">
        <v>2</v>
      </c>
      <c r="P142" s="4">
        <v>8</v>
      </c>
      <c r="Q142" t="s">
        <v>69</v>
      </c>
      <c r="R142" s="2">
        <v>46174</v>
      </c>
      <c r="S142" s="4">
        <v>29</v>
      </c>
      <c r="T142" s="3">
        <v>154000000</v>
      </c>
      <c r="U142" t="s">
        <v>42</v>
      </c>
      <c r="V142" t="s">
        <v>43</v>
      </c>
      <c r="W142" t="s">
        <v>239</v>
      </c>
      <c r="Y142" t="s">
        <v>180</v>
      </c>
      <c r="Z142" t="s">
        <v>3178</v>
      </c>
      <c r="AA142" t="s">
        <v>109</v>
      </c>
      <c r="AB142" t="s">
        <v>87</v>
      </c>
      <c r="AC142" t="s">
        <v>109</v>
      </c>
    </row>
    <row r="143" spans="1:29">
      <c r="A143" t="s">
        <v>481</v>
      </c>
      <c r="B143" s="2">
        <v>46177</v>
      </c>
      <c r="C143" t="s">
        <v>30</v>
      </c>
      <c r="D143" t="s">
        <v>134</v>
      </c>
      <c r="E143" t="s">
        <v>100</v>
      </c>
      <c r="F143" t="s">
        <v>146</v>
      </c>
      <c r="G143" t="s">
        <v>313</v>
      </c>
      <c r="H143" t="s">
        <v>148</v>
      </c>
      <c r="I143" t="s">
        <v>149</v>
      </c>
      <c r="J143" t="s">
        <v>3019</v>
      </c>
      <c r="K143" t="s">
        <v>37</v>
      </c>
      <c r="L143" t="s">
        <v>38</v>
      </c>
      <c r="M143" t="s">
        <v>56</v>
      </c>
      <c r="N143" t="s">
        <v>94</v>
      </c>
      <c r="O143" s="4">
        <v>4</v>
      </c>
      <c r="P143" s="4">
        <v>16</v>
      </c>
      <c r="Q143" t="s">
        <v>142</v>
      </c>
      <c r="R143" s="2">
        <v>46167</v>
      </c>
      <c r="S143" s="4">
        <v>36</v>
      </c>
      <c r="T143" s="3">
        <v>108000000</v>
      </c>
      <c r="U143" t="s">
        <v>42</v>
      </c>
      <c r="V143" t="s">
        <v>143</v>
      </c>
      <c r="W143" t="s">
        <v>170</v>
      </c>
      <c r="X143" t="s">
        <v>117</v>
      </c>
      <c r="Y143" t="s">
        <v>108</v>
      </c>
      <c r="Z143" t="s">
        <v>3179</v>
      </c>
      <c r="AA143" t="s">
        <v>109</v>
      </c>
      <c r="AB143" t="s">
        <v>97</v>
      </c>
      <c r="AC143" t="s">
        <v>109</v>
      </c>
    </row>
    <row r="144" spans="1:29">
      <c r="A144" t="s">
        <v>482</v>
      </c>
      <c r="B144" s="2">
        <v>46192</v>
      </c>
      <c r="C144" t="s">
        <v>30</v>
      </c>
      <c r="D144" t="s">
        <v>74</v>
      </c>
      <c r="E144" t="s">
        <v>32</v>
      </c>
      <c r="F144" t="s">
        <v>273</v>
      </c>
      <c r="G144" t="s">
        <v>463</v>
      </c>
      <c r="H144" t="s">
        <v>303</v>
      </c>
      <c r="I144" t="s">
        <v>483</v>
      </c>
      <c r="J144" t="s">
        <v>3100</v>
      </c>
      <c r="K144" t="s">
        <v>92</v>
      </c>
      <c r="L144" t="s">
        <v>55</v>
      </c>
      <c r="M144" t="s">
        <v>106</v>
      </c>
      <c r="N144" t="s">
        <v>82</v>
      </c>
      <c r="O144" s="4">
        <v>1</v>
      </c>
      <c r="P144" s="4">
        <v>4</v>
      </c>
      <c r="Q144" t="s">
        <v>142</v>
      </c>
      <c r="R144" s="2">
        <v>46190</v>
      </c>
      <c r="S144" s="4">
        <v>13</v>
      </c>
      <c r="T144" s="3">
        <v>64000000</v>
      </c>
      <c r="U144" t="s">
        <v>42</v>
      </c>
      <c r="V144" t="s">
        <v>43</v>
      </c>
      <c r="W144" t="s">
        <v>404</v>
      </c>
      <c r="Y144" t="s">
        <v>305</v>
      </c>
      <c r="Z144" t="s">
        <v>3176</v>
      </c>
      <c r="AA144" t="s">
        <v>46</v>
      </c>
      <c r="AB144" t="s">
        <v>47</v>
      </c>
      <c r="AC144" t="s">
        <v>46</v>
      </c>
    </row>
    <row r="145" spans="1:29">
      <c r="A145" t="s">
        <v>484</v>
      </c>
      <c r="B145" s="2">
        <v>46183</v>
      </c>
      <c r="C145" t="s">
        <v>30</v>
      </c>
      <c r="D145" t="s">
        <v>99</v>
      </c>
      <c r="E145" t="s">
        <v>172</v>
      </c>
      <c r="F145" t="s">
        <v>195</v>
      </c>
      <c r="G145" t="s">
        <v>476</v>
      </c>
      <c r="H145" t="s">
        <v>175</v>
      </c>
      <c r="I145" t="s">
        <v>485</v>
      </c>
      <c r="J145" t="s">
        <v>3101</v>
      </c>
      <c r="K145" t="s">
        <v>92</v>
      </c>
      <c r="L145" t="s">
        <v>68</v>
      </c>
      <c r="M145" t="s">
        <v>164</v>
      </c>
      <c r="N145" t="s">
        <v>40</v>
      </c>
      <c r="O145" s="4">
        <v>2</v>
      </c>
      <c r="P145" s="4">
        <v>4</v>
      </c>
      <c r="Q145" t="s">
        <v>142</v>
      </c>
      <c r="R145" s="2">
        <v>46181</v>
      </c>
      <c r="S145" s="4">
        <v>22</v>
      </c>
      <c r="T145" s="3">
        <v>203000000</v>
      </c>
      <c r="U145" t="s">
        <v>42</v>
      </c>
      <c r="V145" t="s">
        <v>43</v>
      </c>
      <c r="W145" t="s">
        <v>298</v>
      </c>
      <c r="Y145" t="s">
        <v>309</v>
      </c>
      <c r="Z145" t="s">
        <v>3176</v>
      </c>
      <c r="AA145" t="s">
        <v>181</v>
      </c>
      <c r="AB145" t="s">
        <v>47</v>
      </c>
      <c r="AC145" t="s">
        <v>181</v>
      </c>
    </row>
    <row r="146" spans="1:29">
      <c r="A146" t="s">
        <v>486</v>
      </c>
      <c r="B146" s="2">
        <v>46178</v>
      </c>
      <c r="C146" t="s">
        <v>30</v>
      </c>
      <c r="D146" t="s">
        <v>134</v>
      </c>
      <c r="E146" t="s">
        <v>32</v>
      </c>
      <c r="F146" t="s">
        <v>273</v>
      </c>
      <c r="G146" t="s">
        <v>257</v>
      </c>
      <c r="H146" t="s">
        <v>303</v>
      </c>
      <c r="I146" t="s">
        <v>487</v>
      </c>
      <c r="J146" t="s">
        <v>3102</v>
      </c>
      <c r="K146" t="s">
        <v>105</v>
      </c>
      <c r="L146" t="s">
        <v>55</v>
      </c>
      <c r="M146" t="s">
        <v>39</v>
      </c>
      <c r="N146" t="s">
        <v>82</v>
      </c>
      <c r="O146" s="4">
        <v>1</v>
      </c>
      <c r="P146" s="4">
        <v>1</v>
      </c>
      <c r="Q146" t="s">
        <v>58</v>
      </c>
      <c r="R146" s="2">
        <v>46175</v>
      </c>
      <c r="S146" s="4">
        <v>28</v>
      </c>
      <c r="T146" s="3">
        <v>141000000</v>
      </c>
      <c r="U146" t="s">
        <v>42</v>
      </c>
      <c r="V146" t="s">
        <v>43</v>
      </c>
      <c r="W146" t="s">
        <v>84</v>
      </c>
      <c r="Y146" t="s">
        <v>305</v>
      </c>
      <c r="Z146" t="s">
        <v>3176</v>
      </c>
      <c r="AA146" t="s">
        <v>46</v>
      </c>
      <c r="AB146" t="s">
        <v>47</v>
      </c>
      <c r="AC146" t="s">
        <v>46</v>
      </c>
    </row>
    <row r="147" spans="1:29">
      <c r="A147" t="s">
        <v>488</v>
      </c>
      <c r="B147" s="2">
        <v>46178</v>
      </c>
      <c r="C147" t="s">
        <v>30</v>
      </c>
      <c r="D147" t="s">
        <v>134</v>
      </c>
      <c r="E147" t="s">
        <v>75</v>
      </c>
      <c r="F147" t="s">
        <v>183</v>
      </c>
      <c r="G147" t="s">
        <v>184</v>
      </c>
      <c r="H147" t="s">
        <v>388</v>
      </c>
      <c r="I147" t="s">
        <v>409</v>
      </c>
      <c r="J147" t="s">
        <v>3076</v>
      </c>
      <c r="K147" t="s">
        <v>56</v>
      </c>
      <c r="L147" t="s">
        <v>80</v>
      </c>
      <c r="M147" t="s">
        <v>56</v>
      </c>
      <c r="N147" t="s">
        <v>94</v>
      </c>
      <c r="O147" s="4">
        <v>4</v>
      </c>
      <c r="P147" s="4">
        <v>5</v>
      </c>
      <c r="Q147" t="s">
        <v>107</v>
      </c>
      <c r="R147" s="2">
        <v>46175</v>
      </c>
      <c r="S147" s="4">
        <v>28</v>
      </c>
      <c r="T147" s="3">
        <v>468000000</v>
      </c>
      <c r="U147" t="s">
        <v>42</v>
      </c>
      <c r="V147" t="s">
        <v>59</v>
      </c>
      <c r="W147" t="s">
        <v>267</v>
      </c>
      <c r="Y147" t="s">
        <v>228</v>
      </c>
      <c r="Z147" t="s">
        <v>3179</v>
      </c>
      <c r="AA147" t="s">
        <v>86</v>
      </c>
      <c r="AB147" t="s">
        <v>97</v>
      </c>
      <c r="AC147" t="s">
        <v>86</v>
      </c>
    </row>
    <row r="148" spans="1:29">
      <c r="A148" t="s">
        <v>489</v>
      </c>
      <c r="B148" s="2">
        <v>46189</v>
      </c>
      <c r="C148" t="s">
        <v>30</v>
      </c>
      <c r="D148" t="s">
        <v>74</v>
      </c>
      <c r="E148" t="s">
        <v>100</v>
      </c>
      <c r="F148" t="s">
        <v>140</v>
      </c>
      <c r="G148" t="s">
        <v>147</v>
      </c>
      <c r="H148" t="s">
        <v>148</v>
      </c>
      <c r="I148" t="s">
        <v>490</v>
      </c>
      <c r="J148" t="s">
        <v>3103</v>
      </c>
      <c r="K148" t="s">
        <v>37</v>
      </c>
      <c r="L148" t="s">
        <v>68</v>
      </c>
      <c r="M148" t="s">
        <v>129</v>
      </c>
      <c r="N148" t="s">
        <v>94</v>
      </c>
      <c r="O148" s="4">
        <v>4</v>
      </c>
      <c r="P148" s="4">
        <v>17</v>
      </c>
      <c r="Q148" t="s">
        <v>107</v>
      </c>
      <c r="R148" s="2">
        <v>46186</v>
      </c>
      <c r="S148" s="4">
        <v>17</v>
      </c>
      <c r="T148" s="3">
        <v>68000000</v>
      </c>
      <c r="U148" t="s">
        <v>42</v>
      </c>
      <c r="V148" t="s">
        <v>59</v>
      </c>
      <c r="W148" t="s">
        <v>267</v>
      </c>
      <c r="X148" t="s">
        <v>253</v>
      </c>
      <c r="Y148" t="s">
        <v>96</v>
      </c>
      <c r="Z148" t="s">
        <v>3179</v>
      </c>
      <c r="AA148" t="s">
        <v>109</v>
      </c>
      <c r="AB148" t="s">
        <v>97</v>
      </c>
      <c r="AC148" t="s">
        <v>109</v>
      </c>
    </row>
    <row r="149" spans="1:29">
      <c r="A149" t="s">
        <v>491</v>
      </c>
      <c r="B149" s="2">
        <v>46195</v>
      </c>
      <c r="C149" t="s">
        <v>30</v>
      </c>
      <c r="D149" t="s">
        <v>49</v>
      </c>
      <c r="E149" t="s">
        <v>32</v>
      </c>
      <c r="F149" t="s">
        <v>256</v>
      </c>
      <c r="G149" t="s">
        <v>257</v>
      </c>
      <c r="H149" t="s">
        <v>303</v>
      </c>
      <c r="I149" t="s">
        <v>483</v>
      </c>
      <c r="J149" t="s">
        <v>3100</v>
      </c>
      <c r="K149" t="s">
        <v>56</v>
      </c>
      <c r="L149" t="s">
        <v>55</v>
      </c>
      <c r="M149" t="s">
        <v>56</v>
      </c>
      <c r="N149" t="s">
        <v>94</v>
      </c>
      <c r="O149" s="4">
        <v>4</v>
      </c>
      <c r="P149" s="4">
        <v>5</v>
      </c>
      <c r="Q149" t="s">
        <v>142</v>
      </c>
      <c r="R149" s="2">
        <v>46190</v>
      </c>
      <c r="S149" s="4">
        <v>13</v>
      </c>
      <c r="T149" s="3">
        <v>141000000</v>
      </c>
      <c r="U149" t="s">
        <v>260</v>
      </c>
      <c r="V149" t="s">
        <v>59</v>
      </c>
      <c r="W149" t="s">
        <v>188</v>
      </c>
      <c r="X149" t="s">
        <v>422</v>
      </c>
      <c r="Y149" t="s">
        <v>228</v>
      </c>
      <c r="Z149" t="s">
        <v>3179</v>
      </c>
      <c r="AA149" t="s">
        <v>46</v>
      </c>
      <c r="AB149" t="s">
        <v>97</v>
      </c>
      <c r="AC149" t="s">
        <v>46</v>
      </c>
    </row>
    <row r="150" spans="1:29">
      <c r="A150" t="s">
        <v>492</v>
      </c>
      <c r="B150" s="2">
        <v>46187</v>
      </c>
      <c r="C150" t="s">
        <v>30</v>
      </c>
      <c r="D150" t="s">
        <v>99</v>
      </c>
      <c r="E150" t="s">
        <v>120</v>
      </c>
      <c r="F150" t="s">
        <v>167</v>
      </c>
      <c r="G150" t="s">
        <v>135</v>
      </c>
      <c r="H150" t="s">
        <v>123</v>
      </c>
      <c r="I150" t="s">
        <v>336</v>
      </c>
      <c r="J150" t="s">
        <v>3055</v>
      </c>
      <c r="K150" t="s">
        <v>56</v>
      </c>
      <c r="L150" t="s">
        <v>38</v>
      </c>
      <c r="M150" t="s">
        <v>93</v>
      </c>
      <c r="N150" t="s">
        <v>94</v>
      </c>
      <c r="O150" s="4">
        <v>4</v>
      </c>
      <c r="P150" s="4">
        <v>7</v>
      </c>
      <c r="Q150" t="s">
        <v>69</v>
      </c>
      <c r="R150" s="2">
        <v>46177</v>
      </c>
      <c r="S150" s="4">
        <v>26</v>
      </c>
      <c r="T150" s="3">
        <v>120000000</v>
      </c>
      <c r="U150" t="s">
        <v>426</v>
      </c>
      <c r="V150" t="s">
        <v>59</v>
      </c>
      <c r="W150" t="s">
        <v>95</v>
      </c>
      <c r="X150" t="s">
        <v>422</v>
      </c>
      <c r="Y150" t="s">
        <v>228</v>
      </c>
      <c r="Z150" t="s">
        <v>3179</v>
      </c>
      <c r="AA150" t="s">
        <v>97</v>
      </c>
      <c r="AB150" t="s">
        <v>97</v>
      </c>
      <c r="AC150" t="s">
        <v>97</v>
      </c>
    </row>
    <row r="151" spans="1:29">
      <c r="A151" t="s">
        <v>493</v>
      </c>
      <c r="B151" s="2">
        <v>46176</v>
      </c>
      <c r="C151" t="s">
        <v>30</v>
      </c>
      <c r="D151" t="s">
        <v>134</v>
      </c>
      <c r="E151" t="s">
        <v>75</v>
      </c>
      <c r="F151" t="s">
        <v>183</v>
      </c>
      <c r="G151" t="s">
        <v>184</v>
      </c>
      <c r="H151" t="s">
        <v>78</v>
      </c>
      <c r="I151" t="s">
        <v>494</v>
      </c>
      <c r="J151" t="s">
        <v>3104</v>
      </c>
      <c r="K151" t="s">
        <v>56</v>
      </c>
      <c r="L151" t="s">
        <v>187</v>
      </c>
      <c r="M151" t="s">
        <v>81</v>
      </c>
      <c r="N151" t="s">
        <v>213</v>
      </c>
      <c r="O151" s="4">
        <v>6</v>
      </c>
      <c r="P151" s="4">
        <v>20</v>
      </c>
      <c r="Q151" t="s">
        <v>107</v>
      </c>
      <c r="R151" s="2">
        <v>46172</v>
      </c>
      <c r="S151" s="4">
        <v>31</v>
      </c>
      <c r="T151" s="3">
        <v>407000000</v>
      </c>
      <c r="U151" t="s">
        <v>42</v>
      </c>
      <c r="V151" t="s">
        <v>70</v>
      </c>
      <c r="W151" t="s">
        <v>248</v>
      </c>
      <c r="Y151" t="s">
        <v>249</v>
      </c>
      <c r="Z151" t="s">
        <v>3179</v>
      </c>
      <c r="AA151" t="s">
        <v>86</v>
      </c>
      <c r="AB151" t="s">
        <v>97</v>
      </c>
      <c r="AC151" t="s">
        <v>86</v>
      </c>
    </row>
    <row r="152" spans="1:29">
      <c r="A152" t="s">
        <v>495</v>
      </c>
      <c r="B152" s="2">
        <v>46179</v>
      </c>
      <c r="C152" t="s">
        <v>30</v>
      </c>
      <c r="D152" t="s">
        <v>134</v>
      </c>
      <c r="E152" t="s">
        <v>75</v>
      </c>
      <c r="F152" t="s">
        <v>161</v>
      </c>
      <c r="G152" t="s">
        <v>387</v>
      </c>
      <c r="H152" t="s">
        <v>78</v>
      </c>
      <c r="I152" t="s">
        <v>79</v>
      </c>
      <c r="J152" t="s">
        <v>3011</v>
      </c>
      <c r="K152" t="s">
        <v>105</v>
      </c>
      <c r="L152" t="s">
        <v>150</v>
      </c>
      <c r="M152" t="s">
        <v>93</v>
      </c>
      <c r="N152" t="s">
        <v>82</v>
      </c>
      <c r="O152" s="4">
        <v>1</v>
      </c>
      <c r="P152" s="4">
        <v>11</v>
      </c>
      <c r="Q152" t="s">
        <v>41</v>
      </c>
      <c r="R152" s="2">
        <v>46171</v>
      </c>
      <c r="S152" s="4">
        <v>32</v>
      </c>
      <c r="T152" s="3">
        <v>139000000</v>
      </c>
      <c r="U152" t="s">
        <v>42</v>
      </c>
      <c r="V152" t="s">
        <v>43</v>
      </c>
      <c r="W152" t="s">
        <v>359</v>
      </c>
      <c r="Y152" t="s">
        <v>330</v>
      </c>
      <c r="Z152" t="s">
        <v>3178</v>
      </c>
      <c r="AA152" t="s">
        <v>86</v>
      </c>
      <c r="AB152" t="s">
        <v>87</v>
      </c>
      <c r="AC152" t="s">
        <v>86</v>
      </c>
    </row>
    <row r="153" spans="1:29">
      <c r="A153" t="s">
        <v>496</v>
      </c>
      <c r="B153" s="2">
        <v>46197</v>
      </c>
      <c r="C153" t="s">
        <v>30</v>
      </c>
      <c r="D153" t="s">
        <v>49</v>
      </c>
      <c r="E153" t="s">
        <v>50</v>
      </c>
      <c r="F153" t="s">
        <v>351</v>
      </c>
      <c r="G153" t="s">
        <v>234</v>
      </c>
      <c r="H153" t="s">
        <v>90</v>
      </c>
      <c r="I153" t="s">
        <v>497</v>
      </c>
      <c r="J153" t="s">
        <v>3105</v>
      </c>
      <c r="K153" t="s">
        <v>116</v>
      </c>
      <c r="L153" t="s">
        <v>187</v>
      </c>
      <c r="M153" t="s">
        <v>39</v>
      </c>
      <c r="N153" t="s">
        <v>57</v>
      </c>
      <c r="O153" s="4">
        <v>3</v>
      </c>
      <c r="P153" s="4">
        <v>5</v>
      </c>
      <c r="Q153" t="s">
        <v>142</v>
      </c>
      <c r="R153" s="2">
        <v>46187</v>
      </c>
      <c r="S153" s="4">
        <v>16</v>
      </c>
      <c r="T153" s="3">
        <v>148000000</v>
      </c>
      <c r="U153" t="s">
        <v>42</v>
      </c>
      <c r="V153" t="s">
        <v>59</v>
      </c>
      <c r="W153" t="s">
        <v>157</v>
      </c>
      <c r="Y153" t="s">
        <v>61</v>
      </c>
      <c r="Z153" t="s">
        <v>3177</v>
      </c>
      <c r="AA153" t="s">
        <v>62</v>
      </c>
      <c r="AB153" t="s">
        <v>63</v>
      </c>
      <c r="AC153" t="s">
        <v>62</v>
      </c>
    </row>
    <row r="154" spans="1:29">
      <c r="A154" t="s">
        <v>498</v>
      </c>
      <c r="B154" s="2">
        <v>46185</v>
      </c>
      <c r="C154" t="s">
        <v>30</v>
      </c>
      <c r="D154" t="s">
        <v>99</v>
      </c>
      <c r="E154" t="s">
        <v>100</v>
      </c>
      <c r="F154" t="s">
        <v>146</v>
      </c>
      <c r="G154" t="s">
        <v>212</v>
      </c>
      <c r="H154" t="s">
        <v>103</v>
      </c>
      <c r="I154" t="s">
        <v>436</v>
      </c>
      <c r="J154" t="s">
        <v>3084</v>
      </c>
      <c r="K154" t="s">
        <v>105</v>
      </c>
      <c r="L154" t="s">
        <v>187</v>
      </c>
      <c r="M154" t="s">
        <v>56</v>
      </c>
      <c r="N154" t="s">
        <v>130</v>
      </c>
      <c r="O154" s="4">
        <v>5</v>
      </c>
      <c r="P154" s="4">
        <v>10</v>
      </c>
      <c r="Q154" t="s">
        <v>41</v>
      </c>
      <c r="R154" s="2">
        <v>46178</v>
      </c>
      <c r="S154" s="4">
        <v>25</v>
      </c>
      <c r="T154" s="3">
        <v>186000000</v>
      </c>
      <c r="U154" t="s">
        <v>42</v>
      </c>
      <c r="V154" t="s">
        <v>70</v>
      </c>
      <c r="W154" t="s">
        <v>144</v>
      </c>
      <c r="Y154" t="s">
        <v>334</v>
      </c>
      <c r="Z154" t="s">
        <v>3179</v>
      </c>
      <c r="AA154" t="s">
        <v>109</v>
      </c>
      <c r="AB154" t="s">
        <v>97</v>
      </c>
      <c r="AC154" t="s">
        <v>109</v>
      </c>
    </row>
    <row r="155" spans="1:29">
      <c r="A155" t="s">
        <v>499</v>
      </c>
      <c r="B155" s="2">
        <v>46187</v>
      </c>
      <c r="C155" t="s">
        <v>30</v>
      </c>
      <c r="D155" t="s">
        <v>99</v>
      </c>
      <c r="E155" t="s">
        <v>172</v>
      </c>
      <c r="F155" t="s">
        <v>173</v>
      </c>
      <c r="G155" t="s">
        <v>476</v>
      </c>
      <c r="H155" t="s">
        <v>317</v>
      </c>
      <c r="I155" t="s">
        <v>318</v>
      </c>
      <c r="J155" t="s">
        <v>3050</v>
      </c>
      <c r="K155" t="s">
        <v>37</v>
      </c>
      <c r="L155" t="s">
        <v>55</v>
      </c>
      <c r="M155" t="s">
        <v>56</v>
      </c>
      <c r="N155" t="s">
        <v>94</v>
      </c>
      <c r="O155" s="4">
        <v>4</v>
      </c>
      <c r="P155" s="4">
        <v>5</v>
      </c>
      <c r="Q155" t="s">
        <v>138</v>
      </c>
      <c r="R155" s="2">
        <v>46187</v>
      </c>
      <c r="S155" s="4">
        <v>16</v>
      </c>
      <c r="T155" s="3">
        <v>195000000</v>
      </c>
      <c r="U155" t="s">
        <v>42</v>
      </c>
      <c r="V155" t="s">
        <v>59</v>
      </c>
      <c r="W155" t="s">
        <v>95</v>
      </c>
      <c r="X155" t="s">
        <v>117</v>
      </c>
      <c r="Y155" t="s">
        <v>108</v>
      </c>
      <c r="Z155" t="s">
        <v>3179</v>
      </c>
      <c r="AA155" t="s">
        <v>181</v>
      </c>
      <c r="AB155" t="s">
        <v>97</v>
      </c>
      <c r="AC155" t="s">
        <v>181</v>
      </c>
    </row>
    <row r="156" spans="1:29">
      <c r="A156" t="s">
        <v>500</v>
      </c>
      <c r="B156" s="2">
        <v>46202</v>
      </c>
      <c r="C156" t="s">
        <v>30</v>
      </c>
      <c r="D156" t="s">
        <v>31</v>
      </c>
      <c r="E156" t="s">
        <v>75</v>
      </c>
      <c r="F156" t="s">
        <v>76</v>
      </c>
      <c r="G156" t="s">
        <v>184</v>
      </c>
      <c r="H156" t="s">
        <v>78</v>
      </c>
      <c r="I156" t="s">
        <v>501</v>
      </c>
      <c r="J156" t="s">
        <v>3106</v>
      </c>
      <c r="K156" t="s">
        <v>105</v>
      </c>
      <c r="L156" t="s">
        <v>38</v>
      </c>
      <c r="M156" t="s">
        <v>106</v>
      </c>
      <c r="N156" t="s">
        <v>57</v>
      </c>
      <c r="O156" s="4">
        <v>3</v>
      </c>
      <c r="P156" s="4">
        <v>10</v>
      </c>
      <c r="Q156" t="s">
        <v>58</v>
      </c>
      <c r="R156" s="2">
        <v>46197</v>
      </c>
      <c r="S156" s="4">
        <v>6</v>
      </c>
      <c r="T156" s="3">
        <v>192000000</v>
      </c>
      <c r="U156" t="s">
        <v>42</v>
      </c>
      <c r="V156" t="s">
        <v>59</v>
      </c>
      <c r="W156" t="s">
        <v>71</v>
      </c>
      <c r="Y156" t="s">
        <v>158</v>
      </c>
      <c r="Z156" t="s">
        <v>3177</v>
      </c>
      <c r="AA156" t="s">
        <v>86</v>
      </c>
      <c r="AB156" t="s">
        <v>63</v>
      </c>
      <c r="AC156" t="s">
        <v>86</v>
      </c>
    </row>
    <row r="157" spans="1:29">
      <c r="A157" t="s">
        <v>502</v>
      </c>
      <c r="B157" s="2">
        <v>46178</v>
      </c>
      <c r="C157" t="s">
        <v>30</v>
      </c>
      <c r="D157" t="s">
        <v>134</v>
      </c>
      <c r="E157" t="s">
        <v>75</v>
      </c>
      <c r="F157" t="s">
        <v>161</v>
      </c>
      <c r="G157" t="s">
        <v>230</v>
      </c>
      <c r="H157" t="s">
        <v>78</v>
      </c>
      <c r="I157" t="s">
        <v>163</v>
      </c>
      <c r="J157" t="s">
        <v>3021</v>
      </c>
      <c r="K157" t="s">
        <v>116</v>
      </c>
      <c r="L157" t="s">
        <v>80</v>
      </c>
      <c r="M157" t="s">
        <v>39</v>
      </c>
      <c r="N157" t="s">
        <v>94</v>
      </c>
      <c r="O157" s="4">
        <v>4</v>
      </c>
      <c r="P157" s="4">
        <v>7</v>
      </c>
      <c r="Q157" t="s">
        <v>69</v>
      </c>
      <c r="R157" s="2">
        <v>46168</v>
      </c>
      <c r="S157" s="4">
        <v>35</v>
      </c>
      <c r="T157" s="3">
        <v>125000000</v>
      </c>
      <c r="U157" t="s">
        <v>42</v>
      </c>
      <c r="V157" t="s">
        <v>143</v>
      </c>
      <c r="W157" t="s">
        <v>188</v>
      </c>
      <c r="X157" t="s">
        <v>117</v>
      </c>
      <c r="Y157" t="s">
        <v>108</v>
      </c>
      <c r="Z157" t="s">
        <v>3179</v>
      </c>
      <c r="AA157" t="s">
        <v>86</v>
      </c>
      <c r="AB157" t="s">
        <v>97</v>
      </c>
      <c r="AC157" t="s">
        <v>86</v>
      </c>
    </row>
    <row r="158" spans="1:29">
      <c r="A158" t="s">
        <v>503</v>
      </c>
      <c r="B158" s="2">
        <v>46179</v>
      </c>
      <c r="C158" t="s">
        <v>30</v>
      </c>
      <c r="D158" t="s">
        <v>134</v>
      </c>
      <c r="E158" t="s">
        <v>120</v>
      </c>
      <c r="F158" t="s">
        <v>121</v>
      </c>
      <c r="G158" t="s">
        <v>122</v>
      </c>
      <c r="H158" t="s">
        <v>136</v>
      </c>
      <c r="I158" t="s">
        <v>275</v>
      </c>
      <c r="J158" t="s">
        <v>3039</v>
      </c>
      <c r="K158" t="s">
        <v>105</v>
      </c>
      <c r="L158" t="s">
        <v>150</v>
      </c>
      <c r="M158" t="s">
        <v>93</v>
      </c>
      <c r="N158" t="s">
        <v>40</v>
      </c>
      <c r="O158" s="4">
        <v>2</v>
      </c>
      <c r="P158" s="4">
        <v>8</v>
      </c>
      <c r="Q158" t="s">
        <v>83</v>
      </c>
      <c r="R158" s="2">
        <v>46175</v>
      </c>
      <c r="S158" s="4">
        <v>28</v>
      </c>
      <c r="T158" s="3">
        <v>85000000</v>
      </c>
      <c r="U158" t="s">
        <v>42</v>
      </c>
      <c r="V158" t="s">
        <v>59</v>
      </c>
      <c r="W158" t="s">
        <v>44</v>
      </c>
      <c r="Y158" t="s">
        <v>180</v>
      </c>
      <c r="Z158" t="s">
        <v>3178</v>
      </c>
      <c r="AA158" t="s">
        <v>97</v>
      </c>
      <c r="AB158" t="s">
        <v>87</v>
      </c>
      <c r="AC158" t="s">
        <v>97</v>
      </c>
    </row>
    <row r="159" spans="1:29">
      <c r="A159" t="s">
        <v>504</v>
      </c>
      <c r="B159" s="2">
        <v>46199</v>
      </c>
      <c r="C159" t="s">
        <v>30</v>
      </c>
      <c r="D159" t="s">
        <v>49</v>
      </c>
      <c r="E159" t="s">
        <v>100</v>
      </c>
      <c r="F159" t="s">
        <v>146</v>
      </c>
      <c r="G159" t="s">
        <v>313</v>
      </c>
      <c r="H159" t="s">
        <v>103</v>
      </c>
      <c r="I159" t="s">
        <v>104</v>
      </c>
      <c r="J159" t="s">
        <v>3013</v>
      </c>
      <c r="K159" t="s">
        <v>56</v>
      </c>
      <c r="L159" t="s">
        <v>38</v>
      </c>
      <c r="M159" t="s">
        <v>81</v>
      </c>
      <c r="N159" t="s">
        <v>196</v>
      </c>
      <c r="O159" s="4">
        <v>7</v>
      </c>
      <c r="P159" s="4">
        <v>21</v>
      </c>
      <c r="Q159" t="s">
        <v>58</v>
      </c>
      <c r="R159" s="2">
        <v>46189</v>
      </c>
      <c r="S159" s="4">
        <v>14</v>
      </c>
      <c r="T159" s="3">
        <v>217000000</v>
      </c>
      <c r="U159" t="s">
        <v>196</v>
      </c>
      <c r="V159" t="s">
        <v>70</v>
      </c>
      <c r="W159" t="s">
        <v>197</v>
      </c>
      <c r="Y159" t="s">
        <v>369</v>
      </c>
      <c r="Z159" t="s">
        <v>3181</v>
      </c>
      <c r="AA159" t="s">
        <v>109</v>
      </c>
      <c r="AB159" t="s">
        <v>199</v>
      </c>
      <c r="AC159" t="s">
        <v>109</v>
      </c>
    </row>
    <row r="160" spans="1:29">
      <c r="A160" t="s">
        <v>505</v>
      </c>
      <c r="B160" s="2">
        <v>46180</v>
      </c>
      <c r="C160" t="s">
        <v>30</v>
      </c>
      <c r="D160" t="s">
        <v>134</v>
      </c>
      <c r="E160" t="s">
        <v>32</v>
      </c>
      <c r="F160" t="s">
        <v>33</v>
      </c>
      <c r="G160" t="s">
        <v>34</v>
      </c>
      <c r="H160" t="s">
        <v>35</v>
      </c>
      <c r="I160" t="s">
        <v>219</v>
      </c>
      <c r="J160" t="s">
        <v>3028</v>
      </c>
      <c r="K160" t="s">
        <v>105</v>
      </c>
      <c r="L160" t="s">
        <v>150</v>
      </c>
      <c r="M160" t="s">
        <v>56</v>
      </c>
      <c r="N160" t="s">
        <v>82</v>
      </c>
      <c r="O160" s="4">
        <v>1</v>
      </c>
      <c r="P160" s="4">
        <v>4</v>
      </c>
      <c r="Q160" t="s">
        <v>142</v>
      </c>
      <c r="R160" s="2">
        <v>46176</v>
      </c>
      <c r="S160" s="4">
        <v>27</v>
      </c>
      <c r="T160" s="3">
        <v>90000000</v>
      </c>
      <c r="U160" t="s">
        <v>42</v>
      </c>
      <c r="V160" t="s">
        <v>43</v>
      </c>
      <c r="W160" t="s">
        <v>404</v>
      </c>
      <c r="Y160" t="s">
        <v>305</v>
      </c>
      <c r="Z160" t="s">
        <v>3176</v>
      </c>
      <c r="AA160" t="s">
        <v>46</v>
      </c>
      <c r="AB160" t="s">
        <v>47</v>
      </c>
      <c r="AC160" t="s">
        <v>46</v>
      </c>
    </row>
    <row r="161" spans="1:29">
      <c r="A161" t="s">
        <v>506</v>
      </c>
      <c r="B161" s="2">
        <v>46199</v>
      </c>
      <c r="C161" t="s">
        <v>30</v>
      </c>
      <c r="D161" t="s">
        <v>49</v>
      </c>
      <c r="E161" t="s">
        <v>120</v>
      </c>
      <c r="F161" t="s">
        <v>246</v>
      </c>
      <c r="G161" t="s">
        <v>224</v>
      </c>
      <c r="H161" t="s">
        <v>123</v>
      </c>
      <c r="I161" t="s">
        <v>124</v>
      </c>
      <c r="J161" t="s">
        <v>3015</v>
      </c>
      <c r="K161" t="s">
        <v>56</v>
      </c>
      <c r="L161" t="s">
        <v>187</v>
      </c>
      <c r="M161" t="s">
        <v>129</v>
      </c>
      <c r="N161" t="s">
        <v>130</v>
      </c>
      <c r="O161" s="4">
        <v>5</v>
      </c>
      <c r="P161" s="4">
        <v>14</v>
      </c>
      <c r="Q161" t="s">
        <v>58</v>
      </c>
      <c r="R161" s="2">
        <v>46190</v>
      </c>
      <c r="S161" s="4">
        <v>13</v>
      </c>
      <c r="T161" s="3">
        <v>276000000</v>
      </c>
      <c r="U161" t="s">
        <v>42</v>
      </c>
      <c r="V161" t="s">
        <v>70</v>
      </c>
      <c r="W161" t="s">
        <v>131</v>
      </c>
      <c r="Y161" t="s">
        <v>262</v>
      </c>
      <c r="Z161" t="s">
        <v>3179</v>
      </c>
      <c r="AA161" t="s">
        <v>97</v>
      </c>
      <c r="AB161" t="s">
        <v>97</v>
      </c>
      <c r="AC161" t="s">
        <v>97</v>
      </c>
    </row>
    <row r="162" spans="1:29">
      <c r="A162" t="s">
        <v>507</v>
      </c>
      <c r="B162" s="2">
        <v>46174</v>
      </c>
      <c r="C162" t="s">
        <v>30</v>
      </c>
      <c r="D162" t="s">
        <v>134</v>
      </c>
      <c r="E162" t="s">
        <v>32</v>
      </c>
      <c r="F162" t="s">
        <v>273</v>
      </c>
      <c r="G162" t="s">
        <v>34</v>
      </c>
      <c r="H162" t="s">
        <v>35</v>
      </c>
      <c r="I162" t="s">
        <v>219</v>
      </c>
      <c r="J162" t="s">
        <v>3028</v>
      </c>
      <c r="K162" t="s">
        <v>116</v>
      </c>
      <c r="L162" t="s">
        <v>55</v>
      </c>
      <c r="M162" t="s">
        <v>164</v>
      </c>
      <c r="N162" t="s">
        <v>94</v>
      </c>
      <c r="O162" s="4">
        <v>4</v>
      </c>
      <c r="P162" s="4">
        <v>4</v>
      </c>
      <c r="Q162" t="s">
        <v>138</v>
      </c>
      <c r="R162" s="2">
        <v>46173</v>
      </c>
      <c r="S162" s="4">
        <v>30</v>
      </c>
      <c r="T162" s="3">
        <v>103000000</v>
      </c>
      <c r="U162" t="s">
        <v>426</v>
      </c>
      <c r="V162" t="s">
        <v>143</v>
      </c>
      <c r="W162" t="s">
        <v>188</v>
      </c>
      <c r="X162" t="s">
        <v>381</v>
      </c>
      <c r="Y162" t="s">
        <v>268</v>
      </c>
      <c r="Z162" t="s">
        <v>3179</v>
      </c>
      <c r="AA162" t="s">
        <v>46</v>
      </c>
      <c r="AB162" t="s">
        <v>97</v>
      </c>
      <c r="AC162" t="s">
        <v>46</v>
      </c>
    </row>
    <row r="163" spans="1:29">
      <c r="A163" t="s">
        <v>508</v>
      </c>
      <c r="B163" s="2">
        <v>46179</v>
      </c>
      <c r="C163" t="s">
        <v>30</v>
      </c>
      <c r="D163" t="s">
        <v>134</v>
      </c>
      <c r="E163" t="s">
        <v>152</v>
      </c>
      <c r="F163" t="s">
        <v>205</v>
      </c>
      <c r="G163" t="s">
        <v>328</v>
      </c>
      <c r="H163" t="s">
        <v>283</v>
      </c>
      <c r="I163" t="s">
        <v>474</v>
      </c>
      <c r="J163" t="s">
        <v>3098</v>
      </c>
      <c r="K163" t="s">
        <v>116</v>
      </c>
      <c r="L163" t="s">
        <v>38</v>
      </c>
      <c r="M163" t="s">
        <v>39</v>
      </c>
      <c r="N163" t="s">
        <v>57</v>
      </c>
      <c r="O163" s="4">
        <v>3</v>
      </c>
      <c r="P163" s="4">
        <v>17</v>
      </c>
      <c r="Q163" t="s">
        <v>58</v>
      </c>
      <c r="R163" s="2">
        <v>46171</v>
      </c>
      <c r="S163" s="4">
        <v>32</v>
      </c>
      <c r="T163" s="3">
        <v>91000000</v>
      </c>
      <c r="U163" t="s">
        <v>42</v>
      </c>
      <c r="V163" t="s">
        <v>59</v>
      </c>
      <c r="W163" t="s">
        <v>60</v>
      </c>
      <c r="Y163" t="s">
        <v>72</v>
      </c>
      <c r="Z163" t="s">
        <v>3180</v>
      </c>
      <c r="AA163" t="s">
        <v>159</v>
      </c>
      <c r="AB163" t="s">
        <v>193</v>
      </c>
      <c r="AC163" t="s">
        <v>159</v>
      </c>
    </row>
    <row r="164" spans="1:29">
      <c r="A164" t="s">
        <v>509</v>
      </c>
      <c r="B164" s="2">
        <v>46191</v>
      </c>
      <c r="C164" t="s">
        <v>30</v>
      </c>
      <c r="D164" t="s">
        <v>74</v>
      </c>
      <c r="E164" t="s">
        <v>152</v>
      </c>
      <c r="F164" t="s">
        <v>205</v>
      </c>
      <c r="G164" t="s">
        <v>206</v>
      </c>
      <c r="H164" t="s">
        <v>283</v>
      </c>
      <c r="I164" t="s">
        <v>393</v>
      </c>
      <c r="J164" t="s">
        <v>3072</v>
      </c>
      <c r="K164" t="s">
        <v>92</v>
      </c>
      <c r="L164" t="s">
        <v>55</v>
      </c>
      <c r="M164" t="s">
        <v>129</v>
      </c>
      <c r="N164" t="s">
        <v>82</v>
      </c>
      <c r="O164" s="4">
        <v>1</v>
      </c>
      <c r="P164" s="4">
        <v>15</v>
      </c>
      <c r="Q164" t="s">
        <v>58</v>
      </c>
      <c r="R164" s="2">
        <v>46190</v>
      </c>
      <c r="S164" s="4">
        <v>13</v>
      </c>
      <c r="T164" s="3">
        <v>109000000</v>
      </c>
      <c r="U164" t="s">
        <v>42</v>
      </c>
      <c r="V164" t="s">
        <v>43</v>
      </c>
      <c r="W164" t="s">
        <v>84</v>
      </c>
      <c r="Y164" t="s">
        <v>305</v>
      </c>
      <c r="Z164" t="s">
        <v>3180</v>
      </c>
      <c r="AA164" t="s">
        <v>159</v>
      </c>
      <c r="AB164" t="s">
        <v>193</v>
      </c>
      <c r="AC164" t="s">
        <v>159</v>
      </c>
    </row>
    <row r="165" spans="1:29">
      <c r="A165" t="s">
        <v>510</v>
      </c>
      <c r="B165" s="2">
        <v>46203</v>
      </c>
      <c r="C165" t="s">
        <v>30</v>
      </c>
      <c r="D165" t="s">
        <v>31</v>
      </c>
      <c r="E165" t="s">
        <v>111</v>
      </c>
      <c r="F165" t="s">
        <v>112</v>
      </c>
      <c r="G165" t="s">
        <v>348</v>
      </c>
      <c r="H165" t="s">
        <v>114</v>
      </c>
      <c r="I165" t="s">
        <v>266</v>
      </c>
      <c r="J165" t="s">
        <v>3037</v>
      </c>
      <c r="K165" t="s">
        <v>37</v>
      </c>
      <c r="L165" t="s">
        <v>169</v>
      </c>
      <c r="M165" t="s">
        <v>106</v>
      </c>
      <c r="N165" t="s">
        <v>94</v>
      </c>
      <c r="O165" s="4">
        <v>4</v>
      </c>
      <c r="P165" s="4">
        <v>11</v>
      </c>
      <c r="Q165" t="s">
        <v>41</v>
      </c>
      <c r="R165" s="2">
        <v>46196</v>
      </c>
      <c r="S165" s="4">
        <v>7</v>
      </c>
      <c r="T165" s="3">
        <v>255000000</v>
      </c>
      <c r="U165" t="s">
        <v>42</v>
      </c>
      <c r="V165" t="s">
        <v>70</v>
      </c>
      <c r="W165" t="s">
        <v>170</v>
      </c>
      <c r="Y165" t="s">
        <v>268</v>
      </c>
      <c r="Z165" t="s">
        <v>3179</v>
      </c>
      <c r="AA165" t="s">
        <v>118</v>
      </c>
      <c r="AB165" t="s">
        <v>97</v>
      </c>
      <c r="AC165" t="s">
        <v>118</v>
      </c>
    </row>
    <row r="166" spans="1:29">
      <c r="A166" t="s">
        <v>511</v>
      </c>
      <c r="B166" s="2">
        <v>46176</v>
      </c>
      <c r="C166" t="s">
        <v>30</v>
      </c>
      <c r="D166" t="s">
        <v>134</v>
      </c>
      <c r="E166" t="s">
        <v>172</v>
      </c>
      <c r="F166" t="s">
        <v>195</v>
      </c>
      <c r="G166" t="s">
        <v>338</v>
      </c>
      <c r="H166" t="s">
        <v>241</v>
      </c>
      <c r="I166" t="s">
        <v>512</v>
      </c>
      <c r="J166" t="s">
        <v>3107</v>
      </c>
      <c r="K166" t="s">
        <v>105</v>
      </c>
      <c r="L166" t="s">
        <v>55</v>
      </c>
      <c r="M166" t="s">
        <v>93</v>
      </c>
      <c r="N166" t="s">
        <v>57</v>
      </c>
      <c r="O166" s="4">
        <v>3</v>
      </c>
      <c r="P166" s="4">
        <v>6</v>
      </c>
      <c r="Q166" t="s">
        <v>58</v>
      </c>
      <c r="R166" s="2">
        <v>46172</v>
      </c>
      <c r="S166" s="4">
        <v>31</v>
      </c>
      <c r="T166" s="3">
        <v>246000000</v>
      </c>
      <c r="U166" t="s">
        <v>42</v>
      </c>
      <c r="V166" t="s">
        <v>43</v>
      </c>
      <c r="W166" t="s">
        <v>203</v>
      </c>
      <c r="Y166" t="s">
        <v>165</v>
      </c>
      <c r="Z166" t="s">
        <v>3177</v>
      </c>
      <c r="AA166" t="s">
        <v>181</v>
      </c>
      <c r="AB166" t="s">
        <v>63</v>
      </c>
      <c r="AC166" t="s">
        <v>181</v>
      </c>
    </row>
    <row r="167" spans="1:29">
      <c r="A167" t="s">
        <v>513</v>
      </c>
      <c r="B167" s="2">
        <v>46182</v>
      </c>
      <c r="C167" t="s">
        <v>30</v>
      </c>
      <c r="D167" t="s">
        <v>99</v>
      </c>
      <c r="E167" t="s">
        <v>120</v>
      </c>
      <c r="F167" t="s">
        <v>121</v>
      </c>
      <c r="G167" t="s">
        <v>224</v>
      </c>
      <c r="H167" t="s">
        <v>300</v>
      </c>
      <c r="I167" t="s">
        <v>400</v>
      </c>
      <c r="J167" t="s">
        <v>3074</v>
      </c>
      <c r="K167" t="s">
        <v>105</v>
      </c>
      <c r="L167" t="s">
        <v>169</v>
      </c>
      <c r="M167" t="s">
        <v>106</v>
      </c>
      <c r="N167" t="s">
        <v>82</v>
      </c>
      <c r="O167" s="4">
        <v>1</v>
      </c>
      <c r="P167" s="4">
        <v>7</v>
      </c>
      <c r="Q167" t="s">
        <v>58</v>
      </c>
      <c r="R167" s="2">
        <v>46181</v>
      </c>
      <c r="S167" s="4">
        <v>22</v>
      </c>
      <c r="T167" s="3">
        <v>312000000</v>
      </c>
      <c r="U167" t="s">
        <v>260</v>
      </c>
      <c r="V167" t="s">
        <v>43</v>
      </c>
      <c r="W167" t="s">
        <v>359</v>
      </c>
      <c r="X167" t="s">
        <v>179</v>
      </c>
      <c r="Y167" t="s">
        <v>291</v>
      </c>
      <c r="Z167" t="s">
        <v>3178</v>
      </c>
      <c r="AA167" t="s">
        <v>97</v>
      </c>
      <c r="AB167" t="s">
        <v>87</v>
      </c>
      <c r="AC167" t="s">
        <v>97</v>
      </c>
    </row>
    <row r="168" spans="1:29">
      <c r="A168" t="s">
        <v>514</v>
      </c>
      <c r="B168" s="2">
        <v>46196</v>
      </c>
      <c r="C168" t="s">
        <v>30</v>
      </c>
      <c r="D168" t="s">
        <v>49</v>
      </c>
      <c r="E168" t="s">
        <v>50</v>
      </c>
      <c r="F168" t="s">
        <v>89</v>
      </c>
      <c r="G168" t="s">
        <v>65</v>
      </c>
      <c r="H168" t="s">
        <v>66</v>
      </c>
      <c r="I168" t="s">
        <v>67</v>
      </c>
      <c r="J168" t="s">
        <v>3010</v>
      </c>
      <c r="K168" t="s">
        <v>92</v>
      </c>
      <c r="L168" t="s">
        <v>187</v>
      </c>
      <c r="M168" t="s">
        <v>93</v>
      </c>
      <c r="N168" t="s">
        <v>57</v>
      </c>
      <c r="O168" s="4">
        <v>3</v>
      </c>
      <c r="P168" s="4">
        <v>11</v>
      </c>
      <c r="Q168" t="s">
        <v>69</v>
      </c>
      <c r="R168" s="2">
        <v>46186</v>
      </c>
      <c r="S168" s="4">
        <v>17</v>
      </c>
      <c r="T168" s="3">
        <v>143000000</v>
      </c>
      <c r="U168" t="s">
        <v>42</v>
      </c>
      <c r="V168" t="s">
        <v>59</v>
      </c>
      <c r="W168" t="s">
        <v>157</v>
      </c>
      <c r="Y168" t="s">
        <v>72</v>
      </c>
      <c r="Z168" t="s">
        <v>3177</v>
      </c>
      <c r="AA168" t="s">
        <v>62</v>
      </c>
      <c r="AB168" t="s">
        <v>63</v>
      </c>
      <c r="AC168" t="s">
        <v>62</v>
      </c>
    </row>
    <row r="169" spans="1:29">
      <c r="A169" t="s">
        <v>515</v>
      </c>
      <c r="B169" s="2">
        <v>46201</v>
      </c>
      <c r="C169" t="s">
        <v>30</v>
      </c>
      <c r="D169" t="s">
        <v>49</v>
      </c>
      <c r="E169" t="s">
        <v>172</v>
      </c>
      <c r="F169" t="s">
        <v>173</v>
      </c>
      <c r="G169" t="s">
        <v>278</v>
      </c>
      <c r="H169" t="s">
        <v>175</v>
      </c>
      <c r="I169" t="s">
        <v>516</v>
      </c>
      <c r="J169" t="s">
        <v>3108</v>
      </c>
      <c r="K169" t="s">
        <v>92</v>
      </c>
      <c r="L169" t="s">
        <v>169</v>
      </c>
      <c r="M169" t="s">
        <v>93</v>
      </c>
      <c r="N169" t="s">
        <v>94</v>
      </c>
      <c r="O169" s="4">
        <v>4</v>
      </c>
      <c r="P169" s="4">
        <v>4</v>
      </c>
      <c r="Q169" t="s">
        <v>69</v>
      </c>
      <c r="R169" s="2">
        <v>46193</v>
      </c>
      <c r="S169" s="4">
        <v>10</v>
      </c>
      <c r="T169" s="3">
        <v>210000000</v>
      </c>
      <c r="U169" t="s">
        <v>42</v>
      </c>
      <c r="V169" t="s">
        <v>59</v>
      </c>
      <c r="W169" t="s">
        <v>170</v>
      </c>
      <c r="Y169" t="s">
        <v>96</v>
      </c>
      <c r="Z169" t="s">
        <v>3179</v>
      </c>
      <c r="AA169" t="s">
        <v>181</v>
      </c>
      <c r="AB169" t="s">
        <v>97</v>
      </c>
      <c r="AC169" t="s">
        <v>181</v>
      </c>
    </row>
    <row r="170" spans="1:29">
      <c r="A170" t="s">
        <v>517</v>
      </c>
      <c r="B170" s="2">
        <v>46195</v>
      </c>
      <c r="C170" t="s">
        <v>30</v>
      </c>
      <c r="D170" t="s">
        <v>49</v>
      </c>
      <c r="E170" t="s">
        <v>32</v>
      </c>
      <c r="F170" t="s">
        <v>33</v>
      </c>
      <c r="G170" t="s">
        <v>257</v>
      </c>
      <c r="H170" t="s">
        <v>258</v>
      </c>
      <c r="I170" t="s">
        <v>297</v>
      </c>
      <c r="J170" t="s">
        <v>3044</v>
      </c>
      <c r="K170" t="s">
        <v>56</v>
      </c>
      <c r="L170" t="s">
        <v>55</v>
      </c>
      <c r="M170" t="s">
        <v>56</v>
      </c>
      <c r="N170" t="s">
        <v>40</v>
      </c>
      <c r="O170" s="4">
        <v>2</v>
      </c>
      <c r="P170" s="4">
        <v>5</v>
      </c>
      <c r="Q170" t="s">
        <v>83</v>
      </c>
      <c r="R170" s="2">
        <v>46192</v>
      </c>
      <c r="S170" s="4">
        <v>11</v>
      </c>
      <c r="T170" s="3">
        <v>365000000</v>
      </c>
      <c r="U170" t="s">
        <v>42</v>
      </c>
      <c r="V170" t="s">
        <v>43</v>
      </c>
      <c r="W170" t="s">
        <v>239</v>
      </c>
      <c r="Y170" t="s">
        <v>281</v>
      </c>
      <c r="Z170" t="s">
        <v>3178</v>
      </c>
      <c r="AA170" t="s">
        <v>46</v>
      </c>
      <c r="AB170" t="s">
        <v>87</v>
      </c>
      <c r="AC170" t="s">
        <v>46</v>
      </c>
    </row>
    <row r="171" spans="1:29">
      <c r="A171" t="s">
        <v>518</v>
      </c>
      <c r="B171" s="2">
        <v>46186</v>
      </c>
      <c r="C171" t="s">
        <v>30</v>
      </c>
      <c r="D171" t="s">
        <v>99</v>
      </c>
      <c r="E171" t="s">
        <v>120</v>
      </c>
      <c r="F171" t="s">
        <v>246</v>
      </c>
      <c r="G171" t="s">
        <v>420</v>
      </c>
      <c r="H171" t="s">
        <v>123</v>
      </c>
      <c r="I171" t="s">
        <v>519</v>
      </c>
      <c r="J171" t="s">
        <v>3109</v>
      </c>
      <c r="K171" t="s">
        <v>92</v>
      </c>
      <c r="L171" t="s">
        <v>169</v>
      </c>
      <c r="M171" t="s">
        <v>93</v>
      </c>
      <c r="N171" t="s">
        <v>94</v>
      </c>
      <c r="O171" s="4">
        <v>4</v>
      </c>
      <c r="P171" s="4">
        <v>12</v>
      </c>
      <c r="Q171" t="s">
        <v>142</v>
      </c>
      <c r="R171" s="2">
        <v>46179</v>
      </c>
      <c r="S171" s="4">
        <v>24</v>
      </c>
      <c r="T171" s="3">
        <v>55000000</v>
      </c>
      <c r="U171" t="s">
        <v>426</v>
      </c>
      <c r="V171" t="s">
        <v>70</v>
      </c>
      <c r="W171" t="s">
        <v>170</v>
      </c>
      <c r="X171" t="s">
        <v>520</v>
      </c>
      <c r="Y171" t="s">
        <v>108</v>
      </c>
      <c r="Z171" t="s">
        <v>3179</v>
      </c>
      <c r="AA171" t="s">
        <v>97</v>
      </c>
      <c r="AB171" t="s">
        <v>97</v>
      </c>
      <c r="AC171" t="s">
        <v>97</v>
      </c>
    </row>
    <row r="172" spans="1:29">
      <c r="A172" t="s">
        <v>521</v>
      </c>
      <c r="B172" s="2">
        <v>46185</v>
      </c>
      <c r="C172" t="s">
        <v>30</v>
      </c>
      <c r="D172" t="s">
        <v>99</v>
      </c>
      <c r="E172" t="s">
        <v>120</v>
      </c>
      <c r="F172" t="s">
        <v>246</v>
      </c>
      <c r="G172" t="s">
        <v>224</v>
      </c>
      <c r="H172" t="s">
        <v>123</v>
      </c>
      <c r="I172" t="s">
        <v>336</v>
      </c>
      <c r="J172" t="s">
        <v>3055</v>
      </c>
      <c r="K172" t="s">
        <v>92</v>
      </c>
      <c r="L172" t="s">
        <v>187</v>
      </c>
      <c r="M172" t="s">
        <v>93</v>
      </c>
      <c r="N172" t="s">
        <v>57</v>
      </c>
      <c r="O172" s="4">
        <v>3</v>
      </c>
      <c r="P172" s="4">
        <v>11</v>
      </c>
      <c r="Q172" t="s">
        <v>58</v>
      </c>
      <c r="R172" s="2">
        <v>46178</v>
      </c>
      <c r="S172" s="4">
        <v>25</v>
      </c>
      <c r="T172" s="3">
        <v>44000000</v>
      </c>
      <c r="U172" t="s">
        <v>42</v>
      </c>
      <c r="V172" t="s">
        <v>43</v>
      </c>
      <c r="W172" t="s">
        <v>71</v>
      </c>
      <c r="Y172" t="s">
        <v>72</v>
      </c>
      <c r="Z172" t="s">
        <v>3177</v>
      </c>
      <c r="AA172" t="s">
        <v>97</v>
      </c>
      <c r="AB172" t="s">
        <v>63</v>
      </c>
      <c r="AC172" t="s">
        <v>97</v>
      </c>
    </row>
    <row r="173" spans="1:29">
      <c r="A173" t="s">
        <v>522</v>
      </c>
      <c r="B173" s="2">
        <v>46194</v>
      </c>
      <c r="C173" t="s">
        <v>30</v>
      </c>
      <c r="D173" t="s">
        <v>74</v>
      </c>
      <c r="E173" t="s">
        <v>32</v>
      </c>
      <c r="F173" t="s">
        <v>33</v>
      </c>
      <c r="G173" t="s">
        <v>218</v>
      </c>
      <c r="H173" t="s">
        <v>303</v>
      </c>
      <c r="I173" t="s">
        <v>464</v>
      </c>
      <c r="J173" t="s">
        <v>3095</v>
      </c>
      <c r="K173" t="s">
        <v>105</v>
      </c>
      <c r="L173" t="s">
        <v>68</v>
      </c>
      <c r="M173" t="s">
        <v>81</v>
      </c>
      <c r="N173" t="s">
        <v>40</v>
      </c>
      <c r="O173" s="4">
        <v>2</v>
      </c>
      <c r="P173" s="4">
        <v>1</v>
      </c>
      <c r="Q173" t="s">
        <v>138</v>
      </c>
      <c r="R173" s="2">
        <v>46188</v>
      </c>
      <c r="S173" s="4">
        <v>15</v>
      </c>
      <c r="T173" s="3">
        <v>122000000</v>
      </c>
      <c r="U173" t="s">
        <v>42</v>
      </c>
      <c r="V173" t="s">
        <v>43</v>
      </c>
      <c r="W173" t="s">
        <v>44</v>
      </c>
      <c r="Y173" t="s">
        <v>180</v>
      </c>
      <c r="Z173" t="s">
        <v>3176</v>
      </c>
      <c r="AA173" t="s">
        <v>46</v>
      </c>
      <c r="AB173" t="s">
        <v>47</v>
      </c>
      <c r="AC173" t="s">
        <v>46</v>
      </c>
    </row>
    <row r="174" spans="1:29">
      <c r="A174" t="s">
        <v>523</v>
      </c>
      <c r="B174" s="2">
        <v>46193</v>
      </c>
      <c r="C174" t="s">
        <v>30</v>
      </c>
      <c r="D174" t="s">
        <v>74</v>
      </c>
      <c r="E174" t="s">
        <v>120</v>
      </c>
      <c r="F174" t="s">
        <v>121</v>
      </c>
      <c r="G174" t="s">
        <v>227</v>
      </c>
      <c r="H174" t="s">
        <v>300</v>
      </c>
      <c r="I174" t="s">
        <v>301</v>
      </c>
      <c r="J174" t="s">
        <v>3045</v>
      </c>
      <c r="K174" t="s">
        <v>37</v>
      </c>
      <c r="L174" t="s">
        <v>169</v>
      </c>
      <c r="M174" t="s">
        <v>56</v>
      </c>
      <c r="N174" t="s">
        <v>213</v>
      </c>
      <c r="O174" s="4">
        <v>6</v>
      </c>
      <c r="P174" s="4">
        <v>14</v>
      </c>
      <c r="Q174" t="s">
        <v>138</v>
      </c>
      <c r="R174" s="2">
        <v>46186</v>
      </c>
      <c r="S174" s="4">
        <v>17</v>
      </c>
      <c r="T174" s="3">
        <v>192000000</v>
      </c>
      <c r="U174" t="s">
        <v>214</v>
      </c>
      <c r="V174" t="s">
        <v>70</v>
      </c>
      <c r="W174" t="s">
        <v>215</v>
      </c>
      <c r="Y174" t="s">
        <v>424</v>
      </c>
      <c r="Z174" t="s">
        <v>3179</v>
      </c>
      <c r="AA174" t="s">
        <v>97</v>
      </c>
      <c r="AB174" t="s">
        <v>97</v>
      </c>
      <c r="AC174" t="s">
        <v>97</v>
      </c>
    </row>
    <row r="175" spans="1:29">
      <c r="A175" t="s">
        <v>524</v>
      </c>
      <c r="B175" s="2">
        <v>46195</v>
      </c>
      <c r="C175" t="s">
        <v>30</v>
      </c>
      <c r="D175" t="s">
        <v>49</v>
      </c>
      <c r="E175" t="s">
        <v>152</v>
      </c>
      <c r="F175" t="s">
        <v>205</v>
      </c>
      <c r="G175" t="s">
        <v>154</v>
      </c>
      <c r="H175" t="s">
        <v>155</v>
      </c>
      <c r="I175" t="s">
        <v>156</v>
      </c>
      <c r="J175" t="s">
        <v>3020</v>
      </c>
      <c r="K175" t="s">
        <v>92</v>
      </c>
      <c r="L175" t="s">
        <v>38</v>
      </c>
      <c r="M175" t="s">
        <v>164</v>
      </c>
      <c r="N175" t="s">
        <v>57</v>
      </c>
      <c r="O175" s="4">
        <v>3</v>
      </c>
      <c r="P175" s="4">
        <v>8</v>
      </c>
      <c r="Q175" t="s">
        <v>69</v>
      </c>
      <c r="R175" s="2">
        <v>46189</v>
      </c>
      <c r="S175" s="4">
        <v>14</v>
      </c>
      <c r="T175" s="3">
        <v>92000000</v>
      </c>
      <c r="U175" t="s">
        <v>42</v>
      </c>
      <c r="V175" t="s">
        <v>59</v>
      </c>
      <c r="W175" t="s">
        <v>157</v>
      </c>
      <c r="Y175" t="s">
        <v>72</v>
      </c>
      <c r="Z175" t="s">
        <v>3177</v>
      </c>
      <c r="AA175" t="s">
        <v>159</v>
      </c>
      <c r="AB175" t="s">
        <v>63</v>
      </c>
      <c r="AC175" t="s">
        <v>159</v>
      </c>
    </row>
    <row r="176" spans="1:29">
      <c r="A176" t="s">
        <v>525</v>
      </c>
      <c r="B176" s="2">
        <v>46189</v>
      </c>
      <c r="C176" t="s">
        <v>30</v>
      </c>
      <c r="D176" t="s">
        <v>74</v>
      </c>
      <c r="E176" t="s">
        <v>50</v>
      </c>
      <c r="F176" t="s">
        <v>89</v>
      </c>
      <c r="G176" t="s">
        <v>270</v>
      </c>
      <c r="H176" t="s">
        <v>66</v>
      </c>
      <c r="I176" t="s">
        <v>341</v>
      </c>
      <c r="J176" t="s">
        <v>3056</v>
      </c>
      <c r="K176" t="s">
        <v>116</v>
      </c>
      <c r="L176" t="s">
        <v>150</v>
      </c>
      <c r="M176" t="s">
        <v>106</v>
      </c>
      <c r="N176" t="s">
        <v>94</v>
      </c>
      <c r="O176" s="4">
        <v>4</v>
      </c>
      <c r="P176" s="4">
        <v>11</v>
      </c>
      <c r="Q176" t="s">
        <v>138</v>
      </c>
      <c r="R176" s="2">
        <v>46183</v>
      </c>
      <c r="S176" s="4">
        <v>20</v>
      </c>
      <c r="T176" s="3">
        <v>60000000</v>
      </c>
      <c r="U176" t="s">
        <v>42</v>
      </c>
      <c r="V176" t="s">
        <v>59</v>
      </c>
      <c r="W176" t="s">
        <v>188</v>
      </c>
      <c r="Y176" t="s">
        <v>228</v>
      </c>
      <c r="Z176" t="s">
        <v>3179</v>
      </c>
      <c r="AA176" t="s">
        <v>62</v>
      </c>
      <c r="AB176" t="s">
        <v>97</v>
      </c>
      <c r="AC176" t="s">
        <v>62</v>
      </c>
    </row>
    <row r="177" spans="1:29">
      <c r="A177" t="s">
        <v>526</v>
      </c>
      <c r="B177" s="2">
        <v>46187</v>
      </c>
      <c r="C177" t="s">
        <v>30</v>
      </c>
      <c r="D177" t="s">
        <v>99</v>
      </c>
      <c r="E177" t="s">
        <v>120</v>
      </c>
      <c r="F177" t="s">
        <v>121</v>
      </c>
      <c r="G177" t="s">
        <v>227</v>
      </c>
      <c r="H177" t="s">
        <v>300</v>
      </c>
      <c r="I177" t="s">
        <v>527</v>
      </c>
      <c r="J177" t="s">
        <v>3110</v>
      </c>
      <c r="K177" t="s">
        <v>37</v>
      </c>
      <c r="L177" t="s">
        <v>169</v>
      </c>
      <c r="M177" t="s">
        <v>164</v>
      </c>
      <c r="N177" t="s">
        <v>57</v>
      </c>
      <c r="O177" s="4">
        <v>3</v>
      </c>
      <c r="P177" s="4">
        <v>8</v>
      </c>
      <c r="Q177" t="s">
        <v>142</v>
      </c>
      <c r="R177" s="2">
        <v>46177</v>
      </c>
      <c r="S177" s="4">
        <v>26</v>
      </c>
      <c r="T177" s="3">
        <v>214000000</v>
      </c>
      <c r="U177" t="s">
        <v>42</v>
      </c>
      <c r="V177" t="s">
        <v>59</v>
      </c>
      <c r="W177" t="s">
        <v>60</v>
      </c>
      <c r="Y177" t="s">
        <v>165</v>
      </c>
      <c r="Z177" t="s">
        <v>3177</v>
      </c>
      <c r="AA177" t="s">
        <v>97</v>
      </c>
      <c r="AB177" t="s">
        <v>63</v>
      </c>
      <c r="AC177" t="s">
        <v>97</v>
      </c>
    </row>
    <row r="178" spans="1:29">
      <c r="A178" t="s">
        <v>528</v>
      </c>
      <c r="B178" s="2">
        <v>46195</v>
      </c>
      <c r="C178" t="s">
        <v>30</v>
      </c>
      <c r="D178" t="s">
        <v>49</v>
      </c>
      <c r="E178" t="s">
        <v>32</v>
      </c>
      <c r="F178" t="s">
        <v>273</v>
      </c>
      <c r="G178" t="s">
        <v>218</v>
      </c>
      <c r="H178" t="s">
        <v>258</v>
      </c>
      <c r="I178" t="s">
        <v>297</v>
      </c>
      <c r="J178" t="s">
        <v>3044</v>
      </c>
      <c r="K178" t="s">
        <v>92</v>
      </c>
      <c r="L178" t="s">
        <v>80</v>
      </c>
      <c r="M178" t="s">
        <v>56</v>
      </c>
      <c r="N178" t="s">
        <v>57</v>
      </c>
      <c r="O178" s="4">
        <v>3</v>
      </c>
      <c r="P178" s="4">
        <v>2</v>
      </c>
      <c r="Q178" t="s">
        <v>69</v>
      </c>
      <c r="R178" s="2">
        <v>46194</v>
      </c>
      <c r="S178" s="4">
        <v>9</v>
      </c>
      <c r="T178" s="3">
        <v>88000000</v>
      </c>
      <c r="U178" t="s">
        <v>42</v>
      </c>
      <c r="V178" t="s">
        <v>59</v>
      </c>
      <c r="W178" t="s">
        <v>60</v>
      </c>
      <c r="Y178" t="s">
        <v>72</v>
      </c>
      <c r="Z178" t="s">
        <v>3177</v>
      </c>
      <c r="AA178" t="s">
        <v>46</v>
      </c>
      <c r="AB178" t="s">
        <v>63</v>
      </c>
      <c r="AC178" t="s">
        <v>46</v>
      </c>
    </row>
    <row r="179" spans="1:29">
      <c r="A179" t="s">
        <v>529</v>
      </c>
      <c r="B179" s="2">
        <v>46193</v>
      </c>
      <c r="C179" t="s">
        <v>30</v>
      </c>
      <c r="D179" t="s">
        <v>74</v>
      </c>
      <c r="E179" t="s">
        <v>152</v>
      </c>
      <c r="F179" t="s">
        <v>205</v>
      </c>
      <c r="G179" t="s">
        <v>206</v>
      </c>
      <c r="H179" t="s">
        <v>207</v>
      </c>
      <c r="I179" t="s">
        <v>208</v>
      </c>
      <c r="J179" t="s">
        <v>3027</v>
      </c>
      <c r="K179" t="s">
        <v>56</v>
      </c>
      <c r="L179" t="s">
        <v>55</v>
      </c>
      <c r="M179" t="s">
        <v>93</v>
      </c>
      <c r="N179" t="s">
        <v>40</v>
      </c>
      <c r="O179" s="4">
        <v>2</v>
      </c>
      <c r="P179" s="4">
        <v>12</v>
      </c>
      <c r="Q179" t="s">
        <v>83</v>
      </c>
      <c r="R179" s="2">
        <v>46193</v>
      </c>
      <c r="S179" s="4">
        <v>10</v>
      </c>
      <c r="T179" s="3">
        <v>302000000</v>
      </c>
      <c r="U179" t="s">
        <v>42</v>
      </c>
      <c r="V179" t="s">
        <v>59</v>
      </c>
      <c r="W179" t="s">
        <v>298</v>
      </c>
      <c r="Y179" t="s">
        <v>281</v>
      </c>
      <c r="Z179" t="s">
        <v>3180</v>
      </c>
      <c r="AA179" t="s">
        <v>159</v>
      </c>
      <c r="AB179" t="s">
        <v>193</v>
      </c>
      <c r="AC179" t="s">
        <v>159</v>
      </c>
    </row>
    <row r="180" spans="1:29">
      <c r="A180" t="s">
        <v>530</v>
      </c>
      <c r="B180" s="2">
        <v>46179</v>
      </c>
      <c r="C180" t="s">
        <v>30</v>
      </c>
      <c r="D180" t="s">
        <v>134</v>
      </c>
      <c r="E180" t="s">
        <v>50</v>
      </c>
      <c r="F180" t="s">
        <v>51</v>
      </c>
      <c r="G180" t="s">
        <v>270</v>
      </c>
      <c r="H180" t="s">
        <v>90</v>
      </c>
      <c r="I180" t="s">
        <v>377</v>
      </c>
      <c r="J180" t="s">
        <v>3068</v>
      </c>
      <c r="K180" t="s">
        <v>37</v>
      </c>
      <c r="L180" t="s">
        <v>169</v>
      </c>
      <c r="M180" t="s">
        <v>81</v>
      </c>
      <c r="N180" t="s">
        <v>94</v>
      </c>
      <c r="O180" s="4">
        <v>4</v>
      </c>
      <c r="P180" s="4">
        <v>6</v>
      </c>
      <c r="Q180" t="s">
        <v>41</v>
      </c>
      <c r="R180" s="2">
        <v>46169</v>
      </c>
      <c r="S180" s="4">
        <v>34</v>
      </c>
      <c r="T180" s="3">
        <v>254000000</v>
      </c>
      <c r="U180" t="s">
        <v>42</v>
      </c>
      <c r="V180" t="s">
        <v>59</v>
      </c>
      <c r="W180" t="s">
        <v>267</v>
      </c>
      <c r="X180" t="s">
        <v>117</v>
      </c>
      <c r="Y180" t="s">
        <v>228</v>
      </c>
      <c r="Z180" t="s">
        <v>3179</v>
      </c>
      <c r="AA180" t="s">
        <v>62</v>
      </c>
      <c r="AB180" t="s">
        <v>97</v>
      </c>
      <c r="AC180" t="s">
        <v>62</v>
      </c>
    </row>
    <row r="181" spans="1:29">
      <c r="A181" t="s">
        <v>531</v>
      </c>
      <c r="B181" s="2">
        <v>46188</v>
      </c>
      <c r="C181" t="s">
        <v>30</v>
      </c>
      <c r="D181" t="s">
        <v>74</v>
      </c>
      <c r="E181" t="s">
        <v>100</v>
      </c>
      <c r="F181" t="s">
        <v>140</v>
      </c>
      <c r="G181" t="s">
        <v>102</v>
      </c>
      <c r="H181" t="s">
        <v>148</v>
      </c>
      <c r="I181" t="s">
        <v>532</v>
      </c>
      <c r="J181" t="s">
        <v>3111</v>
      </c>
      <c r="K181" t="s">
        <v>116</v>
      </c>
      <c r="L181" t="s">
        <v>169</v>
      </c>
      <c r="M181" t="s">
        <v>93</v>
      </c>
      <c r="N181" t="s">
        <v>57</v>
      </c>
      <c r="O181" s="4">
        <v>3</v>
      </c>
      <c r="P181" s="4">
        <v>19</v>
      </c>
      <c r="Q181" t="s">
        <v>107</v>
      </c>
      <c r="R181" s="2">
        <v>46182</v>
      </c>
      <c r="S181" s="4">
        <v>21</v>
      </c>
      <c r="T181" s="3">
        <v>146000000</v>
      </c>
      <c r="U181" t="s">
        <v>42</v>
      </c>
      <c r="V181" t="s">
        <v>43</v>
      </c>
      <c r="W181" t="s">
        <v>71</v>
      </c>
      <c r="Y181" t="s">
        <v>61</v>
      </c>
      <c r="Z181" t="s">
        <v>3180</v>
      </c>
      <c r="AA181" t="s">
        <v>109</v>
      </c>
      <c r="AB181" t="s">
        <v>193</v>
      </c>
      <c r="AC181" t="s">
        <v>109</v>
      </c>
    </row>
    <row r="182" spans="1:29">
      <c r="A182" t="s">
        <v>533</v>
      </c>
      <c r="B182" s="2">
        <v>46189</v>
      </c>
      <c r="C182" t="s">
        <v>30</v>
      </c>
      <c r="D182" t="s">
        <v>74</v>
      </c>
      <c r="E182" t="s">
        <v>172</v>
      </c>
      <c r="F182" t="s">
        <v>173</v>
      </c>
      <c r="G182" t="s">
        <v>174</v>
      </c>
      <c r="H182" t="s">
        <v>317</v>
      </c>
      <c r="I182" t="s">
        <v>534</v>
      </c>
      <c r="J182" t="s">
        <v>3112</v>
      </c>
      <c r="K182" t="s">
        <v>92</v>
      </c>
      <c r="L182" t="s">
        <v>38</v>
      </c>
      <c r="M182" t="s">
        <v>93</v>
      </c>
      <c r="N182" t="s">
        <v>213</v>
      </c>
      <c r="O182" s="4">
        <v>6</v>
      </c>
      <c r="P182" s="4">
        <v>10</v>
      </c>
      <c r="Q182" t="s">
        <v>107</v>
      </c>
      <c r="R182" s="2">
        <v>46188</v>
      </c>
      <c r="S182" s="4">
        <v>15</v>
      </c>
      <c r="T182" s="3">
        <v>236000000</v>
      </c>
      <c r="U182" t="s">
        <v>42</v>
      </c>
      <c r="V182" t="s">
        <v>70</v>
      </c>
      <c r="W182" t="s">
        <v>215</v>
      </c>
      <c r="Y182" t="s">
        <v>432</v>
      </c>
      <c r="Z182" t="s">
        <v>3179</v>
      </c>
      <c r="AA182" t="s">
        <v>181</v>
      </c>
      <c r="AB182" t="s">
        <v>97</v>
      </c>
      <c r="AC182" t="s">
        <v>181</v>
      </c>
    </row>
    <row r="183" spans="1:29">
      <c r="A183" t="s">
        <v>535</v>
      </c>
      <c r="B183" s="2">
        <v>46182</v>
      </c>
      <c r="C183" t="s">
        <v>30</v>
      </c>
      <c r="D183" t="s">
        <v>99</v>
      </c>
      <c r="E183" t="s">
        <v>32</v>
      </c>
      <c r="F183" t="s">
        <v>273</v>
      </c>
      <c r="G183" t="s">
        <v>463</v>
      </c>
      <c r="H183" t="s">
        <v>35</v>
      </c>
      <c r="I183" t="s">
        <v>320</v>
      </c>
      <c r="J183" t="s">
        <v>3051</v>
      </c>
      <c r="K183" t="s">
        <v>92</v>
      </c>
      <c r="L183" t="s">
        <v>38</v>
      </c>
      <c r="M183" t="s">
        <v>81</v>
      </c>
      <c r="N183" t="s">
        <v>40</v>
      </c>
      <c r="O183" s="4">
        <v>2</v>
      </c>
      <c r="P183" s="4">
        <v>2</v>
      </c>
      <c r="Q183" t="s">
        <v>41</v>
      </c>
      <c r="R183" s="2">
        <v>46180</v>
      </c>
      <c r="S183" s="4">
        <v>23</v>
      </c>
      <c r="T183" s="3">
        <v>96000000</v>
      </c>
      <c r="U183" t="s">
        <v>42</v>
      </c>
      <c r="V183" t="s">
        <v>43</v>
      </c>
      <c r="W183" t="s">
        <v>178</v>
      </c>
      <c r="Y183" t="s">
        <v>281</v>
      </c>
      <c r="Z183" t="s">
        <v>3176</v>
      </c>
      <c r="AA183" t="s">
        <v>46</v>
      </c>
      <c r="AB183" t="s">
        <v>47</v>
      </c>
      <c r="AC183" t="s">
        <v>46</v>
      </c>
    </row>
    <row r="184" spans="1:29">
      <c r="A184" t="s">
        <v>536</v>
      </c>
      <c r="B184" s="2">
        <v>46184</v>
      </c>
      <c r="C184" t="s">
        <v>30</v>
      </c>
      <c r="D184" t="s">
        <v>99</v>
      </c>
      <c r="E184" t="s">
        <v>152</v>
      </c>
      <c r="F184" t="s">
        <v>221</v>
      </c>
      <c r="G184" t="s">
        <v>206</v>
      </c>
      <c r="H184" t="s">
        <v>155</v>
      </c>
      <c r="I184" t="s">
        <v>537</v>
      </c>
      <c r="J184" t="s">
        <v>3113</v>
      </c>
      <c r="K184" t="s">
        <v>56</v>
      </c>
      <c r="L184" t="s">
        <v>187</v>
      </c>
      <c r="M184" t="s">
        <v>93</v>
      </c>
      <c r="N184" t="s">
        <v>130</v>
      </c>
      <c r="O184" s="4">
        <v>5</v>
      </c>
      <c r="P184" s="4">
        <v>17</v>
      </c>
      <c r="Q184" t="s">
        <v>138</v>
      </c>
      <c r="R184" s="2">
        <v>46177</v>
      </c>
      <c r="S184" s="4">
        <v>26</v>
      </c>
      <c r="T184" s="3">
        <v>378000000</v>
      </c>
      <c r="U184" t="s">
        <v>42</v>
      </c>
      <c r="V184" t="s">
        <v>59</v>
      </c>
      <c r="W184" t="s">
        <v>355</v>
      </c>
      <c r="Y184" t="s">
        <v>132</v>
      </c>
      <c r="Z184" t="s">
        <v>3179</v>
      </c>
      <c r="AA184" t="s">
        <v>159</v>
      </c>
      <c r="AB184" t="s">
        <v>97</v>
      </c>
      <c r="AC184" t="s">
        <v>159</v>
      </c>
    </row>
    <row r="185" spans="1:29">
      <c r="A185" t="s">
        <v>538</v>
      </c>
      <c r="B185" s="2">
        <v>46174</v>
      </c>
      <c r="C185" t="s">
        <v>30</v>
      </c>
      <c r="D185" t="s">
        <v>134</v>
      </c>
      <c r="E185" t="s">
        <v>75</v>
      </c>
      <c r="F185" t="s">
        <v>76</v>
      </c>
      <c r="G185" t="s">
        <v>387</v>
      </c>
      <c r="H185" t="s">
        <v>78</v>
      </c>
      <c r="I185" t="s">
        <v>494</v>
      </c>
      <c r="J185" t="s">
        <v>3104</v>
      </c>
      <c r="K185" t="s">
        <v>105</v>
      </c>
      <c r="L185" t="s">
        <v>150</v>
      </c>
      <c r="M185" t="s">
        <v>164</v>
      </c>
      <c r="N185" t="s">
        <v>57</v>
      </c>
      <c r="O185" s="4">
        <v>3</v>
      </c>
      <c r="P185" s="4">
        <v>7</v>
      </c>
      <c r="Q185" t="s">
        <v>107</v>
      </c>
      <c r="R185" s="2">
        <v>46164</v>
      </c>
      <c r="S185" s="4">
        <v>39</v>
      </c>
      <c r="T185" s="3">
        <v>109000000</v>
      </c>
      <c r="U185" t="s">
        <v>42</v>
      </c>
      <c r="V185" t="s">
        <v>59</v>
      </c>
      <c r="W185" t="s">
        <v>71</v>
      </c>
      <c r="Y185" t="s">
        <v>165</v>
      </c>
      <c r="Z185" t="s">
        <v>3177</v>
      </c>
      <c r="AA185" t="s">
        <v>86</v>
      </c>
      <c r="AB185" t="s">
        <v>63</v>
      </c>
      <c r="AC185" t="s">
        <v>86</v>
      </c>
    </row>
    <row r="186" spans="1:29">
      <c r="A186" t="s">
        <v>539</v>
      </c>
      <c r="B186" s="2">
        <v>46192</v>
      </c>
      <c r="C186" t="s">
        <v>30</v>
      </c>
      <c r="D186" t="s">
        <v>74</v>
      </c>
      <c r="E186" t="s">
        <v>75</v>
      </c>
      <c r="F186" t="s">
        <v>183</v>
      </c>
      <c r="G186" t="s">
        <v>230</v>
      </c>
      <c r="H186" t="s">
        <v>388</v>
      </c>
      <c r="I186" t="s">
        <v>540</v>
      </c>
      <c r="J186" t="s">
        <v>3114</v>
      </c>
      <c r="K186" t="s">
        <v>105</v>
      </c>
      <c r="L186" t="s">
        <v>150</v>
      </c>
      <c r="M186" t="s">
        <v>93</v>
      </c>
      <c r="N186" t="s">
        <v>57</v>
      </c>
      <c r="O186" s="4">
        <v>3</v>
      </c>
      <c r="P186" s="4">
        <v>7</v>
      </c>
      <c r="Q186" t="s">
        <v>107</v>
      </c>
      <c r="R186" s="2">
        <v>46182</v>
      </c>
      <c r="S186" s="4">
        <v>21</v>
      </c>
      <c r="T186" s="3">
        <v>205000000</v>
      </c>
      <c r="U186" t="s">
        <v>42</v>
      </c>
      <c r="V186" t="s">
        <v>43</v>
      </c>
      <c r="W186" t="s">
        <v>203</v>
      </c>
      <c r="Y186" t="s">
        <v>165</v>
      </c>
      <c r="Z186" t="s">
        <v>3177</v>
      </c>
      <c r="AA186" t="s">
        <v>86</v>
      </c>
      <c r="AB186" t="s">
        <v>63</v>
      </c>
      <c r="AC186" t="s">
        <v>86</v>
      </c>
    </row>
    <row r="187" spans="1:29">
      <c r="A187" t="s">
        <v>541</v>
      </c>
      <c r="B187" s="2">
        <v>46192</v>
      </c>
      <c r="C187" t="s">
        <v>30</v>
      </c>
      <c r="D187" t="s">
        <v>74</v>
      </c>
      <c r="E187" t="s">
        <v>75</v>
      </c>
      <c r="F187" t="s">
        <v>183</v>
      </c>
      <c r="G187" t="s">
        <v>162</v>
      </c>
      <c r="H187" t="s">
        <v>185</v>
      </c>
      <c r="I187" t="s">
        <v>542</v>
      </c>
      <c r="J187" t="s">
        <v>3115</v>
      </c>
      <c r="K187" t="s">
        <v>105</v>
      </c>
      <c r="L187" t="s">
        <v>187</v>
      </c>
      <c r="M187" t="s">
        <v>129</v>
      </c>
      <c r="N187" t="s">
        <v>57</v>
      </c>
      <c r="O187" s="4">
        <v>3</v>
      </c>
      <c r="P187" s="4">
        <v>10</v>
      </c>
      <c r="Q187" t="s">
        <v>41</v>
      </c>
      <c r="R187" s="2">
        <v>46192</v>
      </c>
      <c r="S187" s="4">
        <v>11</v>
      </c>
      <c r="T187" s="3">
        <v>145000000</v>
      </c>
      <c r="U187" t="s">
        <v>42</v>
      </c>
      <c r="V187" t="s">
        <v>59</v>
      </c>
      <c r="W187" t="s">
        <v>71</v>
      </c>
      <c r="Y187" t="s">
        <v>158</v>
      </c>
      <c r="Z187" t="s">
        <v>3177</v>
      </c>
      <c r="AA187" t="s">
        <v>86</v>
      </c>
      <c r="AB187" t="s">
        <v>63</v>
      </c>
      <c r="AC187" t="s">
        <v>86</v>
      </c>
    </row>
    <row r="188" spans="1:29">
      <c r="A188" t="s">
        <v>543</v>
      </c>
      <c r="B188" s="2">
        <v>46198</v>
      </c>
      <c r="C188" t="s">
        <v>30</v>
      </c>
      <c r="D188" t="s">
        <v>49</v>
      </c>
      <c r="E188" t="s">
        <v>100</v>
      </c>
      <c r="F188" t="s">
        <v>146</v>
      </c>
      <c r="G188" t="s">
        <v>212</v>
      </c>
      <c r="H188" t="s">
        <v>148</v>
      </c>
      <c r="I188" t="s">
        <v>490</v>
      </c>
      <c r="J188" t="s">
        <v>3103</v>
      </c>
      <c r="K188" t="s">
        <v>105</v>
      </c>
      <c r="L188" t="s">
        <v>68</v>
      </c>
      <c r="M188" t="s">
        <v>39</v>
      </c>
      <c r="N188" t="s">
        <v>130</v>
      </c>
      <c r="O188" s="4">
        <v>5</v>
      </c>
      <c r="P188" s="4">
        <v>16</v>
      </c>
      <c r="Q188" t="s">
        <v>69</v>
      </c>
      <c r="R188" s="2">
        <v>46194</v>
      </c>
      <c r="S188" s="4">
        <v>9</v>
      </c>
      <c r="T188" s="3">
        <v>343000000</v>
      </c>
      <c r="U188" t="s">
        <v>42</v>
      </c>
      <c r="V188" t="s">
        <v>143</v>
      </c>
      <c r="W188" t="s">
        <v>131</v>
      </c>
      <c r="Y188" t="s">
        <v>334</v>
      </c>
      <c r="Z188" t="s">
        <v>3179</v>
      </c>
      <c r="AA188" t="s">
        <v>109</v>
      </c>
      <c r="AB188" t="s">
        <v>97</v>
      </c>
      <c r="AC188" t="s">
        <v>109</v>
      </c>
    </row>
    <row r="189" spans="1:29">
      <c r="A189" t="s">
        <v>544</v>
      </c>
      <c r="B189" s="2">
        <v>46186</v>
      </c>
      <c r="C189" t="s">
        <v>30</v>
      </c>
      <c r="D189" t="s">
        <v>99</v>
      </c>
      <c r="E189" t="s">
        <v>172</v>
      </c>
      <c r="F189" t="s">
        <v>173</v>
      </c>
      <c r="G189" t="s">
        <v>289</v>
      </c>
      <c r="H189" t="s">
        <v>241</v>
      </c>
      <c r="I189" t="s">
        <v>457</v>
      </c>
      <c r="J189" t="s">
        <v>3092</v>
      </c>
      <c r="K189" t="s">
        <v>105</v>
      </c>
      <c r="L189" t="s">
        <v>80</v>
      </c>
      <c r="M189" t="s">
        <v>39</v>
      </c>
      <c r="N189" t="s">
        <v>94</v>
      </c>
      <c r="O189" s="4">
        <v>4</v>
      </c>
      <c r="P189" s="4">
        <v>11</v>
      </c>
      <c r="Q189" t="s">
        <v>83</v>
      </c>
      <c r="R189" s="2">
        <v>46182</v>
      </c>
      <c r="S189" s="4">
        <v>21</v>
      </c>
      <c r="T189" s="3">
        <v>263000000</v>
      </c>
      <c r="U189" t="s">
        <v>42</v>
      </c>
      <c r="V189" t="s">
        <v>70</v>
      </c>
      <c r="W189" t="s">
        <v>188</v>
      </c>
      <c r="X189" t="s">
        <v>253</v>
      </c>
      <c r="Y189" t="s">
        <v>228</v>
      </c>
      <c r="Z189" t="s">
        <v>3179</v>
      </c>
      <c r="AA189" t="s">
        <v>181</v>
      </c>
      <c r="AB189" t="s">
        <v>97</v>
      </c>
      <c r="AC189" t="s">
        <v>181</v>
      </c>
    </row>
    <row r="190" spans="1:29">
      <c r="A190" t="s">
        <v>545</v>
      </c>
      <c r="B190" s="2">
        <v>46176</v>
      </c>
      <c r="C190" t="s">
        <v>30</v>
      </c>
      <c r="D190" t="s">
        <v>134</v>
      </c>
      <c r="E190" t="s">
        <v>120</v>
      </c>
      <c r="F190" t="s">
        <v>246</v>
      </c>
      <c r="G190" t="s">
        <v>122</v>
      </c>
      <c r="H190" t="s">
        <v>123</v>
      </c>
      <c r="I190" t="s">
        <v>124</v>
      </c>
      <c r="J190" t="s">
        <v>3015</v>
      </c>
      <c r="K190" t="s">
        <v>105</v>
      </c>
      <c r="L190" t="s">
        <v>68</v>
      </c>
      <c r="M190" t="s">
        <v>93</v>
      </c>
      <c r="N190" t="s">
        <v>130</v>
      </c>
      <c r="O190" s="4">
        <v>5</v>
      </c>
      <c r="P190" s="4">
        <v>10</v>
      </c>
      <c r="Q190" t="s">
        <v>69</v>
      </c>
      <c r="R190" s="2">
        <v>46175</v>
      </c>
      <c r="S190" s="4">
        <v>28</v>
      </c>
      <c r="T190" s="3">
        <v>105000000</v>
      </c>
      <c r="U190" t="s">
        <v>42</v>
      </c>
      <c r="V190" t="s">
        <v>70</v>
      </c>
      <c r="W190" t="s">
        <v>144</v>
      </c>
      <c r="Y190" t="s">
        <v>254</v>
      </c>
      <c r="Z190" t="s">
        <v>3179</v>
      </c>
      <c r="AA190" t="s">
        <v>97</v>
      </c>
      <c r="AB190" t="s">
        <v>97</v>
      </c>
      <c r="AC190" t="s">
        <v>97</v>
      </c>
    </row>
    <row r="191" spans="1:29">
      <c r="A191" t="s">
        <v>546</v>
      </c>
      <c r="B191" s="2">
        <v>46191</v>
      </c>
      <c r="C191" t="s">
        <v>30</v>
      </c>
      <c r="D191" t="s">
        <v>74</v>
      </c>
      <c r="E191" t="s">
        <v>152</v>
      </c>
      <c r="F191" t="s">
        <v>221</v>
      </c>
      <c r="G191" t="s">
        <v>286</v>
      </c>
      <c r="H191" t="s">
        <v>207</v>
      </c>
      <c r="I191" t="s">
        <v>547</v>
      </c>
      <c r="J191" t="s">
        <v>3116</v>
      </c>
      <c r="K191" t="s">
        <v>116</v>
      </c>
      <c r="L191" t="s">
        <v>80</v>
      </c>
      <c r="M191" t="s">
        <v>39</v>
      </c>
      <c r="N191" t="s">
        <v>82</v>
      </c>
      <c r="O191" s="4">
        <v>1</v>
      </c>
      <c r="P191" s="4">
        <v>15</v>
      </c>
      <c r="Q191" t="s">
        <v>142</v>
      </c>
      <c r="R191" s="2">
        <v>46189</v>
      </c>
      <c r="S191" s="4">
        <v>14</v>
      </c>
      <c r="T191" s="3">
        <v>147000000</v>
      </c>
      <c r="U191" t="s">
        <v>42</v>
      </c>
      <c r="V191" t="s">
        <v>43</v>
      </c>
      <c r="W191" t="s">
        <v>404</v>
      </c>
      <c r="Y191" t="s">
        <v>85</v>
      </c>
      <c r="Z191" t="s">
        <v>3180</v>
      </c>
      <c r="AA191" t="s">
        <v>159</v>
      </c>
      <c r="AB191" t="s">
        <v>193</v>
      </c>
      <c r="AC191" t="s">
        <v>159</v>
      </c>
    </row>
    <row r="192" spans="1:29">
      <c r="A192" t="s">
        <v>548</v>
      </c>
      <c r="B192" s="2">
        <v>46189</v>
      </c>
      <c r="C192" t="s">
        <v>30</v>
      </c>
      <c r="D192" t="s">
        <v>74</v>
      </c>
      <c r="E192" t="s">
        <v>120</v>
      </c>
      <c r="F192" t="s">
        <v>167</v>
      </c>
      <c r="G192" t="s">
        <v>135</v>
      </c>
      <c r="H192" t="s">
        <v>136</v>
      </c>
      <c r="I192" t="s">
        <v>137</v>
      </c>
      <c r="J192" t="s">
        <v>3017</v>
      </c>
      <c r="K192" t="s">
        <v>105</v>
      </c>
      <c r="L192" t="s">
        <v>80</v>
      </c>
      <c r="M192" t="s">
        <v>81</v>
      </c>
      <c r="N192" t="s">
        <v>94</v>
      </c>
      <c r="O192" s="4">
        <v>4</v>
      </c>
      <c r="P192" s="4">
        <v>15</v>
      </c>
      <c r="Q192" t="s">
        <v>142</v>
      </c>
      <c r="R192" s="2">
        <v>46182</v>
      </c>
      <c r="S192" s="4">
        <v>21</v>
      </c>
      <c r="T192" s="3">
        <v>223000000</v>
      </c>
      <c r="U192" t="s">
        <v>42</v>
      </c>
      <c r="V192" t="s">
        <v>70</v>
      </c>
      <c r="W192" t="s">
        <v>95</v>
      </c>
      <c r="X192" t="s">
        <v>117</v>
      </c>
      <c r="Y192" t="s">
        <v>96</v>
      </c>
      <c r="Z192" t="s">
        <v>3179</v>
      </c>
      <c r="AA192" t="s">
        <v>97</v>
      </c>
      <c r="AB192" t="s">
        <v>97</v>
      </c>
      <c r="AC192" t="s">
        <v>97</v>
      </c>
    </row>
    <row r="193" spans="1:29">
      <c r="A193" t="s">
        <v>549</v>
      </c>
      <c r="B193" s="2">
        <v>46199</v>
      </c>
      <c r="C193" t="s">
        <v>30</v>
      </c>
      <c r="D193" t="s">
        <v>49</v>
      </c>
      <c r="E193" t="s">
        <v>172</v>
      </c>
      <c r="F193" t="s">
        <v>195</v>
      </c>
      <c r="G193" t="s">
        <v>289</v>
      </c>
      <c r="H193" t="s">
        <v>175</v>
      </c>
      <c r="I193" t="s">
        <v>358</v>
      </c>
      <c r="J193" t="s">
        <v>3062</v>
      </c>
      <c r="K193" t="s">
        <v>105</v>
      </c>
      <c r="L193" t="s">
        <v>68</v>
      </c>
      <c r="M193" t="s">
        <v>39</v>
      </c>
      <c r="N193" t="s">
        <v>40</v>
      </c>
      <c r="O193" s="4">
        <v>2</v>
      </c>
      <c r="P193" s="4">
        <v>9</v>
      </c>
      <c r="Q193" t="s">
        <v>41</v>
      </c>
      <c r="R193" s="2">
        <v>46195</v>
      </c>
      <c r="S193" s="4">
        <v>8</v>
      </c>
      <c r="T193" s="3">
        <v>89000000</v>
      </c>
      <c r="U193" t="s">
        <v>42</v>
      </c>
      <c r="V193" t="s">
        <v>43</v>
      </c>
      <c r="W193" t="s">
        <v>178</v>
      </c>
      <c r="Y193" t="s">
        <v>309</v>
      </c>
      <c r="Z193" t="s">
        <v>3178</v>
      </c>
      <c r="AA193" t="s">
        <v>181</v>
      </c>
      <c r="AB193" t="s">
        <v>87</v>
      </c>
      <c r="AC193" t="s">
        <v>181</v>
      </c>
    </row>
    <row r="194" spans="1:29">
      <c r="A194" t="s">
        <v>550</v>
      </c>
      <c r="B194" s="2">
        <v>46181</v>
      </c>
      <c r="C194" t="s">
        <v>30</v>
      </c>
      <c r="D194" t="s">
        <v>99</v>
      </c>
      <c r="E194" t="s">
        <v>172</v>
      </c>
      <c r="F194" t="s">
        <v>173</v>
      </c>
      <c r="G194" t="s">
        <v>476</v>
      </c>
      <c r="H194" t="s">
        <v>241</v>
      </c>
      <c r="I194" t="s">
        <v>457</v>
      </c>
      <c r="J194" t="s">
        <v>3092</v>
      </c>
      <c r="K194" t="s">
        <v>105</v>
      </c>
      <c r="L194" t="s">
        <v>169</v>
      </c>
      <c r="M194" t="s">
        <v>56</v>
      </c>
      <c r="N194" t="s">
        <v>94</v>
      </c>
      <c r="O194" s="4">
        <v>4</v>
      </c>
      <c r="P194" s="4">
        <v>10</v>
      </c>
      <c r="Q194" t="s">
        <v>41</v>
      </c>
      <c r="R194" s="2">
        <v>46180</v>
      </c>
      <c r="S194" s="4">
        <v>23</v>
      </c>
      <c r="T194" s="3">
        <v>251000000</v>
      </c>
      <c r="U194" t="s">
        <v>42</v>
      </c>
      <c r="V194" t="s">
        <v>59</v>
      </c>
      <c r="W194" t="s">
        <v>170</v>
      </c>
      <c r="Y194" t="s">
        <v>108</v>
      </c>
      <c r="Z194" t="s">
        <v>3179</v>
      </c>
      <c r="AA194" t="s">
        <v>181</v>
      </c>
      <c r="AB194" t="s">
        <v>97</v>
      </c>
      <c r="AC194" t="s">
        <v>181</v>
      </c>
    </row>
    <row r="195" spans="1:29">
      <c r="A195" t="s">
        <v>551</v>
      </c>
      <c r="B195" s="2">
        <v>46181</v>
      </c>
      <c r="C195" t="s">
        <v>30</v>
      </c>
      <c r="D195" t="s">
        <v>99</v>
      </c>
      <c r="E195" t="s">
        <v>172</v>
      </c>
      <c r="F195" t="s">
        <v>173</v>
      </c>
      <c r="G195" t="s">
        <v>278</v>
      </c>
      <c r="H195" t="s">
        <v>317</v>
      </c>
      <c r="I195" t="s">
        <v>534</v>
      </c>
      <c r="J195" t="s">
        <v>3112</v>
      </c>
      <c r="K195" t="s">
        <v>92</v>
      </c>
      <c r="L195" t="s">
        <v>38</v>
      </c>
      <c r="M195" t="s">
        <v>81</v>
      </c>
      <c r="N195" t="s">
        <v>82</v>
      </c>
      <c r="O195" s="4">
        <v>1</v>
      </c>
      <c r="P195" s="4">
        <v>10</v>
      </c>
      <c r="Q195" t="s">
        <v>58</v>
      </c>
      <c r="R195" s="2">
        <v>46175</v>
      </c>
      <c r="S195" s="4">
        <v>28</v>
      </c>
      <c r="T195" s="3">
        <v>49000000</v>
      </c>
      <c r="U195" t="s">
        <v>42</v>
      </c>
      <c r="V195" t="s">
        <v>43</v>
      </c>
      <c r="W195" t="s">
        <v>404</v>
      </c>
      <c r="Y195" t="s">
        <v>330</v>
      </c>
      <c r="Z195" t="s">
        <v>3178</v>
      </c>
      <c r="AA195" t="s">
        <v>181</v>
      </c>
      <c r="AB195" t="s">
        <v>87</v>
      </c>
      <c r="AC195" t="s">
        <v>181</v>
      </c>
    </row>
    <row r="196" spans="1:29">
      <c r="A196" t="s">
        <v>552</v>
      </c>
      <c r="B196" s="2">
        <v>46202</v>
      </c>
      <c r="C196" t="s">
        <v>30</v>
      </c>
      <c r="D196" t="s">
        <v>31</v>
      </c>
      <c r="E196" t="s">
        <v>111</v>
      </c>
      <c r="F196" t="s">
        <v>190</v>
      </c>
      <c r="G196" t="s">
        <v>113</v>
      </c>
      <c r="H196" t="s">
        <v>191</v>
      </c>
      <c r="I196" t="s">
        <v>467</v>
      </c>
      <c r="J196" t="s">
        <v>3096</v>
      </c>
      <c r="K196" t="s">
        <v>37</v>
      </c>
      <c r="L196" t="s">
        <v>169</v>
      </c>
      <c r="M196" t="s">
        <v>129</v>
      </c>
      <c r="N196" t="s">
        <v>130</v>
      </c>
      <c r="O196" s="4">
        <v>5</v>
      </c>
      <c r="P196" s="4">
        <v>9</v>
      </c>
      <c r="Q196" t="s">
        <v>58</v>
      </c>
      <c r="R196" s="2">
        <v>46202</v>
      </c>
      <c r="S196" s="4">
        <v>1</v>
      </c>
      <c r="T196" s="3">
        <v>136000000</v>
      </c>
      <c r="U196" t="s">
        <v>42</v>
      </c>
      <c r="V196" t="s">
        <v>143</v>
      </c>
      <c r="W196" t="s">
        <v>252</v>
      </c>
      <c r="Y196" t="s">
        <v>334</v>
      </c>
      <c r="Z196" t="s">
        <v>3179</v>
      </c>
      <c r="AA196" t="s">
        <v>118</v>
      </c>
      <c r="AB196" t="s">
        <v>97</v>
      </c>
      <c r="AC196" t="s">
        <v>118</v>
      </c>
    </row>
    <row r="197" spans="1:29">
      <c r="A197" t="s">
        <v>553</v>
      </c>
      <c r="B197" s="2">
        <v>46198</v>
      </c>
      <c r="C197" t="s">
        <v>30</v>
      </c>
      <c r="D197" t="s">
        <v>49</v>
      </c>
      <c r="E197" t="s">
        <v>100</v>
      </c>
      <c r="F197" t="s">
        <v>140</v>
      </c>
      <c r="G197" t="s">
        <v>313</v>
      </c>
      <c r="H197" t="s">
        <v>201</v>
      </c>
      <c r="I197" t="s">
        <v>554</v>
      </c>
      <c r="J197" t="s">
        <v>3117</v>
      </c>
      <c r="K197" t="s">
        <v>56</v>
      </c>
      <c r="L197" t="s">
        <v>38</v>
      </c>
      <c r="M197" t="s">
        <v>129</v>
      </c>
      <c r="N197" t="s">
        <v>213</v>
      </c>
      <c r="O197" s="4">
        <v>6</v>
      </c>
      <c r="P197" s="4">
        <v>10</v>
      </c>
      <c r="Q197" t="s">
        <v>41</v>
      </c>
      <c r="R197" s="2">
        <v>46188</v>
      </c>
      <c r="S197" s="4">
        <v>15</v>
      </c>
      <c r="T197" s="3">
        <v>183000000</v>
      </c>
      <c r="U197" t="s">
        <v>214</v>
      </c>
      <c r="V197" t="s">
        <v>70</v>
      </c>
      <c r="W197" t="s">
        <v>438</v>
      </c>
      <c r="Y197" t="s">
        <v>249</v>
      </c>
      <c r="Z197" t="s">
        <v>3179</v>
      </c>
      <c r="AA197" t="s">
        <v>109</v>
      </c>
      <c r="AB197" t="s">
        <v>97</v>
      </c>
      <c r="AC197" t="s">
        <v>109</v>
      </c>
    </row>
    <row r="198" spans="1:29">
      <c r="A198" t="s">
        <v>555</v>
      </c>
      <c r="B198" s="2">
        <v>46189</v>
      </c>
      <c r="C198" t="s">
        <v>30</v>
      </c>
      <c r="D198" t="s">
        <v>74</v>
      </c>
      <c r="E198" t="s">
        <v>75</v>
      </c>
      <c r="F198" t="s">
        <v>183</v>
      </c>
      <c r="G198" t="s">
        <v>162</v>
      </c>
      <c r="H198" t="s">
        <v>388</v>
      </c>
      <c r="I198" t="s">
        <v>556</v>
      </c>
      <c r="J198" t="s">
        <v>3118</v>
      </c>
      <c r="K198" t="s">
        <v>105</v>
      </c>
      <c r="L198" t="s">
        <v>80</v>
      </c>
      <c r="M198" t="s">
        <v>81</v>
      </c>
      <c r="N198" t="s">
        <v>94</v>
      </c>
      <c r="O198" s="4">
        <v>4</v>
      </c>
      <c r="P198" s="4">
        <v>7</v>
      </c>
      <c r="Q198" t="s">
        <v>107</v>
      </c>
      <c r="R198" s="2">
        <v>46186</v>
      </c>
      <c r="S198" s="4">
        <v>17</v>
      </c>
      <c r="T198" s="3">
        <v>241000000</v>
      </c>
      <c r="U198" t="s">
        <v>42</v>
      </c>
      <c r="V198" t="s">
        <v>59</v>
      </c>
      <c r="W198" t="s">
        <v>188</v>
      </c>
      <c r="X198" t="s">
        <v>117</v>
      </c>
      <c r="Y198" t="s">
        <v>268</v>
      </c>
      <c r="Z198" t="s">
        <v>3179</v>
      </c>
      <c r="AA198" t="s">
        <v>86</v>
      </c>
      <c r="AB198" t="s">
        <v>97</v>
      </c>
      <c r="AC198" t="s">
        <v>86</v>
      </c>
    </row>
    <row r="199" spans="1:29">
      <c r="A199" t="s">
        <v>557</v>
      </c>
      <c r="B199" s="2">
        <v>46181</v>
      </c>
      <c r="C199" t="s">
        <v>30</v>
      </c>
      <c r="D199" t="s">
        <v>99</v>
      </c>
      <c r="E199" t="s">
        <v>50</v>
      </c>
      <c r="F199" t="s">
        <v>89</v>
      </c>
      <c r="G199" t="s">
        <v>270</v>
      </c>
      <c r="H199" t="s">
        <v>53</v>
      </c>
      <c r="I199" t="s">
        <v>368</v>
      </c>
      <c r="J199" t="s">
        <v>3064</v>
      </c>
      <c r="K199" t="s">
        <v>92</v>
      </c>
      <c r="L199" t="s">
        <v>55</v>
      </c>
      <c r="M199" t="s">
        <v>56</v>
      </c>
      <c r="N199" t="s">
        <v>213</v>
      </c>
      <c r="O199" s="4">
        <v>6</v>
      </c>
      <c r="P199" s="4">
        <v>9</v>
      </c>
      <c r="Q199" t="s">
        <v>41</v>
      </c>
      <c r="R199" s="2">
        <v>46176</v>
      </c>
      <c r="S199" s="4">
        <v>27</v>
      </c>
      <c r="T199" s="3">
        <v>208000000</v>
      </c>
      <c r="U199" t="s">
        <v>42</v>
      </c>
      <c r="V199" t="s">
        <v>70</v>
      </c>
      <c r="W199" t="s">
        <v>215</v>
      </c>
      <c r="Y199" t="s">
        <v>432</v>
      </c>
      <c r="Z199" t="s">
        <v>3179</v>
      </c>
      <c r="AA199" t="s">
        <v>62</v>
      </c>
      <c r="AB199" t="s">
        <v>97</v>
      </c>
      <c r="AC199" t="s">
        <v>62</v>
      </c>
    </row>
    <row r="200" spans="1:29">
      <c r="A200" t="s">
        <v>558</v>
      </c>
      <c r="B200" s="2">
        <v>46194</v>
      </c>
      <c r="C200" t="s">
        <v>30</v>
      </c>
      <c r="D200" t="s">
        <v>74</v>
      </c>
      <c r="E200" t="s">
        <v>172</v>
      </c>
      <c r="F200" t="s">
        <v>277</v>
      </c>
      <c r="G200" t="s">
        <v>174</v>
      </c>
      <c r="H200" t="s">
        <v>241</v>
      </c>
      <c r="I200" t="s">
        <v>559</v>
      </c>
      <c r="J200" t="s">
        <v>3119</v>
      </c>
      <c r="K200" t="s">
        <v>37</v>
      </c>
      <c r="L200" t="s">
        <v>38</v>
      </c>
      <c r="M200" t="s">
        <v>129</v>
      </c>
      <c r="N200" t="s">
        <v>40</v>
      </c>
      <c r="O200" s="4">
        <v>2</v>
      </c>
      <c r="P200" s="4">
        <v>10</v>
      </c>
      <c r="Q200" t="s">
        <v>69</v>
      </c>
      <c r="R200" s="2">
        <v>46188</v>
      </c>
      <c r="S200" s="4">
        <v>15</v>
      </c>
      <c r="T200" s="3">
        <v>254000000</v>
      </c>
      <c r="U200" t="s">
        <v>42</v>
      </c>
      <c r="V200" t="s">
        <v>43</v>
      </c>
      <c r="W200" t="s">
        <v>178</v>
      </c>
      <c r="Y200" t="s">
        <v>180</v>
      </c>
      <c r="Z200" t="s">
        <v>3178</v>
      </c>
      <c r="AA200" t="s">
        <v>181</v>
      </c>
      <c r="AB200" t="s">
        <v>87</v>
      </c>
      <c r="AC200" t="s">
        <v>181</v>
      </c>
    </row>
    <row r="201" spans="1:29">
      <c r="A201" t="s">
        <v>560</v>
      </c>
      <c r="B201" s="2">
        <v>46175</v>
      </c>
      <c r="C201" t="s">
        <v>30</v>
      </c>
      <c r="D201" t="s">
        <v>134</v>
      </c>
      <c r="E201" t="s">
        <v>50</v>
      </c>
      <c r="F201" t="s">
        <v>351</v>
      </c>
      <c r="G201" t="s">
        <v>65</v>
      </c>
      <c r="H201" t="s">
        <v>66</v>
      </c>
      <c r="I201" t="s">
        <v>341</v>
      </c>
      <c r="J201" t="s">
        <v>3056</v>
      </c>
      <c r="K201" t="s">
        <v>37</v>
      </c>
      <c r="L201" t="s">
        <v>80</v>
      </c>
      <c r="M201" t="s">
        <v>81</v>
      </c>
      <c r="N201" t="s">
        <v>213</v>
      </c>
      <c r="O201" s="4">
        <v>6</v>
      </c>
      <c r="P201" s="4">
        <v>12</v>
      </c>
      <c r="Q201" t="s">
        <v>58</v>
      </c>
      <c r="R201" s="2">
        <v>46174</v>
      </c>
      <c r="S201" s="4">
        <v>29</v>
      </c>
      <c r="T201" s="3">
        <v>133000000</v>
      </c>
      <c r="U201" t="s">
        <v>42</v>
      </c>
      <c r="V201" t="s">
        <v>70</v>
      </c>
      <c r="W201" t="s">
        <v>390</v>
      </c>
      <c r="Y201" t="s">
        <v>424</v>
      </c>
      <c r="Z201" t="s">
        <v>3179</v>
      </c>
      <c r="AA201" t="s">
        <v>62</v>
      </c>
      <c r="AB201" t="s">
        <v>97</v>
      </c>
      <c r="AC201" t="s">
        <v>62</v>
      </c>
    </row>
    <row r="202" spans="1:29">
      <c r="A202" t="s">
        <v>561</v>
      </c>
      <c r="B202" s="2">
        <v>46179</v>
      </c>
      <c r="C202" t="s">
        <v>30</v>
      </c>
      <c r="D202" t="s">
        <v>134</v>
      </c>
      <c r="E202" t="s">
        <v>50</v>
      </c>
      <c r="F202" t="s">
        <v>51</v>
      </c>
      <c r="G202" t="s">
        <v>234</v>
      </c>
      <c r="H202" t="s">
        <v>53</v>
      </c>
      <c r="I202" t="s">
        <v>307</v>
      </c>
      <c r="J202" t="s">
        <v>3047</v>
      </c>
      <c r="K202" t="s">
        <v>37</v>
      </c>
      <c r="L202" t="s">
        <v>169</v>
      </c>
      <c r="M202" t="s">
        <v>129</v>
      </c>
      <c r="N202" t="s">
        <v>196</v>
      </c>
      <c r="O202" s="4">
        <v>7</v>
      </c>
      <c r="P202" s="4">
        <v>15</v>
      </c>
      <c r="Q202" t="s">
        <v>142</v>
      </c>
      <c r="R202" s="2">
        <v>46171</v>
      </c>
      <c r="S202" s="4">
        <v>32</v>
      </c>
      <c r="T202" s="3">
        <v>272000000</v>
      </c>
      <c r="U202" t="s">
        <v>196</v>
      </c>
      <c r="V202" t="s">
        <v>70</v>
      </c>
      <c r="W202" t="s">
        <v>197</v>
      </c>
      <c r="Y202" t="s">
        <v>198</v>
      </c>
      <c r="Z202" t="s">
        <v>3181</v>
      </c>
      <c r="AA202" t="s">
        <v>62</v>
      </c>
      <c r="AB202" t="s">
        <v>199</v>
      </c>
      <c r="AC202" t="s">
        <v>62</v>
      </c>
    </row>
    <row r="203" spans="1:29">
      <c r="A203" t="s">
        <v>562</v>
      </c>
      <c r="B203" s="2">
        <v>46181</v>
      </c>
      <c r="C203" t="s">
        <v>30</v>
      </c>
      <c r="D203" t="s">
        <v>99</v>
      </c>
      <c r="E203" t="s">
        <v>100</v>
      </c>
      <c r="F203" t="s">
        <v>146</v>
      </c>
      <c r="G203" t="s">
        <v>147</v>
      </c>
      <c r="H203" t="s">
        <v>103</v>
      </c>
      <c r="I203" t="s">
        <v>563</v>
      </c>
      <c r="J203" t="s">
        <v>3120</v>
      </c>
      <c r="K203" t="s">
        <v>56</v>
      </c>
      <c r="L203" t="s">
        <v>150</v>
      </c>
      <c r="M203" t="s">
        <v>164</v>
      </c>
      <c r="N203" t="s">
        <v>196</v>
      </c>
      <c r="O203" s="4">
        <v>7</v>
      </c>
      <c r="P203" s="4">
        <v>20</v>
      </c>
      <c r="Q203" t="s">
        <v>107</v>
      </c>
      <c r="R203" s="2">
        <v>46172</v>
      </c>
      <c r="S203" s="4">
        <v>31</v>
      </c>
      <c r="T203" s="3">
        <v>432000000</v>
      </c>
      <c r="U203" t="s">
        <v>564</v>
      </c>
      <c r="V203" t="s">
        <v>70</v>
      </c>
      <c r="W203" t="s">
        <v>243</v>
      </c>
      <c r="Y203" t="s">
        <v>198</v>
      </c>
      <c r="Z203" t="s">
        <v>3181</v>
      </c>
      <c r="AA203" t="s">
        <v>109</v>
      </c>
      <c r="AB203" t="s">
        <v>199</v>
      </c>
      <c r="AC203" t="s">
        <v>109</v>
      </c>
    </row>
    <row r="204" spans="1:29">
      <c r="A204" t="s">
        <v>565</v>
      </c>
      <c r="B204" s="2">
        <v>46183</v>
      </c>
      <c r="C204" t="s">
        <v>30</v>
      </c>
      <c r="D204" t="s">
        <v>99</v>
      </c>
      <c r="E204" t="s">
        <v>120</v>
      </c>
      <c r="F204" t="s">
        <v>121</v>
      </c>
      <c r="G204" t="s">
        <v>122</v>
      </c>
      <c r="H204" t="s">
        <v>136</v>
      </c>
      <c r="I204" t="s">
        <v>137</v>
      </c>
      <c r="J204" t="s">
        <v>3017</v>
      </c>
      <c r="K204" t="s">
        <v>116</v>
      </c>
      <c r="L204" t="s">
        <v>80</v>
      </c>
      <c r="M204" t="s">
        <v>129</v>
      </c>
      <c r="N204" t="s">
        <v>94</v>
      </c>
      <c r="O204" s="4">
        <v>4</v>
      </c>
      <c r="P204" s="4">
        <v>9</v>
      </c>
      <c r="Q204" t="s">
        <v>142</v>
      </c>
      <c r="R204" s="2">
        <v>46183</v>
      </c>
      <c r="S204" s="4">
        <v>20</v>
      </c>
      <c r="T204" s="3">
        <v>94000000</v>
      </c>
      <c r="U204" t="s">
        <v>260</v>
      </c>
      <c r="V204" t="s">
        <v>59</v>
      </c>
      <c r="W204" t="s">
        <v>170</v>
      </c>
      <c r="X204" t="s">
        <v>381</v>
      </c>
      <c r="Y204" t="s">
        <v>108</v>
      </c>
      <c r="Z204" t="s">
        <v>3179</v>
      </c>
      <c r="AA204" t="s">
        <v>97</v>
      </c>
      <c r="AB204" t="s">
        <v>97</v>
      </c>
      <c r="AC204" t="s">
        <v>97</v>
      </c>
    </row>
    <row r="205" spans="1:29">
      <c r="A205" t="s">
        <v>566</v>
      </c>
      <c r="B205" s="2">
        <v>46186</v>
      </c>
      <c r="C205" t="s">
        <v>30</v>
      </c>
      <c r="D205" t="s">
        <v>99</v>
      </c>
      <c r="E205" t="s">
        <v>32</v>
      </c>
      <c r="F205" t="s">
        <v>256</v>
      </c>
      <c r="G205" t="s">
        <v>463</v>
      </c>
      <c r="H205" t="s">
        <v>35</v>
      </c>
      <c r="I205" t="s">
        <v>320</v>
      </c>
      <c r="J205" t="s">
        <v>3051</v>
      </c>
      <c r="K205" t="s">
        <v>37</v>
      </c>
      <c r="L205" t="s">
        <v>55</v>
      </c>
      <c r="M205" t="s">
        <v>93</v>
      </c>
      <c r="N205" t="s">
        <v>94</v>
      </c>
      <c r="O205" s="4">
        <v>4</v>
      </c>
      <c r="P205" s="4">
        <v>3</v>
      </c>
      <c r="Q205" t="s">
        <v>41</v>
      </c>
      <c r="R205" s="2">
        <v>46177</v>
      </c>
      <c r="S205" s="4">
        <v>26</v>
      </c>
      <c r="T205" s="3">
        <v>273000000</v>
      </c>
      <c r="U205" t="s">
        <v>42</v>
      </c>
      <c r="V205" t="s">
        <v>70</v>
      </c>
      <c r="W205" t="s">
        <v>188</v>
      </c>
      <c r="Y205" t="s">
        <v>108</v>
      </c>
      <c r="Z205" t="s">
        <v>3179</v>
      </c>
      <c r="AA205" t="s">
        <v>46</v>
      </c>
      <c r="AB205" t="s">
        <v>97</v>
      </c>
      <c r="AC205" t="s">
        <v>46</v>
      </c>
    </row>
    <row r="206" spans="1:29">
      <c r="A206" t="s">
        <v>567</v>
      </c>
      <c r="B206" s="2">
        <v>46203</v>
      </c>
      <c r="C206" t="s">
        <v>30</v>
      </c>
      <c r="D206" t="s">
        <v>31</v>
      </c>
      <c r="E206" t="s">
        <v>32</v>
      </c>
      <c r="F206" t="s">
        <v>256</v>
      </c>
      <c r="G206" t="s">
        <v>361</v>
      </c>
      <c r="H206" t="s">
        <v>258</v>
      </c>
      <c r="I206" t="s">
        <v>568</v>
      </c>
      <c r="J206" t="s">
        <v>3121</v>
      </c>
      <c r="K206" t="s">
        <v>92</v>
      </c>
      <c r="L206" t="s">
        <v>169</v>
      </c>
      <c r="M206" t="s">
        <v>106</v>
      </c>
      <c r="N206" t="s">
        <v>57</v>
      </c>
      <c r="O206" s="4">
        <v>3</v>
      </c>
      <c r="P206" s="4">
        <v>4</v>
      </c>
      <c r="Q206" t="s">
        <v>69</v>
      </c>
      <c r="R206" s="2">
        <v>46203</v>
      </c>
      <c r="S206" s="4">
        <v>0</v>
      </c>
      <c r="T206" s="3">
        <v>190000000</v>
      </c>
      <c r="U206" t="s">
        <v>42</v>
      </c>
      <c r="V206" t="s">
        <v>59</v>
      </c>
      <c r="W206" t="s">
        <v>60</v>
      </c>
      <c r="Y206" t="s">
        <v>61</v>
      </c>
      <c r="Z206" t="s">
        <v>3177</v>
      </c>
      <c r="AA206" t="s">
        <v>46</v>
      </c>
      <c r="AB206" t="s">
        <v>63</v>
      </c>
      <c r="AC206" t="s">
        <v>46</v>
      </c>
    </row>
    <row r="207" spans="1:29">
      <c r="A207" t="s">
        <v>569</v>
      </c>
      <c r="B207" s="2">
        <v>46192</v>
      </c>
      <c r="C207" t="s">
        <v>30</v>
      </c>
      <c r="D207" t="s">
        <v>74</v>
      </c>
      <c r="E207" t="s">
        <v>120</v>
      </c>
      <c r="F207" t="s">
        <v>167</v>
      </c>
      <c r="G207" t="s">
        <v>420</v>
      </c>
      <c r="H207" t="s">
        <v>123</v>
      </c>
      <c r="I207" t="s">
        <v>397</v>
      </c>
      <c r="J207" t="s">
        <v>3073</v>
      </c>
      <c r="K207" t="s">
        <v>37</v>
      </c>
      <c r="L207" t="s">
        <v>80</v>
      </c>
      <c r="M207" t="s">
        <v>93</v>
      </c>
      <c r="N207" t="s">
        <v>40</v>
      </c>
      <c r="O207" s="4">
        <v>2</v>
      </c>
      <c r="P207" s="4">
        <v>12</v>
      </c>
      <c r="Q207" t="s">
        <v>83</v>
      </c>
      <c r="R207" s="2">
        <v>46192</v>
      </c>
      <c r="S207" s="4">
        <v>11</v>
      </c>
      <c r="T207" s="3">
        <v>85000000</v>
      </c>
      <c r="U207" t="s">
        <v>42</v>
      </c>
      <c r="V207" t="s">
        <v>43</v>
      </c>
      <c r="W207" t="s">
        <v>44</v>
      </c>
      <c r="Y207" t="s">
        <v>309</v>
      </c>
      <c r="Z207" t="s">
        <v>3180</v>
      </c>
      <c r="AA207" t="s">
        <v>97</v>
      </c>
      <c r="AB207" t="s">
        <v>193</v>
      </c>
      <c r="AC207" t="s">
        <v>97</v>
      </c>
    </row>
    <row r="208" spans="1:29">
      <c r="A208" t="s">
        <v>570</v>
      </c>
      <c r="B208" s="2">
        <v>46185</v>
      </c>
      <c r="C208" t="s">
        <v>30</v>
      </c>
      <c r="D208" t="s">
        <v>99</v>
      </c>
      <c r="E208" t="s">
        <v>152</v>
      </c>
      <c r="F208" t="s">
        <v>205</v>
      </c>
      <c r="G208" t="s">
        <v>206</v>
      </c>
      <c r="H208" t="s">
        <v>207</v>
      </c>
      <c r="I208" t="s">
        <v>571</v>
      </c>
      <c r="J208" t="s">
        <v>3122</v>
      </c>
      <c r="K208" t="s">
        <v>56</v>
      </c>
      <c r="L208" t="s">
        <v>38</v>
      </c>
      <c r="M208" t="s">
        <v>56</v>
      </c>
      <c r="N208" t="s">
        <v>94</v>
      </c>
      <c r="O208" s="4">
        <v>4</v>
      </c>
      <c r="P208" s="4">
        <v>12</v>
      </c>
      <c r="Q208" t="s">
        <v>83</v>
      </c>
      <c r="R208" s="2">
        <v>46182</v>
      </c>
      <c r="S208" s="4">
        <v>21</v>
      </c>
      <c r="T208" s="3">
        <v>464000000</v>
      </c>
      <c r="U208" t="s">
        <v>42</v>
      </c>
      <c r="V208" t="s">
        <v>143</v>
      </c>
      <c r="W208" t="s">
        <v>267</v>
      </c>
      <c r="X208" t="s">
        <v>253</v>
      </c>
      <c r="Y208" t="s">
        <v>96</v>
      </c>
      <c r="Z208" t="s">
        <v>3179</v>
      </c>
      <c r="AA208" t="s">
        <v>159</v>
      </c>
      <c r="AB208" t="s">
        <v>97</v>
      </c>
      <c r="AC208" t="s">
        <v>159</v>
      </c>
    </row>
    <row r="209" spans="1:29">
      <c r="A209" t="s">
        <v>572</v>
      </c>
      <c r="B209" s="2">
        <v>46178</v>
      </c>
      <c r="C209" t="s">
        <v>30</v>
      </c>
      <c r="D209" t="s">
        <v>134</v>
      </c>
      <c r="E209" t="s">
        <v>100</v>
      </c>
      <c r="F209" t="s">
        <v>146</v>
      </c>
      <c r="G209" t="s">
        <v>313</v>
      </c>
      <c r="H209" t="s">
        <v>201</v>
      </c>
      <c r="I209" t="s">
        <v>416</v>
      </c>
      <c r="J209" t="s">
        <v>3078</v>
      </c>
      <c r="K209" t="s">
        <v>105</v>
      </c>
      <c r="L209" t="s">
        <v>38</v>
      </c>
      <c r="M209" t="s">
        <v>39</v>
      </c>
      <c r="N209" t="s">
        <v>57</v>
      </c>
      <c r="O209" s="4">
        <v>3</v>
      </c>
      <c r="P209" s="4">
        <v>6</v>
      </c>
      <c r="Q209" t="s">
        <v>58</v>
      </c>
      <c r="R209" s="2">
        <v>46174</v>
      </c>
      <c r="S209" s="4">
        <v>29</v>
      </c>
      <c r="T209" s="3">
        <v>115000000</v>
      </c>
      <c r="U209" t="s">
        <v>42</v>
      </c>
      <c r="V209" t="s">
        <v>59</v>
      </c>
      <c r="W209" t="s">
        <v>60</v>
      </c>
      <c r="Y209" t="s">
        <v>165</v>
      </c>
      <c r="Z209" t="s">
        <v>3177</v>
      </c>
      <c r="AA209" t="s">
        <v>109</v>
      </c>
      <c r="AB209" t="s">
        <v>63</v>
      </c>
      <c r="AC209" t="s">
        <v>109</v>
      </c>
    </row>
    <row r="210" spans="1:29">
      <c r="A210" t="s">
        <v>573</v>
      </c>
      <c r="B210" s="2">
        <v>46199</v>
      </c>
      <c r="C210" t="s">
        <v>30</v>
      </c>
      <c r="D210" t="s">
        <v>49</v>
      </c>
      <c r="E210" t="s">
        <v>152</v>
      </c>
      <c r="F210" t="s">
        <v>205</v>
      </c>
      <c r="G210" t="s">
        <v>328</v>
      </c>
      <c r="H210" t="s">
        <v>207</v>
      </c>
      <c r="I210" t="s">
        <v>571</v>
      </c>
      <c r="J210" t="s">
        <v>3122</v>
      </c>
      <c r="K210" t="s">
        <v>37</v>
      </c>
      <c r="L210" t="s">
        <v>68</v>
      </c>
      <c r="M210" t="s">
        <v>106</v>
      </c>
      <c r="N210" t="s">
        <v>82</v>
      </c>
      <c r="O210" s="4">
        <v>1</v>
      </c>
      <c r="P210" s="4">
        <v>10</v>
      </c>
      <c r="Q210" t="s">
        <v>83</v>
      </c>
      <c r="R210" s="2">
        <v>46190</v>
      </c>
      <c r="S210" s="4">
        <v>13</v>
      </c>
      <c r="T210" s="3">
        <v>236000000</v>
      </c>
      <c r="U210" t="s">
        <v>177</v>
      </c>
      <c r="V210" t="s">
        <v>43</v>
      </c>
      <c r="W210" t="s">
        <v>404</v>
      </c>
      <c r="X210" t="s">
        <v>422</v>
      </c>
      <c r="Y210" t="s">
        <v>85</v>
      </c>
      <c r="Z210" t="s">
        <v>3178</v>
      </c>
      <c r="AA210" t="s">
        <v>159</v>
      </c>
      <c r="AB210" t="s">
        <v>87</v>
      </c>
      <c r="AC210" t="s">
        <v>159</v>
      </c>
    </row>
    <row r="211" spans="1:29">
      <c r="A211" t="s">
        <v>574</v>
      </c>
      <c r="B211" s="2">
        <v>46190</v>
      </c>
      <c r="C211" t="s">
        <v>30</v>
      </c>
      <c r="D211" t="s">
        <v>74</v>
      </c>
      <c r="E211" t="s">
        <v>111</v>
      </c>
      <c r="F211" t="s">
        <v>190</v>
      </c>
      <c r="G211" t="s">
        <v>251</v>
      </c>
      <c r="H211" t="s">
        <v>114</v>
      </c>
      <c r="I211" t="s">
        <v>266</v>
      </c>
      <c r="J211" t="s">
        <v>3037</v>
      </c>
      <c r="K211" t="s">
        <v>37</v>
      </c>
      <c r="L211" t="s">
        <v>187</v>
      </c>
      <c r="M211" t="s">
        <v>39</v>
      </c>
      <c r="N211" t="s">
        <v>94</v>
      </c>
      <c r="O211" s="4">
        <v>4</v>
      </c>
      <c r="P211" s="4">
        <v>13</v>
      </c>
      <c r="Q211" t="s">
        <v>138</v>
      </c>
      <c r="R211" s="2">
        <v>46183</v>
      </c>
      <c r="S211" s="4">
        <v>20</v>
      </c>
      <c r="T211" s="3">
        <v>71000000</v>
      </c>
      <c r="U211" t="s">
        <v>42</v>
      </c>
      <c r="V211" t="s">
        <v>70</v>
      </c>
      <c r="W211" t="s">
        <v>188</v>
      </c>
      <c r="Y211" t="s">
        <v>96</v>
      </c>
      <c r="Z211" t="s">
        <v>3179</v>
      </c>
      <c r="AA211" t="s">
        <v>118</v>
      </c>
      <c r="AB211" t="s">
        <v>97</v>
      </c>
      <c r="AC211" t="s">
        <v>118</v>
      </c>
    </row>
    <row r="212" spans="1:29">
      <c r="A212" t="s">
        <v>575</v>
      </c>
      <c r="B212" s="2">
        <v>46184</v>
      </c>
      <c r="C212" t="s">
        <v>30</v>
      </c>
      <c r="D212" t="s">
        <v>99</v>
      </c>
      <c r="E212" t="s">
        <v>75</v>
      </c>
      <c r="F212" t="s">
        <v>76</v>
      </c>
      <c r="G212" t="s">
        <v>387</v>
      </c>
      <c r="H212" t="s">
        <v>388</v>
      </c>
      <c r="I212" t="s">
        <v>576</v>
      </c>
      <c r="J212" t="s">
        <v>3123</v>
      </c>
      <c r="K212" t="s">
        <v>37</v>
      </c>
      <c r="L212" t="s">
        <v>169</v>
      </c>
      <c r="M212" t="s">
        <v>164</v>
      </c>
      <c r="N212" t="s">
        <v>196</v>
      </c>
      <c r="O212" s="4">
        <v>7</v>
      </c>
      <c r="P212" s="4">
        <v>10</v>
      </c>
      <c r="Q212" t="s">
        <v>83</v>
      </c>
      <c r="R212" s="2">
        <v>46178</v>
      </c>
      <c r="S212" s="4">
        <v>25</v>
      </c>
      <c r="T212" s="3">
        <v>187000000</v>
      </c>
      <c r="U212" t="s">
        <v>196</v>
      </c>
      <c r="V212" t="s">
        <v>70</v>
      </c>
      <c r="W212" t="s">
        <v>209</v>
      </c>
      <c r="Y212" t="s">
        <v>244</v>
      </c>
      <c r="Z212" t="s">
        <v>3181</v>
      </c>
      <c r="AA212" t="s">
        <v>86</v>
      </c>
      <c r="AB212" t="s">
        <v>199</v>
      </c>
      <c r="AC212" t="s">
        <v>86</v>
      </c>
    </row>
    <row r="213" spans="1:29">
      <c r="A213" t="s">
        <v>577</v>
      </c>
      <c r="B213" s="2">
        <v>46192</v>
      </c>
      <c r="C213" t="s">
        <v>30</v>
      </c>
      <c r="D213" t="s">
        <v>74</v>
      </c>
      <c r="E213" t="s">
        <v>111</v>
      </c>
      <c r="F213" t="s">
        <v>190</v>
      </c>
      <c r="G213" t="s">
        <v>251</v>
      </c>
      <c r="H213" t="s">
        <v>191</v>
      </c>
      <c r="I213" t="s">
        <v>578</v>
      </c>
      <c r="J213" t="s">
        <v>3124</v>
      </c>
      <c r="K213" t="s">
        <v>105</v>
      </c>
      <c r="L213" t="s">
        <v>169</v>
      </c>
      <c r="M213" t="s">
        <v>81</v>
      </c>
      <c r="N213" t="s">
        <v>40</v>
      </c>
      <c r="O213" s="4">
        <v>2</v>
      </c>
      <c r="P213" s="4">
        <v>7</v>
      </c>
      <c r="Q213" t="s">
        <v>41</v>
      </c>
      <c r="R213" s="2">
        <v>46184</v>
      </c>
      <c r="S213" s="4">
        <v>19</v>
      </c>
      <c r="T213" s="3">
        <v>221000000</v>
      </c>
      <c r="U213" t="s">
        <v>42</v>
      </c>
      <c r="V213" t="s">
        <v>59</v>
      </c>
      <c r="W213" t="s">
        <v>44</v>
      </c>
      <c r="Y213" t="s">
        <v>45</v>
      </c>
      <c r="Z213" t="s">
        <v>3178</v>
      </c>
      <c r="AA213" t="s">
        <v>118</v>
      </c>
      <c r="AB213" t="s">
        <v>87</v>
      </c>
      <c r="AC213" t="s">
        <v>118</v>
      </c>
    </row>
    <row r="214" spans="1:29">
      <c r="A214" t="s">
        <v>579</v>
      </c>
      <c r="B214" s="2">
        <v>46187</v>
      </c>
      <c r="C214" t="s">
        <v>30</v>
      </c>
      <c r="D214" t="s">
        <v>99</v>
      </c>
      <c r="E214" t="s">
        <v>120</v>
      </c>
      <c r="F214" t="s">
        <v>246</v>
      </c>
      <c r="G214" t="s">
        <v>122</v>
      </c>
      <c r="H214" t="s">
        <v>123</v>
      </c>
      <c r="I214" t="s">
        <v>225</v>
      </c>
      <c r="J214" t="s">
        <v>3030</v>
      </c>
      <c r="K214" t="s">
        <v>92</v>
      </c>
      <c r="L214" t="s">
        <v>187</v>
      </c>
      <c r="M214" t="s">
        <v>81</v>
      </c>
      <c r="N214" t="s">
        <v>130</v>
      </c>
      <c r="O214" s="4">
        <v>5</v>
      </c>
      <c r="P214" s="4">
        <v>10</v>
      </c>
      <c r="Q214" t="s">
        <v>138</v>
      </c>
      <c r="R214" s="2">
        <v>46181</v>
      </c>
      <c r="S214" s="4">
        <v>22</v>
      </c>
      <c r="T214" s="3">
        <v>232000000</v>
      </c>
      <c r="U214" t="s">
        <v>260</v>
      </c>
      <c r="V214" t="s">
        <v>143</v>
      </c>
      <c r="W214" t="s">
        <v>131</v>
      </c>
      <c r="X214" t="s">
        <v>261</v>
      </c>
      <c r="Y214" t="s">
        <v>262</v>
      </c>
      <c r="Z214" t="s">
        <v>3179</v>
      </c>
      <c r="AA214" t="s">
        <v>97</v>
      </c>
      <c r="AB214" t="s">
        <v>97</v>
      </c>
      <c r="AC214" t="s">
        <v>97</v>
      </c>
    </row>
    <row r="215" spans="1:29">
      <c r="A215" t="s">
        <v>580</v>
      </c>
      <c r="B215" s="2">
        <v>46196</v>
      </c>
      <c r="C215" t="s">
        <v>30</v>
      </c>
      <c r="D215" t="s">
        <v>49</v>
      </c>
      <c r="E215" t="s">
        <v>120</v>
      </c>
      <c r="F215" t="s">
        <v>167</v>
      </c>
      <c r="G215" t="s">
        <v>420</v>
      </c>
      <c r="H215" t="s">
        <v>136</v>
      </c>
      <c r="I215" t="s">
        <v>581</v>
      </c>
      <c r="J215" t="s">
        <v>3125</v>
      </c>
      <c r="K215" t="s">
        <v>105</v>
      </c>
      <c r="L215" t="s">
        <v>80</v>
      </c>
      <c r="M215" t="s">
        <v>56</v>
      </c>
      <c r="N215" t="s">
        <v>94</v>
      </c>
      <c r="O215" s="4">
        <v>4</v>
      </c>
      <c r="P215" s="4">
        <v>10</v>
      </c>
      <c r="Q215" t="s">
        <v>69</v>
      </c>
      <c r="R215" s="2">
        <v>46186</v>
      </c>
      <c r="S215" s="4">
        <v>17</v>
      </c>
      <c r="T215" s="3">
        <v>277000000</v>
      </c>
      <c r="U215" t="s">
        <v>42</v>
      </c>
      <c r="V215" t="s">
        <v>70</v>
      </c>
      <c r="W215" t="s">
        <v>95</v>
      </c>
      <c r="Y215" t="s">
        <v>96</v>
      </c>
      <c r="Z215" t="s">
        <v>3179</v>
      </c>
      <c r="AA215" t="s">
        <v>97</v>
      </c>
      <c r="AB215" t="s">
        <v>97</v>
      </c>
      <c r="AC215" t="s">
        <v>97</v>
      </c>
    </row>
    <row r="216" spans="1:29">
      <c r="A216" t="s">
        <v>582</v>
      </c>
      <c r="B216" s="2">
        <v>46202</v>
      </c>
      <c r="C216" t="s">
        <v>30</v>
      </c>
      <c r="D216" t="s">
        <v>31</v>
      </c>
      <c r="E216" t="s">
        <v>111</v>
      </c>
      <c r="F216" t="s">
        <v>112</v>
      </c>
      <c r="G216" t="s">
        <v>113</v>
      </c>
      <c r="H216" t="s">
        <v>127</v>
      </c>
      <c r="I216" t="s">
        <v>311</v>
      </c>
      <c r="J216" t="s">
        <v>3048</v>
      </c>
      <c r="K216" t="s">
        <v>92</v>
      </c>
      <c r="L216" t="s">
        <v>55</v>
      </c>
      <c r="M216" t="s">
        <v>39</v>
      </c>
      <c r="N216" t="s">
        <v>130</v>
      </c>
      <c r="O216" s="4">
        <v>5</v>
      </c>
      <c r="P216" s="4">
        <v>12</v>
      </c>
      <c r="Q216" t="s">
        <v>107</v>
      </c>
      <c r="R216" s="2">
        <v>46199</v>
      </c>
      <c r="S216" s="4">
        <v>4</v>
      </c>
      <c r="T216" s="3">
        <v>56000000</v>
      </c>
      <c r="U216" t="s">
        <v>42</v>
      </c>
      <c r="V216" t="s">
        <v>70</v>
      </c>
      <c r="W216" t="s">
        <v>252</v>
      </c>
      <c r="Y216" t="s">
        <v>334</v>
      </c>
      <c r="Z216" t="s">
        <v>3179</v>
      </c>
      <c r="AA216" t="s">
        <v>118</v>
      </c>
      <c r="AB216" t="s">
        <v>97</v>
      </c>
      <c r="AC216" t="s">
        <v>118</v>
      </c>
    </row>
    <row r="217" spans="1:29">
      <c r="A217" t="s">
        <v>583</v>
      </c>
      <c r="B217" s="2">
        <v>46186</v>
      </c>
      <c r="C217" t="s">
        <v>30</v>
      </c>
      <c r="D217" t="s">
        <v>99</v>
      </c>
      <c r="E217" t="s">
        <v>111</v>
      </c>
      <c r="F217" t="s">
        <v>112</v>
      </c>
      <c r="G217" t="s">
        <v>113</v>
      </c>
      <c r="H217" t="s">
        <v>114</v>
      </c>
      <c r="I217" t="s">
        <v>383</v>
      </c>
      <c r="J217" t="s">
        <v>3070</v>
      </c>
      <c r="K217" t="s">
        <v>37</v>
      </c>
      <c r="L217" t="s">
        <v>80</v>
      </c>
      <c r="M217" t="s">
        <v>129</v>
      </c>
      <c r="N217" t="s">
        <v>196</v>
      </c>
      <c r="O217" s="4">
        <v>7</v>
      </c>
      <c r="P217" s="4">
        <v>8</v>
      </c>
      <c r="Q217" t="s">
        <v>107</v>
      </c>
      <c r="R217" s="2">
        <v>46178</v>
      </c>
      <c r="S217" s="4">
        <v>25</v>
      </c>
      <c r="T217" s="3">
        <v>205000000</v>
      </c>
      <c r="U217" t="s">
        <v>196</v>
      </c>
      <c r="V217" t="s">
        <v>70</v>
      </c>
      <c r="W217" t="s">
        <v>243</v>
      </c>
      <c r="Y217" t="s">
        <v>198</v>
      </c>
      <c r="Z217" t="s">
        <v>3181</v>
      </c>
      <c r="AA217" t="s">
        <v>118</v>
      </c>
      <c r="AB217" t="s">
        <v>199</v>
      </c>
      <c r="AC217" t="s">
        <v>118</v>
      </c>
    </row>
    <row r="218" spans="1:29">
      <c r="A218" t="s">
        <v>584</v>
      </c>
      <c r="B218" s="2">
        <v>46176</v>
      </c>
      <c r="C218" t="s">
        <v>30</v>
      </c>
      <c r="D218" t="s">
        <v>134</v>
      </c>
      <c r="E218" t="s">
        <v>50</v>
      </c>
      <c r="F218" t="s">
        <v>51</v>
      </c>
      <c r="G218" t="s">
        <v>52</v>
      </c>
      <c r="H218" t="s">
        <v>90</v>
      </c>
      <c r="I218" t="s">
        <v>585</v>
      </c>
      <c r="J218" t="s">
        <v>3126</v>
      </c>
      <c r="K218" t="s">
        <v>105</v>
      </c>
      <c r="L218" t="s">
        <v>38</v>
      </c>
      <c r="M218" t="s">
        <v>81</v>
      </c>
      <c r="N218" t="s">
        <v>94</v>
      </c>
      <c r="O218" s="4">
        <v>4</v>
      </c>
      <c r="P218" s="4">
        <v>7</v>
      </c>
      <c r="Q218" t="s">
        <v>58</v>
      </c>
      <c r="R218" s="2">
        <v>46168</v>
      </c>
      <c r="S218" s="4">
        <v>35</v>
      </c>
      <c r="T218" s="3">
        <v>369000000</v>
      </c>
      <c r="U218" t="s">
        <v>42</v>
      </c>
      <c r="V218" t="s">
        <v>59</v>
      </c>
      <c r="W218" t="s">
        <v>95</v>
      </c>
      <c r="Y218" t="s">
        <v>268</v>
      </c>
      <c r="Z218" t="s">
        <v>3179</v>
      </c>
      <c r="AA218" t="s">
        <v>62</v>
      </c>
      <c r="AB218" t="s">
        <v>97</v>
      </c>
      <c r="AC218" t="s">
        <v>62</v>
      </c>
    </row>
    <row r="219" spans="1:29">
      <c r="A219" t="s">
        <v>586</v>
      </c>
      <c r="B219" s="2">
        <v>46185</v>
      </c>
      <c r="C219" t="s">
        <v>30</v>
      </c>
      <c r="D219" t="s">
        <v>99</v>
      </c>
      <c r="E219" t="s">
        <v>100</v>
      </c>
      <c r="F219" t="s">
        <v>101</v>
      </c>
      <c r="G219" t="s">
        <v>313</v>
      </c>
      <c r="H219" t="s">
        <v>148</v>
      </c>
      <c r="I219" t="s">
        <v>315</v>
      </c>
      <c r="J219" t="s">
        <v>3049</v>
      </c>
      <c r="K219" t="s">
        <v>56</v>
      </c>
      <c r="L219" t="s">
        <v>80</v>
      </c>
      <c r="M219" t="s">
        <v>93</v>
      </c>
      <c r="N219" t="s">
        <v>40</v>
      </c>
      <c r="O219" s="4">
        <v>2</v>
      </c>
      <c r="P219" s="4">
        <v>14</v>
      </c>
      <c r="Q219" t="s">
        <v>69</v>
      </c>
      <c r="R219" s="2">
        <v>46184</v>
      </c>
      <c r="S219" s="4">
        <v>19</v>
      </c>
      <c r="T219" s="3">
        <v>364000000</v>
      </c>
      <c r="U219" t="s">
        <v>42</v>
      </c>
      <c r="V219" t="s">
        <v>43</v>
      </c>
      <c r="W219" t="s">
        <v>44</v>
      </c>
      <c r="Y219" t="s">
        <v>309</v>
      </c>
      <c r="Z219" t="s">
        <v>3180</v>
      </c>
      <c r="AA219" t="s">
        <v>109</v>
      </c>
      <c r="AB219" t="s">
        <v>193</v>
      </c>
      <c r="AC219" t="s">
        <v>109</v>
      </c>
    </row>
    <row r="220" spans="1:29">
      <c r="A220" t="s">
        <v>587</v>
      </c>
      <c r="B220" s="2">
        <v>46202</v>
      </c>
      <c r="C220" t="s">
        <v>30</v>
      </c>
      <c r="D220" t="s">
        <v>31</v>
      </c>
      <c r="E220" t="s">
        <v>75</v>
      </c>
      <c r="F220" t="s">
        <v>183</v>
      </c>
      <c r="G220" t="s">
        <v>162</v>
      </c>
      <c r="H220" t="s">
        <v>388</v>
      </c>
      <c r="I220" t="s">
        <v>540</v>
      </c>
      <c r="J220" t="s">
        <v>3114</v>
      </c>
      <c r="K220" t="s">
        <v>37</v>
      </c>
      <c r="L220" t="s">
        <v>150</v>
      </c>
      <c r="M220" t="s">
        <v>106</v>
      </c>
      <c r="N220" t="s">
        <v>57</v>
      </c>
      <c r="O220" s="4">
        <v>3</v>
      </c>
      <c r="P220" s="4">
        <v>12</v>
      </c>
      <c r="Q220" t="s">
        <v>107</v>
      </c>
      <c r="R220" s="2">
        <v>46200</v>
      </c>
      <c r="S220" s="4">
        <v>3</v>
      </c>
      <c r="T220" s="3">
        <v>66000000</v>
      </c>
      <c r="U220" t="s">
        <v>42</v>
      </c>
      <c r="V220" t="s">
        <v>43</v>
      </c>
      <c r="W220" t="s">
        <v>60</v>
      </c>
      <c r="Y220" t="s">
        <v>61</v>
      </c>
      <c r="Z220" t="s">
        <v>3180</v>
      </c>
      <c r="AA220" t="s">
        <v>86</v>
      </c>
      <c r="AB220" t="s">
        <v>193</v>
      </c>
      <c r="AC220" t="s">
        <v>86</v>
      </c>
    </row>
    <row r="221" spans="1:29">
      <c r="A221" t="s">
        <v>588</v>
      </c>
      <c r="B221" s="2">
        <v>46180</v>
      </c>
      <c r="C221" t="s">
        <v>30</v>
      </c>
      <c r="D221" t="s">
        <v>134</v>
      </c>
      <c r="E221" t="s">
        <v>50</v>
      </c>
      <c r="F221" t="s">
        <v>351</v>
      </c>
      <c r="G221" t="s">
        <v>270</v>
      </c>
      <c r="H221" t="s">
        <v>90</v>
      </c>
      <c r="I221" t="s">
        <v>91</v>
      </c>
      <c r="J221" t="s">
        <v>3012</v>
      </c>
      <c r="K221" t="s">
        <v>92</v>
      </c>
      <c r="L221" t="s">
        <v>38</v>
      </c>
      <c r="M221" t="s">
        <v>106</v>
      </c>
      <c r="N221" t="s">
        <v>130</v>
      </c>
      <c r="O221" s="4">
        <v>5</v>
      </c>
      <c r="P221" s="4">
        <v>9</v>
      </c>
      <c r="Q221" t="s">
        <v>83</v>
      </c>
      <c r="R221" s="2">
        <v>46180</v>
      </c>
      <c r="S221" s="4">
        <v>23</v>
      </c>
      <c r="T221" s="3">
        <v>237000000</v>
      </c>
      <c r="U221" t="s">
        <v>42</v>
      </c>
      <c r="V221" t="s">
        <v>70</v>
      </c>
      <c r="W221" t="s">
        <v>252</v>
      </c>
      <c r="Y221" t="s">
        <v>262</v>
      </c>
      <c r="Z221" t="s">
        <v>3179</v>
      </c>
      <c r="AA221" t="s">
        <v>62</v>
      </c>
      <c r="AB221" t="s">
        <v>97</v>
      </c>
      <c r="AC221" t="s">
        <v>62</v>
      </c>
    </row>
    <row r="222" spans="1:29">
      <c r="A222" t="s">
        <v>589</v>
      </c>
      <c r="B222" s="2">
        <v>46192</v>
      </c>
      <c r="C222" t="s">
        <v>30</v>
      </c>
      <c r="D222" t="s">
        <v>74</v>
      </c>
      <c r="E222" t="s">
        <v>75</v>
      </c>
      <c r="F222" t="s">
        <v>161</v>
      </c>
      <c r="G222" t="s">
        <v>387</v>
      </c>
      <c r="H222" t="s">
        <v>185</v>
      </c>
      <c r="I222" t="s">
        <v>428</v>
      </c>
      <c r="J222" t="s">
        <v>3081</v>
      </c>
      <c r="K222" t="s">
        <v>56</v>
      </c>
      <c r="L222" t="s">
        <v>150</v>
      </c>
      <c r="M222" t="s">
        <v>106</v>
      </c>
      <c r="N222" t="s">
        <v>40</v>
      </c>
      <c r="O222" s="4">
        <v>2</v>
      </c>
      <c r="P222" s="4">
        <v>4</v>
      </c>
      <c r="Q222" t="s">
        <v>142</v>
      </c>
      <c r="R222" s="2">
        <v>46187</v>
      </c>
      <c r="S222" s="4">
        <v>16</v>
      </c>
      <c r="T222" s="3">
        <v>247000000</v>
      </c>
      <c r="U222" t="s">
        <v>42</v>
      </c>
      <c r="V222" t="s">
        <v>59</v>
      </c>
      <c r="W222" t="s">
        <v>178</v>
      </c>
      <c r="Y222" t="s">
        <v>45</v>
      </c>
      <c r="Z222" t="s">
        <v>3176</v>
      </c>
      <c r="AA222" t="s">
        <v>86</v>
      </c>
      <c r="AB222" t="s">
        <v>47</v>
      </c>
      <c r="AC222" t="s">
        <v>86</v>
      </c>
    </row>
    <row r="223" spans="1:29">
      <c r="A223" t="s">
        <v>590</v>
      </c>
      <c r="B223" s="2">
        <v>46190</v>
      </c>
      <c r="C223" t="s">
        <v>30</v>
      </c>
      <c r="D223" t="s">
        <v>74</v>
      </c>
      <c r="E223" t="s">
        <v>172</v>
      </c>
      <c r="F223" t="s">
        <v>277</v>
      </c>
      <c r="G223" t="s">
        <v>278</v>
      </c>
      <c r="H223" t="s">
        <v>241</v>
      </c>
      <c r="I223" t="s">
        <v>379</v>
      </c>
      <c r="J223" t="s">
        <v>3069</v>
      </c>
      <c r="K223" t="s">
        <v>116</v>
      </c>
      <c r="L223" t="s">
        <v>55</v>
      </c>
      <c r="M223" t="s">
        <v>106</v>
      </c>
      <c r="N223" t="s">
        <v>94</v>
      </c>
      <c r="O223" s="4">
        <v>4</v>
      </c>
      <c r="P223" s="4">
        <v>11</v>
      </c>
      <c r="Q223" t="s">
        <v>107</v>
      </c>
      <c r="R223" s="2">
        <v>46189</v>
      </c>
      <c r="S223" s="4">
        <v>14</v>
      </c>
      <c r="T223" s="3">
        <v>115000000</v>
      </c>
      <c r="U223" t="s">
        <v>42</v>
      </c>
      <c r="V223" t="s">
        <v>59</v>
      </c>
      <c r="W223" t="s">
        <v>95</v>
      </c>
      <c r="Y223" t="s">
        <v>108</v>
      </c>
      <c r="Z223" t="s">
        <v>3179</v>
      </c>
      <c r="AA223" t="s">
        <v>181</v>
      </c>
      <c r="AB223" t="s">
        <v>97</v>
      </c>
      <c r="AC223" t="s">
        <v>181</v>
      </c>
    </row>
    <row r="224" spans="1:29">
      <c r="A224" t="s">
        <v>591</v>
      </c>
      <c r="B224" s="2">
        <v>46177</v>
      </c>
      <c r="C224" t="s">
        <v>30</v>
      </c>
      <c r="D224" t="s">
        <v>134</v>
      </c>
      <c r="E224" t="s">
        <v>172</v>
      </c>
      <c r="F224" t="s">
        <v>277</v>
      </c>
      <c r="G224" t="s">
        <v>278</v>
      </c>
      <c r="H224" t="s">
        <v>317</v>
      </c>
      <c r="I224" t="s">
        <v>318</v>
      </c>
      <c r="J224" t="s">
        <v>3050</v>
      </c>
      <c r="K224" t="s">
        <v>105</v>
      </c>
      <c r="L224" t="s">
        <v>80</v>
      </c>
      <c r="M224" t="s">
        <v>81</v>
      </c>
      <c r="N224" t="s">
        <v>82</v>
      </c>
      <c r="O224" s="4">
        <v>1</v>
      </c>
      <c r="P224" s="4">
        <v>9</v>
      </c>
      <c r="Q224" t="s">
        <v>69</v>
      </c>
      <c r="R224" s="2">
        <v>46174</v>
      </c>
      <c r="S224" s="4">
        <v>29</v>
      </c>
      <c r="T224" s="3">
        <v>229000000</v>
      </c>
      <c r="U224" t="s">
        <v>42</v>
      </c>
      <c r="V224" t="s">
        <v>43</v>
      </c>
      <c r="W224" t="s">
        <v>404</v>
      </c>
      <c r="Y224" t="s">
        <v>291</v>
      </c>
      <c r="Z224" t="s">
        <v>3178</v>
      </c>
      <c r="AA224" t="s">
        <v>181</v>
      </c>
      <c r="AB224" t="s">
        <v>87</v>
      </c>
      <c r="AC224" t="s">
        <v>181</v>
      </c>
    </row>
    <row r="225" spans="1:29">
      <c r="A225" t="s">
        <v>592</v>
      </c>
      <c r="B225" s="2">
        <v>46180</v>
      </c>
      <c r="C225" t="s">
        <v>30</v>
      </c>
      <c r="D225" t="s">
        <v>134</v>
      </c>
      <c r="E225" t="s">
        <v>32</v>
      </c>
      <c r="F225" t="s">
        <v>33</v>
      </c>
      <c r="G225" t="s">
        <v>34</v>
      </c>
      <c r="H225" t="s">
        <v>258</v>
      </c>
      <c r="I225" t="s">
        <v>593</v>
      </c>
      <c r="J225" t="s">
        <v>3127</v>
      </c>
      <c r="K225" t="s">
        <v>92</v>
      </c>
      <c r="L225" t="s">
        <v>80</v>
      </c>
      <c r="M225" t="s">
        <v>106</v>
      </c>
      <c r="N225" t="s">
        <v>213</v>
      </c>
      <c r="O225" s="4">
        <v>6</v>
      </c>
      <c r="P225" s="4">
        <v>6</v>
      </c>
      <c r="Q225" t="s">
        <v>58</v>
      </c>
      <c r="R225" s="2">
        <v>46175</v>
      </c>
      <c r="S225" s="4">
        <v>28</v>
      </c>
      <c r="T225" s="3">
        <v>190000000</v>
      </c>
      <c r="U225" t="s">
        <v>42</v>
      </c>
      <c r="V225" t="s">
        <v>70</v>
      </c>
      <c r="W225" t="s">
        <v>215</v>
      </c>
      <c r="Y225" t="s">
        <v>424</v>
      </c>
      <c r="Z225" t="s">
        <v>3179</v>
      </c>
      <c r="AA225" t="s">
        <v>46</v>
      </c>
      <c r="AB225" t="s">
        <v>97</v>
      </c>
      <c r="AC225" t="s">
        <v>46</v>
      </c>
    </row>
    <row r="226" spans="1:29">
      <c r="A226" t="s">
        <v>594</v>
      </c>
      <c r="B226" s="2">
        <v>46195</v>
      </c>
      <c r="C226" t="s">
        <v>30</v>
      </c>
      <c r="D226" t="s">
        <v>49</v>
      </c>
      <c r="E226" t="s">
        <v>32</v>
      </c>
      <c r="F226" t="s">
        <v>273</v>
      </c>
      <c r="G226" t="s">
        <v>34</v>
      </c>
      <c r="H226" t="s">
        <v>35</v>
      </c>
      <c r="I226" t="s">
        <v>595</v>
      </c>
      <c r="J226" t="s">
        <v>3128</v>
      </c>
      <c r="K226" t="s">
        <v>37</v>
      </c>
      <c r="L226" t="s">
        <v>55</v>
      </c>
      <c r="M226" t="s">
        <v>81</v>
      </c>
      <c r="N226" t="s">
        <v>40</v>
      </c>
      <c r="O226" s="4">
        <v>2</v>
      </c>
      <c r="P226" s="4">
        <v>3</v>
      </c>
      <c r="Q226" t="s">
        <v>58</v>
      </c>
      <c r="R226" s="2">
        <v>46190</v>
      </c>
      <c r="S226" s="4">
        <v>13</v>
      </c>
      <c r="T226" s="3">
        <v>103000000</v>
      </c>
      <c r="U226" t="s">
        <v>42</v>
      </c>
      <c r="V226" t="s">
        <v>59</v>
      </c>
      <c r="W226" t="s">
        <v>178</v>
      </c>
      <c r="Y226" t="s">
        <v>45</v>
      </c>
      <c r="Z226" t="s">
        <v>3176</v>
      </c>
      <c r="AA226" t="s">
        <v>46</v>
      </c>
      <c r="AB226" t="s">
        <v>47</v>
      </c>
      <c r="AC226" t="s">
        <v>46</v>
      </c>
    </row>
    <row r="227" spans="1:29">
      <c r="A227" t="s">
        <v>596</v>
      </c>
      <c r="B227" s="2">
        <v>46183</v>
      </c>
      <c r="C227" t="s">
        <v>30</v>
      </c>
      <c r="D227" t="s">
        <v>99</v>
      </c>
      <c r="E227" t="s">
        <v>120</v>
      </c>
      <c r="F227" t="s">
        <v>167</v>
      </c>
      <c r="G227" t="s">
        <v>420</v>
      </c>
      <c r="H227" t="s">
        <v>123</v>
      </c>
      <c r="I227" t="s">
        <v>459</v>
      </c>
      <c r="J227" t="s">
        <v>3093</v>
      </c>
      <c r="K227" t="s">
        <v>92</v>
      </c>
      <c r="L227" t="s">
        <v>68</v>
      </c>
      <c r="M227" t="s">
        <v>81</v>
      </c>
      <c r="N227" t="s">
        <v>57</v>
      </c>
      <c r="O227" s="4">
        <v>3</v>
      </c>
      <c r="P227" s="4">
        <v>12</v>
      </c>
      <c r="Q227" t="s">
        <v>142</v>
      </c>
      <c r="R227" s="2">
        <v>46180</v>
      </c>
      <c r="S227" s="4">
        <v>23</v>
      </c>
      <c r="T227" s="3">
        <v>74000000</v>
      </c>
      <c r="U227" t="s">
        <v>42</v>
      </c>
      <c r="V227" t="s">
        <v>43</v>
      </c>
      <c r="W227" t="s">
        <v>157</v>
      </c>
      <c r="Y227" t="s">
        <v>165</v>
      </c>
      <c r="Z227" t="s">
        <v>3180</v>
      </c>
      <c r="AA227" t="s">
        <v>97</v>
      </c>
      <c r="AB227" t="s">
        <v>193</v>
      </c>
      <c r="AC227" t="s">
        <v>97</v>
      </c>
    </row>
    <row r="228" spans="1:29">
      <c r="A228" t="s">
        <v>597</v>
      </c>
      <c r="B228" s="2">
        <v>46190</v>
      </c>
      <c r="C228" t="s">
        <v>30</v>
      </c>
      <c r="D228" t="s">
        <v>74</v>
      </c>
      <c r="E228" t="s">
        <v>100</v>
      </c>
      <c r="F228" t="s">
        <v>140</v>
      </c>
      <c r="G228" t="s">
        <v>237</v>
      </c>
      <c r="H228" t="s">
        <v>103</v>
      </c>
      <c r="I228" t="s">
        <v>563</v>
      </c>
      <c r="J228" t="s">
        <v>3120</v>
      </c>
      <c r="K228" t="s">
        <v>37</v>
      </c>
      <c r="L228" t="s">
        <v>80</v>
      </c>
      <c r="M228" t="s">
        <v>93</v>
      </c>
      <c r="N228" t="s">
        <v>213</v>
      </c>
      <c r="O228" s="4">
        <v>6</v>
      </c>
      <c r="P228" s="4">
        <v>13</v>
      </c>
      <c r="Q228" t="s">
        <v>41</v>
      </c>
      <c r="R228" s="2">
        <v>46180</v>
      </c>
      <c r="S228" s="4">
        <v>23</v>
      </c>
      <c r="T228" s="3">
        <v>206000000</v>
      </c>
      <c r="U228" t="s">
        <v>214</v>
      </c>
      <c r="V228" t="s">
        <v>143</v>
      </c>
      <c r="W228" t="s">
        <v>215</v>
      </c>
      <c r="Y228" t="s">
        <v>424</v>
      </c>
      <c r="Z228" t="s">
        <v>3179</v>
      </c>
      <c r="AA228" t="s">
        <v>109</v>
      </c>
      <c r="AB228" t="s">
        <v>97</v>
      </c>
      <c r="AC228" t="s">
        <v>109</v>
      </c>
    </row>
    <row r="229" spans="1:29">
      <c r="A229" t="s">
        <v>598</v>
      </c>
      <c r="B229" s="2">
        <v>46180</v>
      </c>
      <c r="C229" t="s">
        <v>30</v>
      </c>
      <c r="D229" t="s">
        <v>134</v>
      </c>
      <c r="E229" t="s">
        <v>75</v>
      </c>
      <c r="F229" t="s">
        <v>161</v>
      </c>
      <c r="G229" t="s">
        <v>230</v>
      </c>
      <c r="H229" t="s">
        <v>388</v>
      </c>
      <c r="I229" t="s">
        <v>556</v>
      </c>
      <c r="J229" t="s">
        <v>3118</v>
      </c>
      <c r="K229" t="s">
        <v>37</v>
      </c>
      <c r="L229" t="s">
        <v>187</v>
      </c>
      <c r="M229" t="s">
        <v>56</v>
      </c>
      <c r="N229" t="s">
        <v>94</v>
      </c>
      <c r="O229" s="4">
        <v>4</v>
      </c>
      <c r="P229" s="4">
        <v>9</v>
      </c>
      <c r="Q229" t="s">
        <v>138</v>
      </c>
      <c r="R229" s="2">
        <v>46177</v>
      </c>
      <c r="S229" s="4">
        <v>26</v>
      </c>
      <c r="T229" s="3">
        <v>157000000</v>
      </c>
      <c r="U229" t="s">
        <v>42</v>
      </c>
      <c r="V229" t="s">
        <v>59</v>
      </c>
      <c r="W229" t="s">
        <v>267</v>
      </c>
      <c r="Y229" t="s">
        <v>268</v>
      </c>
      <c r="Z229" t="s">
        <v>3179</v>
      </c>
      <c r="AA229" t="s">
        <v>86</v>
      </c>
      <c r="AB229" t="s">
        <v>97</v>
      </c>
      <c r="AC229" t="s">
        <v>86</v>
      </c>
    </row>
    <row r="230" spans="1:29">
      <c r="A230" t="s">
        <v>599</v>
      </c>
      <c r="B230" s="2">
        <v>46184</v>
      </c>
      <c r="C230" t="s">
        <v>30</v>
      </c>
      <c r="D230" t="s">
        <v>99</v>
      </c>
      <c r="E230" t="s">
        <v>111</v>
      </c>
      <c r="F230" t="s">
        <v>264</v>
      </c>
      <c r="G230" t="s">
        <v>265</v>
      </c>
      <c r="H230" t="s">
        <v>127</v>
      </c>
      <c r="I230" t="s">
        <v>349</v>
      </c>
      <c r="J230" t="s">
        <v>3059</v>
      </c>
      <c r="K230" t="s">
        <v>105</v>
      </c>
      <c r="L230" t="s">
        <v>187</v>
      </c>
      <c r="M230" t="s">
        <v>56</v>
      </c>
      <c r="N230" t="s">
        <v>82</v>
      </c>
      <c r="O230" s="4">
        <v>1</v>
      </c>
      <c r="P230" s="4">
        <v>11</v>
      </c>
      <c r="Q230" t="s">
        <v>142</v>
      </c>
      <c r="R230" s="2">
        <v>46176</v>
      </c>
      <c r="S230" s="4">
        <v>27</v>
      </c>
      <c r="T230" s="3">
        <v>66000000</v>
      </c>
      <c r="U230" t="s">
        <v>42</v>
      </c>
      <c r="V230" t="s">
        <v>43</v>
      </c>
      <c r="W230" t="s">
        <v>359</v>
      </c>
      <c r="Y230" t="s">
        <v>291</v>
      </c>
      <c r="Z230" t="s">
        <v>3178</v>
      </c>
      <c r="AA230" t="s">
        <v>118</v>
      </c>
      <c r="AB230" t="s">
        <v>87</v>
      </c>
      <c r="AC230" t="s">
        <v>118</v>
      </c>
    </row>
    <row r="231" spans="1:29">
      <c r="A231" t="s">
        <v>600</v>
      </c>
      <c r="B231" s="2">
        <v>46188</v>
      </c>
      <c r="C231" t="s">
        <v>30</v>
      </c>
      <c r="D231" t="s">
        <v>74</v>
      </c>
      <c r="E231" t="s">
        <v>75</v>
      </c>
      <c r="F231" t="s">
        <v>161</v>
      </c>
      <c r="G231" t="s">
        <v>184</v>
      </c>
      <c r="H231" t="s">
        <v>185</v>
      </c>
      <c r="I231" t="s">
        <v>186</v>
      </c>
      <c r="J231" t="s">
        <v>3024</v>
      </c>
      <c r="K231" t="s">
        <v>105</v>
      </c>
      <c r="L231" t="s">
        <v>187</v>
      </c>
      <c r="M231" t="s">
        <v>56</v>
      </c>
      <c r="N231" t="s">
        <v>196</v>
      </c>
      <c r="O231" s="4">
        <v>7</v>
      </c>
      <c r="P231" s="4">
        <v>10</v>
      </c>
      <c r="Q231" t="s">
        <v>107</v>
      </c>
      <c r="R231" s="2">
        <v>46179</v>
      </c>
      <c r="S231" s="4">
        <v>24</v>
      </c>
      <c r="T231" s="3">
        <v>347000000</v>
      </c>
      <c r="U231" t="s">
        <v>196</v>
      </c>
      <c r="V231" t="s">
        <v>70</v>
      </c>
      <c r="W231" t="s">
        <v>243</v>
      </c>
      <c r="Y231" t="s">
        <v>244</v>
      </c>
      <c r="Z231" t="s">
        <v>3181</v>
      </c>
      <c r="AA231" t="s">
        <v>86</v>
      </c>
      <c r="AB231" t="s">
        <v>199</v>
      </c>
      <c r="AC231" t="s">
        <v>86</v>
      </c>
    </row>
    <row r="232" spans="1:29">
      <c r="A232" t="s">
        <v>601</v>
      </c>
      <c r="B232" s="2">
        <v>46184</v>
      </c>
      <c r="C232" t="s">
        <v>30</v>
      </c>
      <c r="D232" t="s">
        <v>99</v>
      </c>
      <c r="E232" t="s">
        <v>172</v>
      </c>
      <c r="F232" t="s">
        <v>173</v>
      </c>
      <c r="G232" t="s">
        <v>174</v>
      </c>
      <c r="H232" t="s">
        <v>175</v>
      </c>
      <c r="I232" t="s">
        <v>602</v>
      </c>
      <c r="J232" t="s">
        <v>3129</v>
      </c>
      <c r="K232" t="s">
        <v>92</v>
      </c>
      <c r="L232" t="s">
        <v>38</v>
      </c>
      <c r="M232" t="s">
        <v>39</v>
      </c>
      <c r="N232" t="s">
        <v>40</v>
      </c>
      <c r="O232" s="4">
        <v>2</v>
      </c>
      <c r="P232" s="4">
        <v>10</v>
      </c>
      <c r="Q232" t="s">
        <v>69</v>
      </c>
      <c r="R232" s="2">
        <v>46179</v>
      </c>
      <c r="S232" s="4">
        <v>24</v>
      </c>
      <c r="T232" s="3">
        <v>59000000</v>
      </c>
      <c r="U232" t="s">
        <v>42</v>
      </c>
      <c r="V232" t="s">
        <v>43</v>
      </c>
      <c r="W232" t="s">
        <v>178</v>
      </c>
      <c r="Y232" t="s">
        <v>180</v>
      </c>
      <c r="Z232" t="s">
        <v>3178</v>
      </c>
      <c r="AA232" t="s">
        <v>181</v>
      </c>
      <c r="AB232" t="s">
        <v>87</v>
      </c>
      <c r="AC232" t="s">
        <v>181</v>
      </c>
    </row>
    <row r="233" spans="1:29">
      <c r="A233" t="s">
        <v>603</v>
      </c>
      <c r="B233" s="2">
        <v>46181</v>
      </c>
      <c r="C233" t="s">
        <v>30</v>
      </c>
      <c r="D233" t="s">
        <v>99</v>
      </c>
      <c r="E233" t="s">
        <v>32</v>
      </c>
      <c r="F233" t="s">
        <v>273</v>
      </c>
      <c r="G233" t="s">
        <v>34</v>
      </c>
      <c r="H233" t="s">
        <v>35</v>
      </c>
      <c r="I233" t="s">
        <v>604</v>
      </c>
      <c r="J233" t="s">
        <v>3130</v>
      </c>
      <c r="K233" t="s">
        <v>105</v>
      </c>
      <c r="L233" t="s">
        <v>38</v>
      </c>
      <c r="M233" t="s">
        <v>81</v>
      </c>
      <c r="N233" t="s">
        <v>40</v>
      </c>
      <c r="O233" s="4">
        <v>2</v>
      </c>
      <c r="P233" s="4">
        <v>2</v>
      </c>
      <c r="Q233" t="s">
        <v>58</v>
      </c>
      <c r="R233" s="2">
        <v>46172</v>
      </c>
      <c r="S233" s="4">
        <v>31</v>
      </c>
      <c r="T233" s="3">
        <v>317000000</v>
      </c>
      <c r="U233" t="s">
        <v>42</v>
      </c>
      <c r="V233" t="s">
        <v>59</v>
      </c>
      <c r="W233" t="s">
        <v>44</v>
      </c>
      <c r="Y233" t="s">
        <v>309</v>
      </c>
      <c r="Z233" t="s">
        <v>3176</v>
      </c>
      <c r="AA233" t="s">
        <v>46</v>
      </c>
      <c r="AB233" t="s">
        <v>47</v>
      </c>
      <c r="AC233" t="s">
        <v>46</v>
      </c>
    </row>
    <row r="234" spans="1:29">
      <c r="A234" t="s">
        <v>605</v>
      </c>
      <c r="B234" s="2">
        <v>46191</v>
      </c>
      <c r="C234" t="s">
        <v>30</v>
      </c>
      <c r="D234" t="s">
        <v>74</v>
      </c>
      <c r="E234" t="s">
        <v>111</v>
      </c>
      <c r="F234" t="s">
        <v>190</v>
      </c>
      <c r="G234" t="s">
        <v>126</v>
      </c>
      <c r="H234" t="s">
        <v>191</v>
      </c>
      <c r="I234" t="s">
        <v>606</v>
      </c>
      <c r="J234" t="s">
        <v>3131</v>
      </c>
      <c r="K234" t="s">
        <v>56</v>
      </c>
      <c r="L234" t="s">
        <v>68</v>
      </c>
      <c r="M234" t="s">
        <v>81</v>
      </c>
      <c r="N234" t="s">
        <v>94</v>
      </c>
      <c r="O234" s="4">
        <v>4</v>
      </c>
      <c r="P234" s="4">
        <v>12</v>
      </c>
      <c r="Q234" t="s">
        <v>138</v>
      </c>
      <c r="R234" s="2">
        <v>46190</v>
      </c>
      <c r="S234" s="4">
        <v>13</v>
      </c>
      <c r="T234" s="3">
        <v>320000000</v>
      </c>
      <c r="U234" t="s">
        <v>42</v>
      </c>
      <c r="V234" t="s">
        <v>59</v>
      </c>
      <c r="W234" t="s">
        <v>267</v>
      </c>
      <c r="Y234" t="s">
        <v>96</v>
      </c>
      <c r="Z234" t="s">
        <v>3179</v>
      </c>
      <c r="AA234" t="s">
        <v>118</v>
      </c>
      <c r="AB234" t="s">
        <v>97</v>
      </c>
      <c r="AC234" t="s">
        <v>118</v>
      </c>
    </row>
    <row r="235" spans="1:29">
      <c r="A235" t="s">
        <v>607</v>
      </c>
      <c r="B235" s="2">
        <v>46192</v>
      </c>
      <c r="C235" t="s">
        <v>30</v>
      </c>
      <c r="D235" t="s">
        <v>74</v>
      </c>
      <c r="E235" t="s">
        <v>100</v>
      </c>
      <c r="F235" t="s">
        <v>101</v>
      </c>
      <c r="G235" t="s">
        <v>147</v>
      </c>
      <c r="H235" t="s">
        <v>201</v>
      </c>
      <c r="I235" t="s">
        <v>608</v>
      </c>
      <c r="J235" t="s">
        <v>3132</v>
      </c>
      <c r="K235" t="s">
        <v>56</v>
      </c>
      <c r="L235" t="s">
        <v>80</v>
      </c>
      <c r="M235" t="s">
        <v>129</v>
      </c>
      <c r="N235" t="s">
        <v>130</v>
      </c>
      <c r="O235" s="4">
        <v>5</v>
      </c>
      <c r="P235" s="4">
        <v>13</v>
      </c>
      <c r="Q235" t="s">
        <v>69</v>
      </c>
      <c r="R235" s="2">
        <v>46185</v>
      </c>
      <c r="S235" s="4">
        <v>18</v>
      </c>
      <c r="T235" s="3">
        <v>275000000</v>
      </c>
      <c r="U235" t="s">
        <v>42</v>
      </c>
      <c r="V235" t="s">
        <v>143</v>
      </c>
      <c r="W235" t="s">
        <v>252</v>
      </c>
      <c r="Y235" t="s">
        <v>334</v>
      </c>
      <c r="Z235" t="s">
        <v>3179</v>
      </c>
      <c r="AA235" t="s">
        <v>109</v>
      </c>
      <c r="AB235" t="s">
        <v>97</v>
      </c>
      <c r="AC235" t="s">
        <v>109</v>
      </c>
    </row>
    <row r="236" spans="1:29">
      <c r="A236" t="s">
        <v>609</v>
      </c>
      <c r="B236" s="2">
        <v>46201</v>
      </c>
      <c r="C236" t="s">
        <v>30</v>
      </c>
      <c r="D236" t="s">
        <v>49</v>
      </c>
      <c r="E236" t="s">
        <v>120</v>
      </c>
      <c r="F236" t="s">
        <v>246</v>
      </c>
      <c r="G236" t="s">
        <v>224</v>
      </c>
      <c r="H236" t="s">
        <v>300</v>
      </c>
      <c r="I236" t="s">
        <v>421</v>
      </c>
      <c r="J236" t="s">
        <v>3080</v>
      </c>
      <c r="K236" t="s">
        <v>56</v>
      </c>
      <c r="L236" t="s">
        <v>187</v>
      </c>
      <c r="M236" t="s">
        <v>129</v>
      </c>
      <c r="N236" t="s">
        <v>130</v>
      </c>
      <c r="O236" s="4">
        <v>5</v>
      </c>
      <c r="P236" s="4">
        <v>6</v>
      </c>
      <c r="Q236" t="s">
        <v>69</v>
      </c>
      <c r="R236" s="2">
        <v>46197</v>
      </c>
      <c r="S236" s="4">
        <v>6</v>
      </c>
      <c r="T236" s="3">
        <v>437000000</v>
      </c>
      <c r="U236" t="s">
        <v>42</v>
      </c>
      <c r="V236" t="s">
        <v>70</v>
      </c>
      <c r="W236" t="s">
        <v>144</v>
      </c>
      <c r="Y236" t="s">
        <v>254</v>
      </c>
      <c r="Z236" t="s">
        <v>3179</v>
      </c>
      <c r="AA236" t="s">
        <v>97</v>
      </c>
      <c r="AB236" t="s">
        <v>97</v>
      </c>
      <c r="AC236" t="s">
        <v>97</v>
      </c>
    </row>
    <row r="237" spans="1:29">
      <c r="A237" t="s">
        <v>610</v>
      </c>
      <c r="B237" s="2">
        <v>46197</v>
      </c>
      <c r="C237" t="s">
        <v>30</v>
      </c>
      <c r="D237" t="s">
        <v>49</v>
      </c>
      <c r="E237" t="s">
        <v>111</v>
      </c>
      <c r="F237" t="s">
        <v>264</v>
      </c>
      <c r="G237" t="s">
        <v>126</v>
      </c>
      <c r="H237" t="s">
        <v>191</v>
      </c>
      <c r="I237" t="s">
        <v>449</v>
      </c>
      <c r="J237" t="s">
        <v>3089</v>
      </c>
      <c r="K237" t="s">
        <v>37</v>
      </c>
      <c r="L237" t="s">
        <v>150</v>
      </c>
      <c r="M237" t="s">
        <v>93</v>
      </c>
      <c r="N237" t="s">
        <v>82</v>
      </c>
      <c r="O237" s="4">
        <v>1</v>
      </c>
      <c r="P237" s="4">
        <v>10</v>
      </c>
      <c r="Q237" t="s">
        <v>138</v>
      </c>
      <c r="R237" s="2">
        <v>46190</v>
      </c>
      <c r="S237" s="4">
        <v>13</v>
      </c>
      <c r="T237" s="3">
        <v>96000000</v>
      </c>
      <c r="U237" t="s">
        <v>42</v>
      </c>
      <c r="V237" t="s">
        <v>43</v>
      </c>
      <c r="W237" t="s">
        <v>290</v>
      </c>
      <c r="Y237" t="s">
        <v>85</v>
      </c>
      <c r="Z237" t="s">
        <v>3178</v>
      </c>
      <c r="AA237" t="s">
        <v>118</v>
      </c>
      <c r="AB237" t="s">
        <v>87</v>
      </c>
      <c r="AC237" t="s">
        <v>118</v>
      </c>
    </row>
    <row r="238" spans="1:29">
      <c r="A238" t="s">
        <v>611</v>
      </c>
      <c r="B238" s="2">
        <v>46201</v>
      </c>
      <c r="C238" t="s">
        <v>30</v>
      </c>
      <c r="D238" t="s">
        <v>49</v>
      </c>
      <c r="E238" t="s">
        <v>152</v>
      </c>
      <c r="F238" t="s">
        <v>205</v>
      </c>
      <c r="G238" t="s">
        <v>286</v>
      </c>
      <c r="H238" t="s">
        <v>283</v>
      </c>
      <c r="I238" t="s">
        <v>287</v>
      </c>
      <c r="J238" t="s">
        <v>3042</v>
      </c>
      <c r="K238" t="s">
        <v>105</v>
      </c>
      <c r="L238" t="s">
        <v>150</v>
      </c>
      <c r="M238" t="s">
        <v>106</v>
      </c>
      <c r="N238" t="s">
        <v>94</v>
      </c>
      <c r="O238" s="4">
        <v>4</v>
      </c>
      <c r="P238" s="4">
        <v>15</v>
      </c>
      <c r="Q238" t="s">
        <v>107</v>
      </c>
      <c r="R238" s="2">
        <v>46198</v>
      </c>
      <c r="S238" s="4">
        <v>5</v>
      </c>
      <c r="T238" s="3">
        <v>369000000</v>
      </c>
      <c r="U238" t="s">
        <v>42</v>
      </c>
      <c r="V238" t="s">
        <v>59</v>
      </c>
      <c r="W238" t="s">
        <v>267</v>
      </c>
      <c r="Y238" t="s">
        <v>268</v>
      </c>
      <c r="Z238" t="s">
        <v>3179</v>
      </c>
      <c r="AA238" t="s">
        <v>159</v>
      </c>
      <c r="AB238" t="s">
        <v>97</v>
      </c>
      <c r="AC238" t="s">
        <v>159</v>
      </c>
    </row>
    <row r="239" spans="1:29">
      <c r="A239" t="s">
        <v>612</v>
      </c>
      <c r="B239" s="2">
        <v>46192</v>
      </c>
      <c r="C239" t="s">
        <v>30</v>
      </c>
      <c r="D239" t="s">
        <v>74</v>
      </c>
      <c r="E239" t="s">
        <v>111</v>
      </c>
      <c r="F239" t="s">
        <v>190</v>
      </c>
      <c r="G239" t="s">
        <v>126</v>
      </c>
      <c r="H239" t="s">
        <v>114</v>
      </c>
      <c r="I239" t="s">
        <v>613</v>
      </c>
      <c r="J239" t="s">
        <v>3133</v>
      </c>
      <c r="K239" t="s">
        <v>105</v>
      </c>
      <c r="L239" t="s">
        <v>68</v>
      </c>
      <c r="M239" t="s">
        <v>81</v>
      </c>
      <c r="N239" t="s">
        <v>130</v>
      </c>
      <c r="O239" s="4">
        <v>5</v>
      </c>
      <c r="P239" s="4">
        <v>6</v>
      </c>
      <c r="Q239" t="s">
        <v>58</v>
      </c>
      <c r="R239" s="2">
        <v>46188</v>
      </c>
      <c r="S239" s="4">
        <v>15</v>
      </c>
      <c r="T239" s="3">
        <v>371000000</v>
      </c>
      <c r="U239" t="s">
        <v>42</v>
      </c>
      <c r="V239" t="s">
        <v>70</v>
      </c>
      <c r="W239" t="s">
        <v>131</v>
      </c>
      <c r="Y239" t="s">
        <v>132</v>
      </c>
      <c r="Z239" t="s">
        <v>3179</v>
      </c>
      <c r="AA239" t="s">
        <v>118</v>
      </c>
      <c r="AB239" t="s">
        <v>97</v>
      </c>
      <c r="AC239" t="s">
        <v>118</v>
      </c>
    </row>
    <row r="240" spans="1:29">
      <c r="A240" t="s">
        <v>614</v>
      </c>
      <c r="B240" s="2">
        <v>46195</v>
      </c>
      <c r="C240" t="s">
        <v>30</v>
      </c>
      <c r="D240" t="s">
        <v>49</v>
      </c>
      <c r="E240" t="s">
        <v>32</v>
      </c>
      <c r="F240" t="s">
        <v>256</v>
      </c>
      <c r="G240" t="s">
        <v>218</v>
      </c>
      <c r="H240" t="s">
        <v>35</v>
      </c>
      <c r="I240" t="s">
        <v>323</v>
      </c>
      <c r="J240" t="s">
        <v>3052</v>
      </c>
      <c r="K240" t="s">
        <v>105</v>
      </c>
      <c r="L240" t="s">
        <v>38</v>
      </c>
      <c r="M240" t="s">
        <v>81</v>
      </c>
      <c r="N240" t="s">
        <v>40</v>
      </c>
      <c r="O240" s="4">
        <v>2</v>
      </c>
      <c r="P240" s="4">
        <v>11</v>
      </c>
      <c r="Q240" t="s">
        <v>138</v>
      </c>
      <c r="R240" s="2">
        <v>46191</v>
      </c>
      <c r="S240" s="4">
        <v>12</v>
      </c>
      <c r="T240" s="3">
        <v>97000000</v>
      </c>
      <c r="U240" t="s">
        <v>42</v>
      </c>
      <c r="V240" t="s">
        <v>59</v>
      </c>
      <c r="W240" t="s">
        <v>178</v>
      </c>
      <c r="Y240" t="s">
        <v>309</v>
      </c>
      <c r="Z240" t="s">
        <v>3178</v>
      </c>
      <c r="AA240" t="s">
        <v>46</v>
      </c>
      <c r="AB240" t="s">
        <v>87</v>
      </c>
      <c r="AC240" t="s">
        <v>46</v>
      </c>
    </row>
    <row r="241" spans="1:29">
      <c r="A241" t="s">
        <v>615</v>
      </c>
      <c r="B241" s="2">
        <v>46201</v>
      </c>
      <c r="C241" t="s">
        <v>30</v>
      </c>
      <c r="D241" t="s">
        <v>49</v>
      </c>
      <c r="E241" t="s">
        <v>152</v>
      </c>
      <c r="F241" t="s">
        <v>221</v>
      </c>
      <c r="G241" t="s">
        <v>154</v>
      </c>
      <c r="H241" t="s">
        <v>155</v>
      </c>
      <c r="I241" t="s">
        <v>375</v>
      </c>
      <c r="J241" t="s">
        <v>3067</v>
      </c>
      <c r="K241" t="s">
        <v>92</v>
      </c>
      <c r="L241" t="s">
        <v>38</v>
      </c>
      <c r="M241" t="s">
        <v>129</v>
      </c>
      <c r="N241" t="s">
        <v>57</v>
      </c>
      <c r="O241" s="4">
        <v>3</v>
      </c>
      <c r="P241" s="4">
        <v>11</v>
      </c>
      <c r="Q241" t="s">
        <v>138</v>
      </c>
      <c r="R241" s="2">
        <v>46201</v>
      </c>
      <c r="S241" s="4">
        <v>2</v>
      </c>
      <c r="T241" s="3">
        <v>83000000</v>
      </c>
      <c r="U241" t="s">
        <v>42</v>
      </c>
      <c r="V241" t="s">
        <v>59</v>
      </c>
      <c r="W241" t="s">
        <v>157</v>
      </c>
      <c r="Y241" t="s">
        <v>165</v>
      </c>
      <c r="Z241" t="s">
        <v>3177</v>
      </c>
      <c r="AA241" t="s">
        <v>159</v>
      </c>
      <c r="AB241" t="s">
        <v>63</v>
      </c>
      <c r="AC241" t="s">
        <v>159</v>
      </c>
    </row>
    <row r="242" spans="1:29">
      <c r="A242" t="s">
        <v>616</v>
      </c>
      <c r="B242" s="2">
        <v>46183</v>
      </c>
      <c r="C242" t="s">
        <v>30</v>
      </c>
      <c r="D242" t="s">
        <v>99</v>
      </c>
      <c r="E242" t="s">
        <v>120</v>
      </c>
      <c r="F242" t="s">
        <v>246</v>
      </c>
      <c r="G242" t="s">
        <v>122</v>
      </c>
      <c r="H242" t="s">
        <v>123</v>
      </c>
      <c r="I242" t="s">
        <v>225</v>
      </c>
      <c r="J242" t="s">
        <v>3030</v>
      </c>
      <c r="K242" t="s">
        <v>56</v>
      </c>
      <c r="L242" t="s">
        <v>68</v>
      </c>
      <c r="M242" t="s">
        <v>81</v>
      </c>
      <c r="N242" t="s">
        <v>40</v>
      </c>
      <c r="O242" s="4">
        <v>2</v>
      </c>
      <c r="P242" s="4">
        <v>12</v>
      </c>
      <c r="Q242" t="s">
        <v>41</v>
      </c>
      <c r="R242" s="2">
        <v>46176</v>
      </c>
      <c r="S242" s="4">
        <v>27</v>
      </c>
      <c r="T242" s="3">
        <v>458000000</v>
      </c>
      <c r="U242" t="s">
        <v>42</v>
      </c>
      <c r="V242" t="s">
        <v>43</v>
      </c>
      <c r="W242" t="s">
        <v>239</v>
      </c>
      <c r="Y242" t="s">
        <v>281</v>
      </c>
      <c r="Z242" t="s">
        <v>3180</v>
      </c>
      <c r="AA242" t="s">
        <v>97</v>
      </c>
      <c r="AB242" t="s">
        <v>193</v>
      </c>
      <c r="AC242" t="s">
        <v>97</v>
      </c>
    </row>
    <row r="243" spans="1:29">
      <c r="A243" t="s">
        <v>617</v>
      </c>
      <c r="B243" s="2">
        <v>46177</v>
      </c>
      <c r="C243" t="s">
        <v>30</v>
      </c>
      <c r="D243" t="s">
        <v>134</v>
      </c>
      <c r="E243" t="s">
        <v>32</v>
      </c>
      <c r="F243" t="s">
        <v>33</v>
      </c>
      <c r="G243" t="s">
        <v>463</v>
      </c>
      <c r="H243" t="s">
        <v>258</v>
      </c>
      <c r="I243" t="s">
        <v>297</v>
      </c>
      <c r="J243" t="s">
        <v>3044</v>
      </c>
      <c r="K243" t="s">
        <v>37</v>
      </c>
      <c r="L243" t="s">
        <v>80</v>
      </c>
      <c r="M243" t="s">
        <v>164</v>
      </c>
      <c r="N243" t="s">
        <v>40</v>
      </c>
      <c r="O243" s="4">
        <v>2</v>
      </c>
      <c r="P243" s="4">
        <v>5</v>
      </c>
      <c r="Q243" t="s">
        <v>69</v>
      </c>
      <c r="R243" s="2">
        <v>46173</v>
      </c>
      <c r="S243" s="4">
        <v>30</v>
      </c>
      <c r="T243" s="3">
        <v>247000000</v>
      </c>
      <c r="U243" t="s">
        <v>42</v>
      </c>
      <c r="V243" t="s">
        <v>43</v>
      </c>
      <c r="W243" t="s">
        <v>178</v>
      </c>
      <c r="Y243" t="s">
        <v>281</v>
      </c>
      <c r="Z243" t="s">
        <v>3178</v>
      </c>
      <c r="AA243" t="s">
        <v>46</v>
      </c>
      <c r="AB243" t="s">
        <v>87</v>
      </c>
      <c r="AC243" t="s">
        <v>46</v>
      </c>
    </row>
    <row r="244" spans="1:29">
      <c r="A244" t="s">
        <v>618</v>
      </c>
      <c r="B244" s="2">
        <v>46180</v>
      </c>
      <c r="C244" t="s">
        <v>30</v>
      </c>
      <c r="D244" t="s">
        <v>134</v>
      </c>
      <c r="E244" t="s">
        <v>120</v>
      </c>
      <c r="F244" t="s">
        <v>167</v>
      </c>
      <c r="G244" t="s">
        <v>227</v>
      </c>
      <c r="H244" t="s">
        <v>136</v>
      </c>
      <c r="I244" t="s">
        <v>581</v>
      </c>
      <c r="J244" t="s">
        <v>3125</v>
      </c>
      <c r="K244" t="s">
        <v>37</v>
      </c>
      <c r="L244" t="s">
        <v>38</v>
      </c>
      <c r="M244" t="s">
        <v>129</v>
      </c>
      <c r="N244" t="s">
        <v>40</v>
      </c>
      <c r="O244" s="4">
        <v>2</v>
      </c>
      <c r="P244" s="4">
        <v>4</v>
      </c>
      <c r="Q244" t="s">
        <v>41</v>
      </c>
      <c r="R244" s="2">
        <v>46180</v>
      </c>
      <c r="S244" s="4">
        <v>23</v>
      </c>
      <c r="T244" s="3">
        <v>77000000</v>
      </c>
      <c r="U244" t="s">
        <v>177</v>
      </c>
      <c r="V244" t="s">
        <v>59</v>
      </c>
      <c r="W244" t="s">
        <v>44</v>
      </c>
      <c r="X244" t="s">
        <v>520</v>
      </c>
      <c r="Y244" t="s">
        <v>309</v>
      </c>
      <c r="Z244" t="s">
        <v>3176</v>
      </c>
      <c r="AA244" t="s">
        <v>97</v>
      </c>
      <c r="AB244" t="s">
        <v>47</v>
      </c>
      <c r="AC244" t="s">
        <v>97</v>
      </c>
    </row>
    <row r="245" spans="1:29">
      <c r="A245" t="s">
        <v>619</v>
      </c>
      <c r="B245" s="2">
        <v>46187</v>
      </c>
      <c r="C245" t="s">
        <v>30</v>
      </c>
      <c r="D245" t="s">
        <v>99</v>
      </c>
      <c r="E245" t="s">
        <v>32</v>
      </c>
      <c r="F245" t="s">
        <v>33</v>
      </c>
      <c r="G245" t="s">
        <v>218</v>
      </c>
      <c r="H245" t="s">
        <v>35</v>
      </c>
      <c r="I245" t="s">
        <v>604</v>
      </c>
      <c r="J245" t="s">
        <v>3130</v>
      </c>
      <c r="K245" t="s">
        <v>37</v>
      </c>
      <c r="L245" t="s">
        <v>187</v>
      </c>
      <c r="M245" t="s">
        <v>81</v>
      </c>
      <c r="N245" t="s">
        <v>130</v>
      </c>
      <c r="O245" s="4">
        <v>5</v>
      </c>
      <c r="P245" s="4">
        <v>5</v>
      </c>
      <c r="Q245" t="s">
        <v>138</v>
      </c>
      <c r="R245" s="2">
        <v>46177</v>
      </c>
      <c r="S245" s="4">
        <v>26</v>
      </c>
      <c r="T245" s="3">
        <v>88000000</v>
      </c>
      <c r="U245" t="s">
        <v>42</v>
      </c>
      <c r="V245" t="s">
        <v>143</v>
      </c>
      <c r="W245" t="s">
        <v>252</v>
      </c>
      <c r="Y245" t="s">
        <v>262</v>
      </c>
      <c r="Z245" t="s">
        <v>3179</v>
      </c>
      <c r="AA245" t="s">
        <v>46</v>
      </c>
      <c r="AB245" t="s">
        <v>97</v>
      </c>
      <c r="AC245" t="s">
        <v>46</v>
      </c>
    </row>
    <row r="246" spans="1:29">
      <c r="A246" t="s">
        <v>620</v>
      </c>
      <c r="B246" s="2">
        <v>46188</v>
      </c>
      <c r="C246" t="s">
        <v>30</v>
      </c>
      <c r="D246" t="s">
        <v>74</v>
      </c>
      <c r="E246" t="s">
        <v>152</v>
      </c>
      <c r="F246" t="s">
        <v>153</v>
      </c>
      <c r="G246" t="s">
        <v>154</v>
      </c>
      <c r="H246" t="s">
        <v>155</v>
      </c>
      <c r="I246" t="s">
        <v>418</v>
      </c>
      <c r="J246" t="s">
        <v>3079</v>
      </c>
      <c r="K246" t="s">
        <v>37</v>
      </c>
      <c r="L246" t="s">
        <v>169</v>
      </c>
      <c r="M246" t="s">
        <v>106</v>
      </c>
      <c r="N246" t="s">
        <v>94</v>
      </c>
      <c r="O246" s="4">
        <v>4</v>
      </c>
      <c r="P246" s="4">
        <v>11</v>
      </c>
      <c r="Q246" t="s">
        <v>107</v>
      </c>
      <c r="R246" s="2">
        <v>46184</v>
      </c>
      <c r="S246" s="4">
        <v>19</v>
      </c>
      <c r="T246" s="3">
        <v>229000000</v>
      </c>
      <c r="U246" t="s">
        <v>42</v>
      </c>
      <c r="V246" t="s">
        <v>59</v>
      </c>
      <c r="W246" t="s">
        <v>95</v>
      </c>
      <c r="Y246" t="s">
        <v>268</v>
      </c>
      <c r="Z246" t="s">
        <v>3179</v>
      </c>
      <c r="AA246" t="s">
        <v>159</v>
      </c>
      <c r="AB246" t="s">
        <v>97</v>
      </c>
      <c r="AC246" t="s">
        <v>159</v>
      </c>
    </row>
    <row r="247" spans="1:29">
      <c r="A247" t="s">
        <v>621</v>
      </c>
      <c r="B247" s="2">
        <v>46199</v>
      </c>
      <c r="C247" t="s">
        <v>30</v>
      </c>
      <c r="D247" t="s">
        <v>49</v>
      </c>
      <c r="E247" t="s">
        <v>75</v>
      </c>
      <c r="F247" t="s">
        <v>183</v>
      </c>
      <c r="G247" t="s">
        <v>162</v>
      </c>
      <c r="H247" t="s">
        <v>388</v>
      </c>
      <c r="I247" t="s">
        <v>409</v>
      </c>
      <c r="J247" t="s">
        <v>3076</v>
      </c>
      <c r="K247" t="s">
        <v>92</v>
      </c>
      <c r="L247" t="s">
        <v>55</v>
      </c>
      <c r="M247" t="s">
        <v>93</v>
      </c>
      <c r="N247" t="s">
        <v>130</v>
      </c>
      <c r="O247" s="4">
        <v>5</v>
      </c>
      <c r="P247" s="4">
        <v>17</v>
      </c>
      <c r="Q247" t="s">
        <v>41</v>
      </c>
      <c r="R247" s="2">
        <v>46198</v>
      </c>
      <c r="S247" s="4">
        <v>5</v>
      </c>
      <c r="T247" s="3">
        <v>186000000</v>
      </c>
      <c r="U247" t="s">
        <v>42</v>
      </c>
      <c r="V247" t="s">
        <v>59</v>
      </c>
      <c r="W247" t="s">
        <v>252</v>
      </c>
      <c r="Y247" t="s">
        <v>254</v>
      </c>
      <c r="Z247" t="s">
        <v>3179</v>
      </c>
      <c r="AA247" t="s">
        <v>86</v>
      </c>
      <c r="AB247" t="s">
        <v>97</v>
      </c>
      <c r="AC247" t="s">
        <v>86</v>
      </c>
    </row>
    <row r="248" spans="1:29">
      <c r="A248" t="s">
        <v>622</v>
      </c>
      <c r="B248" s="2">
        <v>46180</v>
      </c>
      <c r="C248" t="s">
        <v>30</v>
      </c>
      <c r="D248" t="s">
        <v>134</v>
      </c>
      <c r="E248" t="s">
        <v>100</v>
      </c>
      <c r="F248" t="s">
        <v>101</v>
      </c>
      <c r="G248" t="s">
        <v>212</v>
      </c>
      <c r="H248" t="s">
        <v>148</v>
      </c>
      <c r="I248" t="s">
        <v>490</v>
      </c>
      <c r="J248" t="s">
        <v>3103</v>
      </c>
      <c r="K248" t="s">
        <v>56</v>
      </c>
      <c r="L248" t="s">
        <v>80</v>
      </c>
      <c r="M248" t="s">
        <v>106</v>
      </c>
      <c r="N248" t="s">
        <v>82</v>
      </c>
      <c r="O248" s="4">
        <v>1</v>
      </c>
      <c r="P248" s="4">
        <v>12</v>
      </c>
      <c r="Q248" t="s">
        <v>107</v>
      </c>
      <c r="R248" s="2">
        <v>46176</v>
      </c>
      <c r="S248" s="4">
        <v>27</v>
      </c>
      <c r="T248" s="3">
        <v>419000000</v>
      </c>
      <c r="U248" t="s">
        <v>42</v>
      </c>
      <c r="V248" t="s">
        <v>43</v>
      </c>
      <c r="W248" t="s">
        <v>290</v>
      </c>
      <c r="Y248" t="s">
        <v>85</v>
      </c>
      <c r="Z248" t="s">
        <v>3180</v>
      </c>
      <c r="AA248" t="s">
        <v>109</v>
      </c>
      <c r="AB248" t="s">
        <v>193</v>
      </c>
      <c r="AC248" t="s">
        <v>109</v>
      </c>
    </row>
    <row r="249" spans="1:29">
      <c r="A249" t="s">
        <v>623</v>
      </c>
      <c r="B249" s="2">
        <v>46199</v>
      </c>
      <c r="C249" t="s">
        <v>30</v>
      </c>
      <c r="D249" t="s">
        <v>49</v>
      </c>
      <c r="E249" t="s">
        <v>75</v>
      </c>
      <c r="F249" t="s">
        <v>183</v>
      </c>
      <c r="G249" t="s">
        <v>184</v>
      </c>
      <c r="H249" t="s">
        <v>388</v>
      </c>
      <c r="I249" t="s">
        <v>389</v>
      </c>
      <c r="J249" t="s">
        <v>3071</v>
      </c>
      <c r="K249" t="s">
        <v>37</v>
      </c>
      <c r="L249" t="s">
        <v>38</v>
      </c>
      <c r="M249" t="s">
        <v>164</v>
      </c>
      <c r="N249" t="s">
        <v>82</v>
      </c>
      <c r="O249" s="4">
        <v>1</v>
      </c>
      <c r="P249" s="4">
        <v>10</v>
      </c>
      <c r="Q249" t="s">
        <v>107</v>
      </c>
      <c r="R249" s="2">
        <v>46199</v>
      </c>
      <c r="S249" s="4">
        <v>4</v>
      </c>
      <c r="T249" s="3">
        <v>236000000</v>
      </c>
      <c r="U249" t="s">
        <v>42</v>
      </c>
      <c r="V249" t="s">
        <v>43</v>
      </c>
      <c r="W249" t="s">
        <v>84</v>
      </c>
      <c r="Y249" t="s">
        <v>330</v>
      </c>
      <c r="Z249" t="s">
        <v>3178</v>
      </c>
      <c r="AA249" t="s">
        <v>86</v>
      </c>
      <c r="AB249" t="s">
        <v>87</v>
      </c>
      <c r="AC249" t="s">
        <v>86</v>
      </c>
    </row>
    <row r="250" spans="1:29">
      <c r="A250" t="s">
        <v>624</v>
      </c>
      <c r="B250" s="2">
        <v>46202</v>
      </c>
      <c r="C250" t="s">
        <v>30</v>
      </c>
      <c r="D250" t="s">
        <v>31</v>
      </c>
      <c r="E250" t="s">
        <v>111</v>
      </c>
      <c r="F250" t="s">
        <v>264</v>
      </c>
      <c r="G250" t="s">
        <v>265</v>
      </c>
      <c r="H250" t="s">
        <v>191</v>
      </c>
      <c r="I250" t="s">
        <v>467</v>
      </c>
      <c r="J250" t="s">
        <v>3096</v>
      </c>
      <c r="K250" t="s">
        <v>105</v>
      </c>
      <c r="L250" t="s">
        <v>55</v>
      </c>
      <c r="M250" t="s">
        <v>81</v>
      </c>
      <c r="N250" t="s">
        <v>82</v>
      </c>
      <c r="O250" s="4">
        <v>1</v>
      </c>
      <c r="P250" s="4">
        <v>5</v>
      </c>
      <c r="Q250" t="s">
        <v>142</v>
      </c>
      <c r="R250" s="2">
        <v>46198</v>
      </c>
      <c r="S250" s="4">
        <v>5</v>
      </c>
      <c r="T250" s="3">
        <v>142000000</v>
      </c>
      <c r="U250" t="s">
        <v>42</v>
      </c>
      <c r="V250" t="s">
        <v>43</v>
      </c>
      <c r="W250" t="s">
        <v>290</v>
      </c>
      <c r="Y250" t="s">
        <v>85</v>
      </c>
      <c r="Z250" t="s">
        <v>3178</v>
      </c>
      <c r="AA250" t="s">
        <v>118</v>
      </c>
      <c r="AB250" t="s">
        <v>87</v>
      </c>
      <c r="AC250" t="s">
        <v>118</v>
      </c>
    </row>
    <row r="251" spans="1:29">
      <c r="A251" t="s">
        <v>625</v>
      </c>
      <c r="B251" s="2">
        <v>46199</v>
      </c>
      <c r="C251" t="s">
        <v>30</v>
      </c>
      <c r="D251" t="s">
        <v>49</v>
      </c>
      <c r="E251" t="s">
        <v>75</v>
      </c>
      <c r="F251" t="s">
        <v>161</v>
      </c>
      <c r="G251" t="s">
        <v>387</v>
      </c>
      <c r="H251" t="s">
        <v>388</v>
      </c>
      <c r="I251" t="s">
        <v>556</v>
      </c>
      <c r="J251" t="s">
        <v>3118</v>
      </c>
      <c r="K251" t="s">
        <v>56</v>
      </c>
      <c r="L251" t="s">
        <v>80</v>
      </c>
      <c r="M251" t="s">
        <v>164</v>
      </c>
      <c r="N251" t="s">
        <v>94</v>
      </c>
      <c r="O251" s="4">
        <v>4</v>
      </c>
      <c r="P251" s="4">
        <v>5</v>
      </c>
      <c r="Q251" t="s">
        <v>69</v>
      </c>
      <c r="R251" s="2">
        <v>46196</v>
      </c>
      <c r="S251" s="4">
        <v>7</v>
      </c>
      <c r="T251" s="3">
        <v>280000000</v>
      </c>
      <c r="U251" t="s">
        <v>42</v>
      </c>
      <c r="V251" t="s">
        <v>59</v>
      </c>
      <c r="W251" t="s">
        <v>267</v>
      </c>
      <c r="Y251" t="s">
        <v>108</v>
      </c>
      <c r="Z251" t="s">
        <v>3179</v>
      </c>
      <c r="AA251" t="s">
        <v>86</v>
      </c>
      <c r="AB251" t="s">
        <v>97</v>
      </c>
      <c r="AC251" t="s">
        <v>86</v>
      </c>
    </row>
    <row r="252" spans="1:29">
      <c r="A252" t="s">
        <v>626</v>
      </c>
      <c r="B252" s="2">
        <v>46199</v>
      </c>
      <c r="C252" t="s">
        <v>30</v>
      </c>
      <c r="D252" t="s">
        <v>49</v>
      </c>
      <c r="E252" t="s">
        <v>120</v>
      </c>
      <c r="F252" t="s">
        <v>246</v>
      </c>
      <c r="G252" t="s">
        <v>224</v>
      </c>
      <c r="H252" t="s">
        <v>136</v>
      </c>
      <c r="I252" t="s">
        <v>627</v>
      </c>
      <c r="J252" t="s">
        <v>3134</v>
      </c>
      <c r="K252" t="s">
        <v>56</v>
      </c>
      <c r="L252" t="s">
        <v>187</v>
      </c>
      <c r="M252" t="s">
        <v>106</v>
      </c>
      <c r="N252" t="s">
        <v>213</v>
      </c>
      <c r="O252" s="4">
        <v>6</v>
      </c>
      <c r="P252" s="4">
        <v>9</v>
      </c>
      <c r="Q252" t="s">
        <v>142</v>
      </c>
      <c r="R252" s="2">
        <v>46192</v>
      </c>
      <c r="S252" s="4">
        <v>11</v>
      </c>
      <c r="T252" s="3">
        <v>476000000</v>
      </c>
      <c r="U252" t="s">
        <v>214</v>
      </c>
      <c r="V252" t="s">
        <v>70</v>
      </c>
      <c r="W252" t="s">
        <v>248</v>
      </c>
      <c r="Y252" t="s">
        <v>216</v>
      </c>
      <c r="Z252" t="s">
        <v>3179</v>
      </c>
      <c r="AA252" t="s">
        <v>97</v>
      </c>
      <c r="AB252" t="s">
        <v>97</v>
      </c>
      <c r="AC252" t="s">
        <v>97</v>
      </c>
    </row>
    <row r="253" spans="1:29">
      <c r="A253" t="s">
        <v>628</v>
      </c>
      <c r="B253" s="2">
        <v>46191</v>
      </c>
      <c r="C253" t="s">
        <v>30</v>
      </c>
      <c r="D253" t="s">
        <v>74</v>
      </c>
      <c r="E253" t="s">
        <v>172</v>
      </c>
      <c r="F253" t="s">
        <v>277</v>
      </c>
      <c r="G253" t="s">
        <v>338</v>
      </c>
      <c r="H253" t="s">
        <v>241</v>
      </c>
      <c r="I253" t="s">
        <v>379</v>
      </c>
      <c r="J253" t="s">
        <v>3069</v>
      </c>
      <c r="K253" t="s">
        <v>92</v>
      </c>
      <c r="L253" t="s">
        <v>68</v>
      </c>
      <c r="M253" t="s">
        <v>39</v>
      </c>
      <c r="N253" t="s">
        <v>57</v>
      </c>
      <c r="O253" s="4">
        <v>3</v>
      </c>
      <c r="P253" s="4">
        <v>6</v>
      </c>
      <c r="Q253" t="s">
        <v>58</v>
      </c>
      <c r="R253" s="2">
        <v>46183</v>
      </c>
      <c r="S253" s="4">
        <v>20</v>
      </c>
      <c r="T253" s="3">
        <v>219000000</v>
      </c>
      <c r="U253" t="s">
        <v>42</v>
      </c>
      <c r="V253" t="s">
        <v>59</v>
      </c>
      <c r="W253" t="s">
        <v>157</v>
      </c>
      <c r="Y253" t="s">
        <v>165</v>
      </c>
      <c r="Z253" t="s">
        <v>3177</v>
      </c>
      <c r="AA253" t="s">
        <v>181</v>
      </c>
      <c r="AB253" t="s">
        <v>63</v>
      </c>
      <c r="AC253" t="s">
        <v>181</v>
      </c>
    </row>
    <row r="254" spans="1:29">
      <c r="A254" t="s">
        <v>629</v>
      </c>
      <c r="B254" s="2">
        <v>46198</v>
      </c>
      <c r="C254" t="s">
        <v>30</v>
      </c>
      <c r="D254" t="s">
        <v>49</v>
      </c>
      <c r="E254" t="s">
        <v>75</v>
      </c>
      <c r="F254" t="s">
        <v>183</v>
      </c>
      <c r="G254" t="s">
        <v>230</v>
      </c>
      <c r="H254" t="s">
        <v>388</v>
      </c>
      <c r="I254" t="s">
        <v>630</v>
      </c>
      <c r="J254" t="s">
        <v>3135</v>
      </c>
      <c r="K254" t="s">
        <v>92</v>
      </c>
      <c r="L254" t="s">
        <v>55</v>
      </c>
      <c r="M254" t="s">
        <v>129</v>
      </c>
      <c r="N254" t="s">
        <v>57</v>
      </c>
      <c r="O254" s="4">
        <v>3</v>
      </c>
      <c r="P254" s="4">
        <v>4</v>
      </c>
      <c r="Q254" t="s">
        <v>83</v>
      </c>
      <c r="R254" s="2">
        <v>46191</v>
      </c>
      <c r="S254" s="4">
        <v>12</v>
      </c>
      <c r="T254" s="3">
        <v>57000000</v>
      </c>
      <c r="U254" t="s">
        <v>177</v>
      </c>
      <c r="V254" t="s">
        <v>59</v>
      </c>
      <c r="W254" t="s">
        <v>71</v>
      </c>
      <c r="X254" t="s">
        <v>179</v>
      </c>
      <c r="Y254" t="s">
        <v>158</v>
      </c>
      <c r="Z254" t="s">
        <v>3177</v>
      </c>
      <c r="AA254" t="s">
        <v>86</v>
      </c>
      <c r="AB254" t="s">
        <v>63</v>
      </c>
      <c r="AC254" t="s">
        <v>86</v>
      </c>
    </row>
    <row r="255" spans="1:29">
      <c r="A255" t="s">
        <v>631</v>
      </c>
      <c r="B255" s="2">
        <v>46189</v>
      </c>
      <c r="C255" t="s">
        <v>30</v>
      </c>
      <c r="D255" t="s">
        <v>74</v>
      </c>
      <c r="E255" t="s">
        <v>172</v>
      </c>
      <c r="F255" t="s">
        <v>173</v>
      </c>
      <c r="G255" t="s">
        <v>476</v>
      </c>
      <c r="H255" t="s">
        <v>241</v>
      </c>
      <c r="I255" t="s">
        <v>632</v>
      </c>
      <c r="J255" t="s">
        <v>3136</v>
      </c>
      <c r="K255" t="s">
        <v>37</v>
      </c>
      <c r="L255" t="s">
        <v>80</v>
      </c>
      <c r="M255" t="s">
        <v>81</v>
      </c>
      <c r="N255" t="s">
        <v>57</v>
      </c>
      <c r="O255" s="4">
        <v>3</v>
      </c>
      <c r="P255" s="4">
        <v>10</v>
      </c>
      <c r="Q255" t="s">
        <v>142</v>
      </c>
      <c r="R255" s="2">
        <v>46180</v>
      </c>
      <c r="S255" s="4">
        <v>23</v>
      </c>
      <c r="T255" s="3">
        <v>186000000</v>
      </c>
      <c r="U255" t="s">
        <v>42</v>
      </c>
      <c r="V255" t="s">
        <v>59</v>
      </c>
      <c r="W255" t="s">
        <v>71</v>
      </c>
      <c r="Y255" t="s">
        <v>165</v>
      </c>
      <c r="Z255" t="s">
        <v>3177</v>
      </c>
      <c r="AA255" t="s">
        <v>181</v>
      </c>
      <c r="AB255" t="s">
        <v>63</v>
      </c>
      <c r="AC255" t="s">
        <v>181</v>
      </c>
    </row>
    <row r="256" spans="1:29">
      <c r="A256" t="s">
        <v>633</v>
      </c>
      <c r="B256" s="2">
        <v>46184</v>
      </c>
      <c r="C256" t="s">
        <v>30</v>
      </c>
      <c r="D256" t="s">
        <v>99</v>
      </c>
      <c r="E256" t="s">
        <v>50</v>
      </c>
      <c r="F256" t="s">
        <v>89</v>
      </c>
      <c r="G256" t="s">
        <v>234</v>
      </c>
      <c r="H256" t="s">
        <v>66</v>
      </c>
      <c r="I256" t="s">
        <v>346</v>
      </c>
      <c r="J256" t="s">
        <v>3058</v>
      </c>
      <c r="K256" t="s">
        <v>37</v>
      </c>
      <c r="L256" t="s">
        <v>80</v>
      </c>
      <c r="M256" t="s">
        <v>164</v>
      </c>
      <c r="N256" t="s">
        <v>94</v>
      </c>
      <c r="O256" s="4">
        <v>4</v>
      </c>
      <c r="P256" s="4">
        <v>10</v>
      </c>
      <c r="Q256" t="s">
        <v>142</v>
      </c>
      <c r="R256" s="2">
        <v>46181</v>
      </c>
      <c r="S256" s="4">
        <v>22</v>
      </c>
      <c r="T256" s="3">
        <v>249000000</v>
      </c>
      <c r="U256" t="s">
        <v>426</v>
      </c>
      <c r="V256" t="s">
        <v>59</v>
      </c>
      <c r="W256" t="s">
        <v>170</v>
      </c>
      <c r="X256" t="s">
        <v>261</v>
      </c>
      <c r="Y256" t="s">
        <v>108</v>
      </c>
      <c r="Z256" t="s">
        <v>3179</v>
      </c>
      <c r="AA256" t="s">
        <v>62</v>
      </c>
      <c r="AB256" t="s">
        <v>97</v>
      </c>
      <c r="AC256" t="s">
        <v>62</v>
      </c>
    </row>
    <row r="257" spans="1:29">
      <c r="A257" t="s">
        <v>634</v>
      </c>
      <c r="B257" s="2">
        <v>46192</v>
      </c>
      <c r="C257" t="s">
        <v>30</v>
      </c>
      <c r="D257" t="s">
        <v>74</v>
      </c>
      <c r="E257" t="s">
        <v>75</v>
      </c>
      <c r="F257" t="s">
        <v>183</v>
      </c>
      <c r="G257" t="s">
        <v>162</v>
      </c>
      <c r="H257" t="s">
        <v>78</v>
      </c>
      <c r="I257" t="s">
        <v>163</v>
      </c>
      <c r="J257" t="s">
        <v>3021</v>
      </c>
      <c r="K257" t="s">
        <v>92</v>
      </c>
      <c r="L257" t="s">
        <v>169</v>
      </c>
      <c r="M257" t="s">
        <v>39</v>
      </c>
      <c r="N257" t="s">
        <v>94</v>
      </c>
      <c r="O257" s="4">
        <v>4</v>
      </c>
      <c r="P257" s="4">
        <v>5</v>
      </c>
      <c r="Q257" t="s">
        <v>41</v>
      </c>
      <c r="R257" s="2">
        <v>46190</v>
      </c>
      <c r="S257" s="4">
        <v>13</v>
      </c>
      <c r="T257" s="3">
        <v>56000000</v>
      </c>
      <c r="U257" t="s">
        <v>42</v>
      </c>
      <c r="V257" t="s">
        <v>59</v>
      </c>
      <c r="W257" t="s">
        <v>267</v>
      </c>
      <c r="Y257" t="s">
        <v>96</v>
      </c>
      <c r="Z257" t="s">
        <v>3179</v>
      </c>
      <c r="AA257" t="s">
        <v>86</v>
      </c>
      <c r="AB257" t="s">
        <v>97</v>
      </c>
      <c r="AC257" t="s">
        <v>86</v>
      </c>
    </row>
    <row r="258" spans="1:29">
      <c r="A258" t="s">
        <v>635</v>
      </c>
      <c r="B258" s="2">
        <v>46176</v>
      </c>
      <c r="C258" t="s">
        <v>30</v>
      </c>
      <c r="D258" t="s">
        <v>134</v>
      </c>
      <c r="E258" t="s">
        <v>75</v>
      </c>
      <c r="F258" t="s">
        <v>76</v>
      </c>
      <c r="G258" t="s">
        <v>230</v>
      </c>
      <c r="H258" t="s">
        <v>388</v>
      </c>
      <c r="I258" t="s">
        <v>630</v>
      </c>
      <c r="J258" t="s">
        <v>3135</v>
      </c>
      <c r="K258" t="s">
        <v>105</v>
      </c>
      <c r="L258" t="s">
        <v>55</v>
      </c>
      <c r="M258" t="s">
        <v>81</v>
      </c>
      <c r="N258" t="s">
        <v>57</v>
      </c>
      <c r="O258" s="4">
        <v>3</v>
      </c>
      <c r="P258" s="4">
        <v>11</v>
      </c>
      <c r="Q258" t="s">
        <v>69</v>
      </c>
      <c r="R258" s="2">
        <v>46176</v>
      </c>
      <c r="S258" s="4">
        <v>27</v>
      </c>
      <c r="T258" s="3">
        <v>144000000</v>
      </c>
      <c r="U258" t="s">
        <v>42</v>
      </c>
      <c r="V258" t="s">
        <v>43</v>
      </c>
      <c r="W258" t="s">
        <v>60</v>
      </c>
      <c r="Y258" t="s">
        <v>165</v>
      </c>
      <c r="Z258" t="s">
        <v>3177</v>
      </c>
      <c r="AA258" t="s">
        <v>86</v>
      </c>
      <c r="AB258" t="s">
        <v>63</v>
      </c>
      <c r="AC258" t="s">
        <v>86</v>
      </c>
    </row>
    <row r="259" spans="1:29">
      <c r="A259" t="s">
        <v>636</v>
      </c>
      <c r="B259" s="2">
        <v>46190</v>
      </c>
      <c r="C259" t="s">
        <v>30</v>
      </c>
      <c r="D259" t="s">
        <v>74</v>
      </c>
      <c r="E259" t="s">
        <v>152</v>
      </c>
      <c r="F259" t="s">
        <v>221</v>
      </c>
      <c r="G259" t="s">
        <v>206</v>
      </c>
      <c r="H259" t="s">
        <v>207</v>
      </c>
      <c r="I259" t="s">
        <v>637</v>
      </c>
      <c r="J259" t="s">
        <v>3137</v>
      </c>
      <c r="K259" t="s">
        <v>105</v>
      </c>
      <c r="L259" t="s">
        <v>80</v>
      </c>
      <c r="M259" t="s">
        <v>129</v>
      </c>
      <c r="N259" t="s">
        <v>57</v>
      </c>
      <c r="O259" s="4">
        <v>3</v>
      </c>
      <c r="P259" s="4">
        <v>10</v>
      </c>
      <c r="Q259" t="s">
        <v>41</v>
      </c>
      <c r="R259" s="2">
        <v>46190</v>
      </c>
      <c r="S259" s="4">
        <v>13</v>
      </c>
      <c r="T259" s="3">
        <v>205000000</v>
      </c>
      <c r="U259" t="s">
        <v>42</v>
      </c>
      <c r="V259" t="s">
        <v>43</v>
      </c>
      <c r="W259" t="s">
        <v>203</v>
      </c>
      <c r="Y259" t="s">
        <v>158</v>
      </c>
      <c r="Z259" t="s">
        <v>3177</v>
      </c>
      <c r="AA259" t="s">
        <v>159</v>
      </c>
      <c r="AB259" t="s">
        <v>63</v>
      </c>
      <c r="AC259" t="s">
        <v>159</v>
      </c>
    </row>
    <row r="260" spans="1:29">
      <c r="A260" t="s">
        <v>638</v>
      </c>
      <c r="B260" s="2">
        <v>46191</v>
      </c>
      <c r="C260" t="s">
        <v>30</v>
      </c>
      <c r="D260" t="s">
        <v>74</v>
      </c>
      <c r="E260" t="s">
        <v>152</v>
      </c>
      <c r="F260" t="s">
        <v>153</v>
      </c>
      <c r="G260" t="s">
        <v>154</v>
      </c>
      <c r="H260" t="s">
        <v>155</v>
      </c>
      <c r="I260" t="s">
        <v>375</v>
      </c>
      <c r="J260" t="s">
        <v>3067</v>
      </c>
      <c r="K260" t="s">
        <v>105</v>
      </c>
      <c r="L260" t="s">
        <v>38</v>
      </c>
      <c r="M260" t="s">
        <v>129</v>
      </c>
      <c r="N260" t="s">
        <v>94</v>
      </c>
      <c r="O260" s="4">
        <v>4</v>
      </c>
      <c r="P260" s="4">
        <v>9</v>
      </c>
      <c r="Q260" t="s">
        <v>138</v>
      </c>
      <c r="R260" s="2">
        <v>46188</v>
      </c>
      <c r="S260" s="4">
        <v>15</v>
      </c>
      <c r="T260" s="3">
        <v>191000000</v>
      </c>
      <c r="U260" t="s">
        <v>42</v>
      </c>
      <c r="V260" t="s">
        <v>70</v>
      </c>
      <c r="W260" t="s">
        <v>170</v>
      </c>
      <c r="Y260" t="s">
        <v>268</v>
      </c>
      <c r="Z260" t="s">
        <v>3179</v>
      </c>
      <c r="AA260" t="s">
        <v>159</v>
      </c>
      <c r="AB260" t="s">
        <v>97</v>
      </c>
      <c r="AC260" t="s">
        <v>159</v>
      </c>
    </row>
    <row r="261" spans="1:29">
      <c r="A261" t="s">
        <v>639</v>
      </c>
      <c r="B261" s="2">
        <v>46189</v>
      </c>
      <c r="C261" t="s">
        <v>30</v>
      </c>
      <c r="D261" t="s">
        <v>74</v>
      </c>
      <c r="E261" t="s">
        <v>120</v>
      </c>
      <c r="F261" t="s">
        <v>167</v>
      </c>
      <c r="G261" t="s">
        <v>135</v>
      </c>
      <c r="H261" t="s">
        <v>123</v>
      </c>
      <c r="I261" t="s">
        <v>397</v>
      </c>
      <c r="J261" t="s">
        <v>3073</v>
      </c>
      <c r="K261" t="s">
        <v>92</v>
      </c>
      <c r="L261" t="s">
        <v>187</v>
      </c>
      <c r="M261" t="s">
        <v>39</v>
      </c>
      <c r="N261" t="s">
        <v>94</v>
      </c>
      <c r="O261" s="4">
        <v>4</v>
      </c>
      <c r="P261" s="4">
        <v>13</v>
      </c>
      <c r="Q261" t="s">
        <v>83</v>
      </c>
      <c r="R261" s="2">
        <v>46181</v>
      </c>
      <c r="S261" s="4">
        <v>22</v>
      </c>
      <c r="T261" s="3">
        <v>173000000</v>
      </c>
      <c r="U261" t="s">
        <v>42</v>
      </c>
      <c r="V261" t="s">
        <v>143</v>
      </c>
      <c r="W261" t="s">
        <v>95</v>
      </c>
      <c r="Y261" t="s">
        <v>108</v>
      </c>
      <c r="Z261" t="s">
        <v>3179</v>
      </c>
      <c r="AA261" t="s">
        <v>97</v>
      </c>
      <c r="AB261" t="s">
        <v>97</v>
      </c>
      <c r="AC261" t="s">
        <v>97</v>
      </c>
    </row>
    <row r="262" spans="1:29">
      <c r="A262" t="s">
        <v>640</v>
      </c>
      <c r="B262" s="2">
        <v>46190</v>
      </c>
      <c r="C262" t="s">
        <v>30</v>
      </c>
      <c r="D262" t="s">
        <v>74</v>
      </c>
      <c r="E262" t="s">
        <v>120</v>
      </c>
      <c r="F262" t="s">
        <v>121</v>
      </c>
      <c r="G262" t="s">
        <v>420</v>
      </c>
      <c r="H262" t="s">
        <v>123</v>
      </c>
      <c r="I262" t="s">
        <v>459</v>
      </c>
      <c r="J262" t="s">
        <v>3093</v>
      </c>
      <c r="K262" t="s">
        <v>92</v>
      </c>
      <c r="L262" t="s">
        <v>169</v>
      </c>
      <c r="M262" t="s">
        <v>81</v>
      </c>
      <c r="N262" t="s">
        <v>94</v>
      </c>
      <c r="O262" s="4">
        <v>4</v>
      </c>
      <c r="P262" s="4">
        <v>5</v>
      </c>
      <c r="Q262" t="s">
        <v>107</v>
      </c>
      <c r="R262" s="2">
        <v>46180</v>
      </c>
      <c r="S262" s="4">
        <v>23</v>
      </c>
      <c r="T262" s="3">
        <v>199000000</v>
      </c>
      <c r="U262" t="s">
        <v>426</v>
      </c>
      <c r="V262" t="s">
        <v>59</v>
      </c>
      <c r="W262" t="s">
        <v>170</v>
      </c>
      <c r="X262" t="s">
        <v>422</v>
      </c>
      <c r="Y262" t="s">
        <v>268</v>
      </c>
      <c r="Z262" t="s">
        <v>3179</v>
      </c>
      <c r="AA262" t="s">
        <v>97</v>
      </c>
      <c r="AB262" t="s">
        <v>97</v>
      </c>
      <c r="AC262" t="s">
        <v>97</v>
      </c>
    </row>
    <row r="263" spans="1:29">
      <c r="A263" t="s">
        <v>641</v>
      </c>
      <c r="B263" s="2">
        <v>46183</v>
      </c>
      <c r="C263" t="s">
        <v>30</v>
      </c>
      <c r="D263" t="s">
        <v>99</v>
      </c>
      <c r="E263" t="s">
        <v>75</v>
      </c>
      <c r="F263" t="s">
        <v>161</v>
      </c>
      <c r="G263" t="s">
        <v>387</v>
      </c>
      <c r="H263" t="s">
        <v>388</v>
      </c>
      <c r="I263" t="s">
        <v>409</v>
      </c>
      <c r="J263" t="s">
        <v>3076</v>
      </c>
      <c r="K263" t="s">
        <v>56</v>
      </c>
      <c r="L263" t="s">
        <v>150</v>
      </c>
      <c r="M263" t="s">
        <v>56</v>
      </c>
      <c r="N263" t="s">
        <v>130</v>
      </c>
      <c r="O263" s="4">
        <v>5</v>
      </c>
      <c r="P263" s="4">
        <v>8</v>
      </c>
      <c r="Q263" t="s">
        <v>58</v>
      </c>
      <c r="R263" s="2">
        <v>46174</v>
      </c>
      <c r="S263" s="4">
        <v>29</v>
      </c>
      <c r="T263" s="3">
        <v>269000000</v>
      </c>
      <c r="U263" t="s">
        <v>42</v>
      </c>
      <c r="V263" t="s">
        <v>59</v>
      </c>
      <c r="W263" t="s">
        <v>355</v>
      </c>
      <c r="X263" t="s">
        <v>253</v>
      </c>
      <c r="Y263" t="s">
        <v>262</v>
      </c>
      <c r="Z263" t="s">
        <v>3179</v>
      </c>
      <c r="AA263" t="s">
        <v>86</v>
      </c>
      <c r="AB263" t="s">
        <v>97</v>
      </c>
      <c r="AC263" t="s">
        <v>86</v>
      </c>
    </row>
    <row r="264" spans="1:29">
      <c r="A264" t="s">
        <v>642</v>
      </c>
      <c r="B264" s="2">
        <v>46184</v>
      </c>
      <c r="C264" t="s">
        <v>30</v>
      </c>
      <c r="D264" t="s">
        <v>99</v>
      </c>
      <c r="E264" t="s">
        <v>111</v>
      </c>
      <c r="F264" t="s">
        <v>112</v>
      </c>
      <c r="G264" t="s">
        <v>265</v>
      </c>
      <c r="H264" t="s">
        <v>191</v>
      </c>
      <c r="I264" t="s">
        <v>643</v>
      </c>
      <c r="J264" t="s">
        <v>3138</v>
      </c>
      <c r="K264" t="s">
        <v>37</v>
      </c>
      <c r="L264" t="s">
        <v>68</v>
      </c>
      <c r="M264" t="s">
        <v>164</v>
      </c>
      <c r="N264" t="s">
        <v>40</v>
      </c>
      <c r="O264" s="4">
        <v>2</v>
      </c>
      <c r="P264" s="4">
        <v>6</v>
      </c>
      <c r="Q264" t="s">
        <v>41</v>
      </c>
      <c r="R264" s="2">
        <v>46175</v>
      </c>
      <c r="S264" s="4">
        <v>28</v>
      </c>
      <c r="T264" s="3">
        <v>163000000</v>
      </c>
      <c r="U264" t="s">
        <v>42</v>
      </c>
      <c r="V264" t="s">
        <v>43</v>
      </c>
      <c r="W264" t="s">
        <v>44</v>
      </c>
      <c r="Y264" t="s">
        <v>45</v>
      </c>
      <c r="Z264" t="s">
        <v>3178</v>
      </c>
      <c r="AA264" t="s">
        <v>118</v>
      </c>
      <c r="AB264" t="s">
        <v>87</v>
      </c>
      <c r="AC264" t="s">
        <v>118</v>
      </c>
    </row>
    <row r="265" spans="1:29">
      <c r="A265" t="s">
        <v>644</v>
      </c>
      <c r="B265" s="2">
        <v>46190</v>
      </c>
      <c r="C265" t="s">
        <v>30</v>
      </c>
      <c r="D265" t="s">
        <v>74</v>
      </c>
      <c r="E265" t="s">
        <v>111</v>
      </c>
      <c r="F265" t="s">
        <v>190</v>
      </c>
      <c r="G265" t="s">
        <v>265</v>
      </c>
      <c r="H265" t="s">
        <v>114</v>
      </c>
      <c r="I265" t="s">
        <v>645</v>
      </c>
      <c r="J265" t="s">
        <v>3139</v>
      </c>
      <c r="K265" t="s">
        <v>105</v>
      </c>
      <c r="L265" t="s">
        <v>80</v>
      </c>
      <c r="M265" t="s">
        <v>106</v>
      </c>
      <c r="N265" t="s">
        <v>82</v>
      </c>
      <c r="O265" s="4">
        <v>1</v>
      </c>
      <c r="P265" s="4">
        <v>8</v>
      </c>
      <c r="Q265" t="s">
        <v>41</v>
      </c>
      <c r="R265" s="2">
        <v>46185</v>
      </c>
      <c r="S265" s="4">
        <v>18</v>
      </c>
      <c r="T265" s="3">
        <v>206000000</v>
      </c>
      <c r="U265" t="s">
        <v>260</v>
      </c>
      <c r="V265" t="s">
        <v>43</v>
      </c>
      <c r="W265" t="s">
        <v>404</v>
      </c>
      <c r="X265" t="s">
        <v>261</v>
      </c>
      <c r="Y265" t="s">
        <v>85</v>
      </c>
      <c r="Z265" t="s">
        <v>3178</v>
      </c>
      <c r="AA265" t="s">
        <v>118</v>
      </c>
      <c r="AB265" t="s">
        <v>87</v>
      </c>
      <c r="AC265" t="s">
        <v>118</v>
      </c>
    </row>
    <row r="266" spans="1:29">
      <c r="A266" t="s">
        <v>646</v>
      </c>
      <c r="B266" s="2">
        <v>46175</v>
      </c>
      <c r="C266" t="s">
        <v>30</v>
      </c>
      <c r="D266" t="s">
        <v>134</v>
      </c>
      <c r="E266" t="s">
        <v>120</v>
      </c>
      <c r="F266" t="s">
        <v>121</v>
      </c>
      <c r="G266" t="s">
        <v>420</v>
      </c>
      <c r="H266" t="s">
        <v>136</v>
      </c>
      <c r="I266" t="s">
        <v>247</v>
      </c>
      <c r="J266" t="s">
        <v>3035</v>
      </c>
      <c r="K266" t="s">
        <v>37</v>
      </c>
      <c r="L266" t="s">
        <v>169</v>
      </c>
      <c r="M266" t="s">
        <v>39</v>
      </c>
      <c r="N266" t="s">
        <v>94</v>
      </c>
      <c r="O266" s="4">
        <v>4</v>
      </c>
      <c r="P266" s="4">
        <v>8</v>
      </c>
      <c r="Q266" t="s">
        <v>138</v>
      </c>
      <c r="R266" s="2">
        <v>46166</v>
      </c>
      <c r="S266" s="4">
        <v>37</v>
      </c>
      <c r="T266" s="3">
        <v>129000000</v>
      </c>
      <c r="U266" t="s">
        <v>42</v>
      </c>
      <c r="V266" t="s">
        <v>70</v>
      </c>
      <c r="W266" t="s">
        <v>95</v>
      </c>
      <c r="Y266" t="s">
        <v>268</v>
      </c>
      <c r="Z266" t="s">
        <v>3179</v>
      </c>
      <c r="AA266" t="s">
        <v>97</v>
      </c>
      <c r="AB266" t="s">
        <v>97</v>
      </c>
      <c r="AC266" t="s">
        <v>97</v>
      </c>
    </row>
    <row r="267" spans="1:29">
      <c r="A267" t="s">
        <v>647</v>
      </c>
      <c r="B267" s="2">
        <v>46183</v>
      </c>
      <c r="C267" t="s">
        <v>30</v>
      </c>
      <c r="D267" t="s">
        <v>99</v>
      </c>
      <c r="E267" t="s">
        <v>111</v>
      </c>
      <c r="F267" t="s">
        <v>264</v>
      </c>
      <c r="G267" t="s">
        <v>113</v>
      </c>
      <c r="H267" t="s">
        <v>127</v>
      </c>
      <c r="I267" t="s">
        <v>648</v>
      </c>
      <c r="J267" t="s">
        <v>3140</v>
      </c>
      <c r="K267" t="s">
        <v>56</v>
      </c>
      <c r="L267" t="s">
        <v>55</v>
      </c>
      <c r="M267" t="s">
        <v>106</v>
      </c>
      <c r="N267" t="s">
        <v>57</v>
      </c>
      <c r="O267" s="4">
        <v>3</v>
      </c>
      <c r="P267" s="4">
        <v>9</v>
      </c>
      <c r="Q267" t="s">
        <v>83</v>
      </c>
      <c r="R267" s="2">
        <v>46178</v>
      </c>
      <c r="S267" s="4">
        <v>25</v>
      </c>
      <c r="T267" s="3">
        <v>335000000</v>
      </c>
      <c r="U267" t="s">
        <v>42</v>
      </c>
      <c r="V267" t="s">
        <v>59</v>
      </c>
      <c r="W267" t="s">
        <v>60</v>
      </c>
      <c r="Y267" t="s">
        <v>61</v>
      </c>
      <c r="Z267" t="s">
        <v>3177</v>
      </c>
      <c r="AA267" t="s">
        <v>118</v>
      </c>
      <c r="AB267" t="s">
        <v>63</v>
      </c>
      <c r="AC267" t="s">
        <v>118</v>
      </c>
    </row>
    <row r="268" spans="1:29">
      <c r="A268" t="s">
        <v>649</v>
      </c>
      <c r="B268" s="2">
        <v>46192</v>
      </c>
      <c r="C268" t="s">
        <v>30</v>
      </c>
      <c r="D268" t="s">
        <v>74</v>
      </c>
      <c r="E268" t="s">
        <v>120</v>
      </c>
      <c r="F268" t="s">
        <v>167</v>
      </c>
      <c r="G268" t="s">
        <v>224</v>
      </c>
      <c r="H268" t="s">
        <v>136</v>
      </c>
      <c r="I268" t="s">
        <v>137</v>
      </c>
      <c r="J268" t="s">
        <v>3017</v>
      </c>
      <c r="K268" t="s">
        <v>37</v>
      </c>
      <c r="L268" t="s">
        <v>80</v>
      </c>
      <c r="M268" t="s">
        <v>164</v>
      </c>
      <c r="N268" t="s">
        <v>196</v>
      </c>
      <c r="O268" s="4">
        <v>7</v>
      </c>
      <c r="P268" s="4">
        <v>17</v>
      </c>
      <c r="Q268" t="s">
        <v>83</v>
      </c>
      <c r="R268" s="2">
        <v>46186</v>
      </c>
      <c r="S268" s="4">
        <v>17</v>
      </c>
      <c r="T268" s="3">
        <v>153000000</v>
      </c>
      <c r="U268" t="s">
        <v>196</v>
      </c>
      <c r="V268" t="s">
        <v>70</v>
      </c>
      <c r="W268" t="s">
        <v>197</v>
      </c>
      <c r="Y268" t="s">
        <v>369</v>
      </c>
      <c r="Z268" t="s">
        <v>3181</v>
      </c>
      <c r="AA268" t="s">
        <v>97</v>
      </c>
      <c r="AB268" t="s">
        <v>199</v>
      </c>
      <c r="AC268" t="s">
        <v>97</v>
      </c>
    </row>
    <row r="269" spans="1:29">
      <c r="A269" t="s">
        <v>650</v>
      </c>
      <c r="B269" s="2">
        <v>46188</v>
      </c>
      <c r="C269" t="s">
        <v>30</v>
      </c>
      <c r="D269" t="s">
        <v>74</v>
      </c>
      <c r="E269" t="s">
        <v>32</v>
      </c>
      <c r="F269" t="s">
        <v>273</v>
      </c>
      <c r="G269" t="s">
        <v>34</v>
      </c>
      <c r="H269" t="s">
        <v>258</v>
      </c>
      <c r="I269" t="s">
        <v>651</v>
      </c>
      <c r="J269" t="s">
        <v>3141</v>
      </c>
      <c r="K269" t="s">
        <v>105</v>
      </c>
      <c r="L269" t="s">
        <v>80</v>
      </c>
      <c r="M269" t="s">
        <v>129</v>
      </c>
      <c r="N269" t="s">
        <v>82</v>
      </c>
      <c r="O269" s="4">
        <v>1</v>
      </c>
      <c r="P269" s="4">
        <v>1</v>
      </c>
      <c r="Q269" t="s">
        <v>41</v>
      </c>
      <c r="R269" s="2">
        <v>46185</v>
      </c>
      <c r="S269" s="4">
        <v>18</v>
      </c>
      <c r="T269" s="3">
        <v>133000000</v>
      </c>
      <c r="U269" t="s">
        <v>42</v>
      </c>
      <c r="V269" t="s">
        <v>59</v>
      </c>
      <c r="W269" t="s">
        <v>359</v>
      </c>
      <c r="Y269" t="s">
        <v>330</v>
      </c>
      <c r="Z269" t="s">
        <v>3176</v>
      </c>
      <c r="AA269" t="s">
        <v>46</v>
      </c>
      <c r="AB269" t="s">
        <v>47</v>
      </c>
      <c r="AC269" t="s">
        <v>46</v>
      </c>
    </row>
    <row r="270" spans="1:29">
      <c r="A270" t="s">
        <v>652</v>
      </c>
      <c r="B270" s="2">
        <v>46201</v>
      </c>
      <c r="C270" t="s">
        <v>30</v>
      </c>
      <c r="D270" t="s">
        <v>49</v>
      </c>
      <c r="E270" t="s">
        <v>152</v>
      </c>
      <c r="F270" t="s">
        <v>221</v>
      </c>
      <c r="G270" t="s">
        <v>328</v>
      </c>
      <c r="H270" t="s">
        <v>155</v>
      </c>
      <c r="I270" t="s">
        <v>418</v>
      </c>
      <c r="J270" t="s">
        <v>3079</v>
      </c>
      <c r="K270" t="s">
        <v>105</v>
      </c>
      <c r="L270" t="s">
        <v>187</v>
      </c>
      <c r="M270" t="s">
        <v>81</v>
      </c>
      <c r="N270" t="s">
        <v>94</v>
      </c>
      <c r="O270" s="4">
        <v>4</v>
      </c>
      <c r="P270" s="4">
        <v>17</v>
      </c>
      <c r="Q270" t="s">
        <v>142</v>
      </c>
      <c r="R270" s="2">
        <v>46197</v>
      </c>
      <c r="S270" s="4">
        <v>6</v>
      </c>
      <c r="T270" s="3">
        <v>123000000</v>
      </c>
      <c r="U270" t="s">
        <v>42</v>
      </c>
      <c r="V270" t="s">
        <v>59</v>
      </c>
      <c r="W270" t="s">
        <v>170</v>
      </c>
      <c r="Y270" t="s">
        <v>228</v>
      </c>
      <c r="Z270" t="s">
        <v>3179</v>
      </c>
      <c r="AA270" t="s">
        <v>159</v>
      </c>
      <c r="AB270" t="s">
        <v>97</v>
      </c>
      <c r="AC270" t="s">
        <v>159</v>
      </c>
    </row>
    <row r="271" spans="1:29">
      <c r="A271" t="s">
        <v>653</v>
      </c>
      <c r="B271" s="2">
        <v>46190</v>
      </c>
      <c r="C271" t="s">
        <v>30</v>
      </c>
      <c r="D271" t="s">
        <v>74</v>
      </c>
      <c r="E271" t="s">
        <v>111</v>
      </c>
      <c r="F271" t="s">
        <v>190</v>
      </c>
      <c r="G271" t="s">
        <v>348</v>
      </c>
      <c r="H271" t="s">
        <v>127</v>
      </c>
      <c r="I271" t="s">
        <v>654</v>
      </c>
      <c r="J271" t="s">
        <v>3142</v>
      </c>
      <c r="K271" t="s">
        <v>116</v>
      </c>
      <c r="L271" t="s">
        <v>80</v>
      </c>
      <c r="M271" t="s">
        <v>56</v>
      </c>
      <c r="N271" t="s">
        <v>94</v>
      </c>
      <c r="O271" s="4">
        <v>4</v>
      </c>
      <c r="P271" s="4">
        <v>7</v>
      </c>
      <c r="Q271" t="s">
        <v>69</v>
      </c>
      <c r="R271" s="2">
        <v>46187</v>
      </c>
      <c r="S271" s="4">
        <v>16</v>
      </c>
      <c r="T271" s="3">
        <v>80000000</v>
      </c>
      <c r="U271" t="s">
        <v>42</v>
      </c>
      <c r="V271" t="s">
        <v>59</v>
      </c>
      <c r="W271" t="s">
        <v>267</v>
      </c>
      <c r="Y271" t="s">
        <v>268</v>
      </c>
      <c r="Z271" t="s">
        <v>3179</v>
      </c>
      <c r="AA271" t="s">
        <v>118</v>
      </c>
      <c r="AB271" t="s">
        <v>97</v>
      </c>
      <c r="AC271" t="s">
        <v>118</v>
      </c>
    </row>
    <row r="272" spans="1:29">
      <c r="A272" t="s">
        <v>655</v>
      </c>
      <c r="B272" s="2">
        <v>46177</v>
      </c>
      <c r="C272" t="s">
        <v>30</v>
      </c>
      <c r="D272" t="s">
        <v>134</v>
      </c>
      <c r="E272" t="s">
        <v>50</v>
      </c>
      <c r="F272" t="s">
        <v>351</v>
      </c>
      <c r="G272" t="s">
        <v>234</v>
      </c>
      <c r="H272" t="s">
        <v>66</v>
      </c>
      <c r="I272" t="s">
        <v>341</v>
      </c>
      <c r="J272" t="s">
        <v>3056</v>
      </c>
      <c r="K272" t="s">
        <v>92</v>
      </c>
      <c r="L272" t="s">
        <v>68</v>
      </c>
      <c r="M272" t="s">
        <v>39</v>
      </c>
      <c r="N272" t="s">
        <v>57</v>
      </c>
      <c r="O272" s="4">
        <v>3</v>
      </c>
      <c r="P272" s="4">
        <v>7</v>
      </c>
      <c r="Q272" t="s">
        <v>107</v>
      </c>
      <c r="R272" s="2">
        <v>46174</v>
      </c>
      <c r="S272" s="4">
        <v>29</v>
      </c>
      <c r="T272" s="3">
        <v>95000000</v>
      </c>
      <c r="U272" t="s">
        <v>42</v>
      </c>
      <c r="V272" t="s">
        <v>70</v>
      </c>
      <c r="W272" t="s">
        <v>203</v>
      </c>
      <c r="Y272" t="s">
        <v>61</v>
      </c>
      <c r="Z272" t="s">
        <v>3177</v>
      </c>
      <c r="AA272" t="s">
        <v>62</v>
      </c>
      <c r="AB272" t="s">
        <v>63</v>
      </c>
      <c r="AC272" t="s">
        <v>62</v>
      </c>
    </row>
    <row r="273" spans="1:29">
      <c r="A273" t="s">
        <v>656</v>
      </c>
      <c r="B273" s="2">
        <v>46188</v>
      </c>
      <c r="C273" t="s">
        <v>30</v>
      </c>
      <c r="D273" t="s">
        <v>74</v>
      </c>
      <c r="E273" t="s">
        <v>100</v>
      </c>
      <c r="F273" t="s">
        <v>140</v>
      </c>
      <c r="G273" t="s">
        <v>102</v>
      </c>
      <c r="H273" t="s">
        <v>201</v>
      </c>
      <c r="I273" t="s">
        <v>202</v>
      </c>
      <c r="J273" t="s">
        <v>3026</v>
      </c>
      <c r="K273" t="s">
        <v>37</v>
      </c>
      <c r="L273" t="s">
        <v>38</v>
      </c>
      <c r="M273" t="s">
        <v>93</v>
      </c>
      <c r="N273" t="s">
        <v>213</v>
      </c>
      <c r="O273" s="4">
        <v>6</v>
      </c>
      <c r="P273" s="4">
        <v>20</v>
      </c>
      <c r="Q273" t="s">
        <v>107</v>
      </c>
      <c r="R273" s="2">
        <v>46179</v>
      </c>
      <c r="S273" s="4">
        <v>24</v>
      </c>
      <c r="T273" s="3">
        <v>160000000</v>
      </c>
      <c r="U273" t="s">
        <v>214</v>
      </c>
      <c r="V273" t="s">
        <v>70</v>
      </c>
      <c r="W273" t="s">
        <v>390</v>
      </c>
      <c r="Y273" t="s">
        <v>432</v>
      </c>
      <c r="Z273" t="s">
        <v>3179</v>
      </c>
      <c r="AA273" t="s">
        <v>109</v>
      </c>
      <c r="AB273" t="s">
        <v>97</v>
      </c>
      <c r="AC273" t="s">
        <v>109</v>
      </c>
    </row>
    <row r="274" spans="1:29">
      <c r="A274" t="s">
        <v>657</v>
      </c>
      <c r="B274" s="2">
        <v>46199</v>
      </c>
      <c r="C274" t="s">
        <v>30</v>
      </c>
      <c r="D274" t="s">
        <v>49</v>
      </c>
      <c r="E274" t="s">
        <v>120</v>
      </c>
      <c r="F274" t="s">
        <v>167</v>
      </c>
      <c r="G274" t="s">
        <v>135</v>
      </c>
      <c r="H274" t="s">
        <v>136</v>
      </c>
      <c r="I274" t="s">
        <v>658</v>
      </c>
      <c r="J274" t="s">
        <v>3143</v>
      </c>
      <c r="K274" t="s">
        <v>37</v>
      </c>
      <c r="L274" t="s">
        <v>38</v>
      </c>
      <c r="M274" t="s">
        <v>39</v>
      </c>
      <c r="N274" t="s">
        <v>82</v>
      </c>
      <c r="O274" s="4">
        <v>1</v>
      </c>
      <c r="P274" s="4">
        <v>12</v>
      </c>
      <c r="Q274" t="s">
        <v>83</v>
      </c>
      <c r="R274" s="2">
        <v>46189</v>
      </c>
      <c r="S274" s="4">
        <v>14</v>
      </c>
      <c r="T274" s="3">
        <v>186000000</v>
      </c>
      <c r="U274" t="s">
        <v>42</v>
      </c>
      <c r="V274" t="s">
        <v>43</v>
      </c>
      <c r="W274" t="s">
        <v>290</v>
      </c>
      <c r="Y274" t="s">
        <v>330</v>
      </c>
      <c r="Z274" t="s">
        <v>3180</v>
      </c>
      <c r="AA274" t="s">
        <v>97</v>
      </c>
      <c r="AB274" t="s">
        <v>193</v>
      </c>
      <c r="AC274" t="s">
        <v>97</v>
      </c>
    </row>
    <row r="275" spans="1:29">
      <c r="A275" t="s">
        <v>659</v>
      </c>
      <c r="B275" s="2">
        <v>46198</v>
      </c>
      <c r="C275" t="s">
        <v>30</v>
      </c>
      <c r="D275" t="s">
        <v>49</v>
      </c>
      <c r="E275" t="s">
        <v>120</v>
      </c>
      <c r="F275" t="s">
        <v>121</v>
      </c>
      <c r="G275" t="s">
        <v>227</v>
      </c>
      <c r="H275" t="s">
        <v>300</v>
      </c>
      <c r="I275" t="s">
        <v>445</v>
      </c>
      <c r="J275" t="s">
        <v>3087</v>
      </c>
      <c r="K275" t="s">
        <v>92</v>
      </c>
      <c r="L275" t="s">
        <v>68</v>
      </c>
      <c r="M275" t="s">
        <v>93</v>
      </c>
      <c r="N275" t="s">
        <v>57</v>
      </c>
      <c r="O275" s="4">
        <v>3</v>
      </c>
      <c r="P275" s="4">
        <v>7</v>
      </c>
      <c r="Q275" t="s">
        <v>83</v>
      </c>
      <c r="R275" s="2">
        <v>46189</v>
      </c>
      <c r="S275" s="4">
        <v>14</v>
      </c>
      <c r="T275" s="3">
        <v>61000000</v>
      </c>
      <c r="U275" t="s">
        <v>42</v>
      </c>
      <c r="V275" t="s">
        <v>43</v>
      </c>
      <c r="W275" t="s">
        <v>203</v>
      </c>
      <c r="Y275" t="s">
        <v>72</v>
      </c>
      <c r="Z275" t="s">
        <v>3177</v>
      </c>
      <c r="AA275" t="s">
        <v>97</v>
      </c>
      <c r="AB275" t="s">
        <v>63</v>
      </c>
      <c r="AC275" t="s">
        <v>97</v>
      </c>
    </row>
    <row r="276" spans="1:29">
      <c r="A276" t="s">
        <v>660</v>
      </c>
      <c r="B276" s="2">
        <v>46179</v>
      </c>
      <c r="C276" t="s">
        <v>30</v>
      </c>
      <c r="D276" t="s">
        <v>134</v>
      </c>
      <c r="E276" t="s">
        <v>75</v>
      </c>
      <c r="F276" t="s">
        <v>161</v>
      </c>
      <c r="G276" t="s">
        <v>77</v>
      </c>
      <c r="H276" t="s">
        <v>388</v>
      </c>
      <c r="I276" t="s">
        <v>661</v>
      </c>
      <c r="J276" t="s">
        <v>3144</v>
      </c>
      <c r="K276" t="s">
        <v>116</v>
      </c>
      <c r="L276" t="s">
        <v>187</v>
      </c>
      <c r="M276" t="s">
        <v>39</v>
      </c>
      <c r="N276" t="s">
        <v>57</v>
      </c>
      <c r="O276" s="4">
        <v>3</v>
      </c>
      <c r="P276" s="4">
        <v>10</v>
      </c>
      <c r="Q276" t="s">
        <v>41</v>
      </c>
      <c r="R276" s="2">
        <v>46174</v>
      </c>
      <c r="S276" s="4">
        <v>29</v>
      </c>
      <c r="T276" s="3">
        <v>176000000</v>
      </c>
      <c r="U276" t="s">
        <v>42</v>
      </c>
      <c r="V276" t="s">
        <v>43</v>
      </c>
      <c r="W276" t="s">
        <v>71</v>
      </c>
      <c r="Y276" t="s">
        <v>72</v>
      </c>
      <c r="Z276" t="s">
        <v>3177</v>
      </c>
      <c r="AA276" t="s">
        <v>86</v>
      </c>
      <c r="AB276" t="s">
        <v>63</v>
      </c>
      <c r="AC276" t="s">
        <v>86</v>
      </c>
    </row>
    <row r="277" spans="1:29">
      <c r="A277" t="s">
        <v>662</v>
      </c>
      <c r="B277" s="2">
        <v>46181</v>
      </c>
      <c r="C277" t="s">
        <v>30</v>
      </c>
      <c r="D277" t="s">
        <v>99</v>
      </c>
      <c r="E277" t="s">
        <v>152</v>
      </c>
      <c r="F277" t="s">
        <v>221</v>
      </c>
      <c r="G277" t="s">
        <v>328</v>
      </c>
      <c r="H277" t="s">
        <v>283</v>
      </c>
      <c r="I277" t="s">
        <v>663</v>
      </c>
      <c r="J277" t="s">
        <v>3145</v>
      </c>
      <c r="K277" t="s">
        <v>92</v>
      </c>
      <c r="L277" t="s">
        <v>150</v>
      </c>
      <c r="M277" t="s">
        <v>81</v>
      </c>
      <c r="N277" t="s">
        <v>94</v>
      </c>
      <c r="O277" s="4">
        <v>4</v>
      </c>
      <c r="P277" s="4">
        <v>13</v>
      </c>
      <c r="Q277" t="s">
        <v>107</v>
      </c>
      <c r="R277" s="2">
        <v>46173</v>
      </c>
      <c r="S277" s="4">
        <v>30</v>
      </c>
      <c r="T277" s="3">
        <v>166000000</v>
      </c>
      <c r="U277" t="s">
        <v>42</v>
      </c>
      <c r="V277" t="s">
        <v>59</v>
      </c>
      <c r="W277" t="s">
        <v>95</v>
      </c>
      <c r="Y277" t="s">
        <v>108</v>
      </c>
      <c r="Z277" t="s">
        <v>3179</v>
      </c>
      <c r="AA277" t="s">
        <v>159</v>
      </c>
      <c r="AB277" t="s">
        <v>97</v>
      </c>
      <c r="AC277" t="s">
        <v>159</v>
      </c>
    </row>
    <row r="278" spans="1:29">
      <c r="A278" t="s">
        <v>664</v>
      </c>
      <c r="B278" s="2">
        <v>46202</v>
      </c>
      <c r="C278" t="s">
        <v>30</v>
      </c>
      <c r="D278" t="s">
        <v>31</v>
      </c>
      <c r="E278" t="s">
        <v>120</v>
      </c>
      <c r="F278" t="s">
        <v>167</v>
      </c>
      <c r="G278" t="s">
        <v>224</v>
      </c>
      <c r="H278" t="s">
        <v>136</v>
      </c>
      <c r="I278" t="s">
        <v>247</v>
      </c>
      <c r="J278" t="s">
        <v>3035</v>
      </c>
      <c r="K278" t="s">
        <v>105</v>
      </c>
      <c r="L278" t="s">
        <v>55</v>
      </c>
      <c r="M278" t="s">
        <v>81</v>
      </c>
      <c r="N278" t="s">
        <v>196</v>
      </c>
      <c r="O278" s="4">
        <v>7</v>
      </c>
      <c r="P278" s="4">
        <v>9</v>
      </c>
      <c r="Q278" t="s">
        <v>83</v>
      </c>
      <c r="R278" s="2">
        <v>46200</v>
      </c>
      <c r="S278" s="4">
        <v>3</v>
      </c>
      <c r="T278" s="3">
        <v>180000000</v>
      </c>
      <c r="U278" t="s">
        <v>196</v>
      </c>
      <c r="V278" t="s">
        <v>70</v>
      </c>
      <c r="W278" t="s">
        <v>197</v>
      </c>
      <c r="Y278" t="s">
        <v>210</v>
      </c>
      <c r="Z278" t="s">
        <v>3181</v>
      </c>
      <c r="AA278" t="s">
        <v>97</v>
      </c>
      <c r="AB278" t="s">
        <v>199</v>
      </c>
      <c r="AC278" t="s">
        <v>97</v>
      </c>
    </row>
    <row r="279" spans="1:29">
      <c r="A279" t="s">
        <v>665</v>
      </c>
      <c r="B279" s="2">
        <v>46194</v>
      </c>
      <c r="C279" t="s">
        <v>30</v>
      </c>
      <c r="D279" t="s">
        <v>74</v>
      </c>
      <c r="E279" t="s">
        <v>152</v>
      </c>
      <c r="F279" t="s">
        <v>221</v>
      </c>
      <c r="G279" t="s">
        <v>294</v>
      </c>
      <c r="H279" t="s">
        <v>207</v>
      </c>
      <c r="I279" t="s">
        <v>222</v>
      </c>
      <c r="J279" t="s">
        <v>3029</v>
      </c>
      <c r="K279" t="s">
        <v>92</v>
      </c>
      <c r="L279" t="s">
        <v>80</v>
      </c>
      <c r="M279" t="s">
        <v>39</v>
      </c>
      <c r="N279" t="s">
        <v>40</v>
      </c>
      <c r="O279" s="4">
        <v>2</v>
      </c>
      <c r="P279" s="4">
        <v>11</v>
      </c>
      <c r="Q279" t="s">
        <v>41</v>
      </c>
      <c r="R279" s="2">
        <v>46188</v>
      </c>
      <c r="S279" s="4">
        <v>15</v>
      </c>
      <c r="T279" s="3">
        <v>207000000</v>
      </c>
      <c r="U279" t="s">
        <v>260</v>
      </c>
      <c r="V279" t="s">
        <v>43</v>
      </c>
      <c r="W279" t="s">
        <v>44</v>
      </c>
      <c r="X279" t="s">
        <v>261</v>
      </c>
      <c r="Y279" t="s">
        <v>309</v>
      </c>
      <c r="Z279" t="s">
        <v>3178</v>
      </c>
      <c r="AA279" t="s">
        <v>159</v>
      </c>
      <c r="AB279" t="s">
        <v>87</v>
      </c>
      <c r="AC279" t="s">
        <v>159</v>
      </c>
    </row>
    <row r="280" spans="1:29">
      <c r="A280" t="s">
        <v>666</v>
      </c>
      <c r="B280" s="2">
        <v>46178</v>
      </c>
      <c r="C280" t="s">
        <v>30</v>
      </c>
      <c r="D280" t="s">
        <v>134</v>
      </c>
      <c r="E280" t="s">
        <v>100</v>
      </c>
      <c r="F280" t="s">
        <v>101</v>
      </c>
      <c r="G280" t="s">
        <v>237</v>
      </c>
      <c r="H280" t="s">
        <v>103</v>
      </c>
      <c r="I280" t="s">
        <v>104</v>
      </c>
      <c r="J280" t="s">
        <v>3013</v>
      </c>
      <c r="K280" t="s">
        <v>105</v>
      </c>
      <c r="L280" t="s">
        <v>68</v>
      </c>
      <c r="M280" t="s">
        <v>39</v>
      </c>
      <c r="N280" t="s">
        <v>94</v>
      </c>
      <c r="O280" s="4">
        <v>4</v>
      </c>
      <c r="P280" s="4">
        <v>17</v>
      </c>
      <c r="Q280" t="s">
        <v>107</v>
      </c>
      <c r="R280" s="2">
        <v>46174</v>
      </c>
      <c r="S280" s="4">
        <v>29</v>
      </c>
      <c r="T280" s="3">
        <v>354000000</v>
      </c>
      <c r="U280" t="s">
        <v>42</v>
      </c>
      <c r="V280" t="s">
        <v>59</v>
      </c>
      <c r="W280" t="s">
        <v>267</v>
      </c>
      <c r="X280" t="s">
        <v>253</v>
      </c>
      <c r="Y280" t="s">
        <v>228</v>
      </c>
      <c r="Z280" t="s">
        <v>3179</v>
      </c>
      <c r="AA280" t="s">
        <v>109</v>
      </c>
      <c r="AB280" t="s">
        <v>97</v>
      </c>
      <c r="AC280" t="s">
        <v>109</v>
      </c>
    </row>
    <row r="281" spans="1:29">
      <c r="A281" t="s">
        <v>667</v>
      </c>
      <c r="B281" s="2">
        <v>46191</v>
      </c>
      <c r="C281" t="s">
        <v>30</v>
      </c>
      <c r="D281" t="s">
        <v>74</v>
      </c>
      <c r="E281" t="s">
        <v>152</v>
      </c>
      <c r="F281" t="s">
        <v>153</v>
      </c>
      <c r="G281" t="s">
        <v>286</v>
      </c>
      <c r="H281" t="s">
        <v>283</v>
      </c>
      <c r="I281" t="s">
        <v>295</v>
      </c>
      <c r="J281" t="s">
        <v>3043</v>
      </c>
      <c r="K281" t="s">
        <v>37</v>
      </c>
      <c r="L281" t="s">
        <v>55</v>
      </c>
      <c r="M281" t="s">
        <v>106</v>
      </c>
      <c r="N281" t="s">
        <v>57</v>
      </c>
      <c r="O281" s="4">
        <v>3</v>
      </c>
      <c r="P281" s="4">
        <v>10</v>
      </c>
      <c r="Q281" t="s">
        <v>138</v>
      </c>
      <c r="R281" s="2">
        <v>46181</v>
      </c>
      <c r="S281" s="4">
        <v>22</v>
      </c>
      <c r="T281" s="3">
        <v>109000000</v>
      </c>
      <c r="U281" t="s">
        <v>42</v>
      </c>
      <c r="V281" t="s">
        <v>59</v>
      </c>
      <c r="W281" t="s">
        <v>60</v>
      </c>
      <c r="Y281" t="s">
        <v>61</v>
      </c>
      <c r="Z281" t="s">
        <v>3177</v>
      </c>
      <c r="AA281" t="s">
        <v>159</v>
      </c>
      <c r="AB281" t="s">
        <v>63</v>
      </c>
      <c r="AC281" t="s">
        <v>159</v>
      </c>
    </row>
    <row r="282" spans="1:29">
      <c r="A282" t="s">
        <v>668</v>
      </c>
      <c r="B282" s="2">
        <v>46183</v>
      </c>
      <c r="C282" t="s">
        <v>30</v>
      </c>
      <c r="D282" t="s">
        <v>99</v>
      </c>
      <c r="E282" t="s">
        <v>120</v>
      </c>
      <c r="F282" t="s">
        <v>121</v>
      </c>
      <c r="G282" t="s">
        <v>135</v>
      </c>
      <c r="H282" t="s">
        <v>123</v>
      </c>
      <c r="I282" t="s">
        <v>336</v>
      </c>
      <c r="J282" t="s">
        <v>3055</v>
      </c>
      <c r="K282" t="s">
        <v>56</v>
      </c>
      <c r="L282" t="s">
        <v>80</v>
      </c>
      <c r="M282" t="s">
        <v>56</v>
      </c>
      <c r="N282" t="s">
        <v>94</v>
      </c>
      <c r="O282" s="4">
        <v>4</v>
      </c>
      <c r="P282" s="4">
        <v>8</v>
      </c>
      <c r="Q282" t="s">
        <v>142</v>
      </c>
      <c r="R282" s="2">
        <v>46178</v>
      </c>
      <c r="S282" s="4">
        <v>25</v>
      </c>
      <c r="T282" s="3">
        <v>160000000</v>
      </c>
      <c r="U282" t="s">
        <v>260</v>
      </c>
      <c r="V282" t="s">
        <v>70</v>
      </c>
      <c r="W282" t="s">
        <v>188</v>
      </c>
      <c r="X282" t="s">
        <v>308</v>
      </c>
      <c r="Y282" t="s">
        <v>108</v>
      </c>
      <c r="Z282" t="s">
        <v>3179</v>
      </c>
      <c r="AA282" t="s">
        <v>97</v>
      </c>
      <c r="AB282" t="s">
        <v>97</v>
      </c>
      <c r="AC282" t="s">
        <v>97</v>
      </c>
    </row>
    <row r="283" spans="1:29">
      <c r="A283" t="s">
        <v>669</v>
      </c>
      <c r="B283" s="2">
        <v>46183</v>
      </c>
      <c r="C283" t="s">
        <v>30</v>
      </c>
      <c r="D283" t="s">
        <v>99</v>
      </c>
      <c r="E283" t="s">
        <v>172</v>
      </c>
      <c r="F283" t="s">
        <v>195</v>
      </c>
      <c r="G283" t="s">
        <v>278</v>
      </c>
      <c r="H283" t="s">
        <v>175</v>
      </c>
      <c r="I283" t="s">
        <v>602</v>
      </c>
      <c r="J283" t="s">
        <v>3129</v>
      </c>
      <c r="K283" t="s">
        <v>37</v>
      </c>
      <c r="L283" t="s">
        <v>169</v>
      </c>
      <c r="M283" t="s">
        <v>129</v>
      </c>
      <c r="N283" t="s">
        <v>213</v>
      </c>
      <c r="O283" s="4">
        <v>6</v>
      </c>
      <c r="P283" s="4">
        <v>11</v>
      </c>
      <c r="Q283" t="s">
        <v>107</v>
      </c>
      <c r="R283" s="2">
        <v>46182</v>
      </c>
      <c r="S283" s="4">
        <v>21</v>
      </c>
      <c r="T283" s="3">
        <v>230000000</v>
      </c>
      <c r="U283" t="s">
        <v>214</v>
      </c>
      <c r="V283" t="s">
        <v>70</v>
      </c>
      <c r="W283" t="s">
        <v>248</v>
      </c>
      <c r="Y283" t="s">
        <v>216</v>
      </c>
      <c r="Z283" t="s">
        <v>3179</v>
      </c>
      <c r="AA283" t="s">
        <v>181</v>
      </c>
      <c r="AB283" t="s">
        <v>97</v>
      </c>
      <c r="AC283" t="s">
        <v>181</v>
      </c>
    </row>
    <row r="284" spans="1:29">
      <c r="A284" t="s">
        <v>670</v>
      </c>
      <c r="B284" s="2">
        <v>46198</v>
      </c>
      <c r="C284" t="s">
        <v>30</v>
      </c>
      <c r="D284" t="s">
        <v>49</v>
      </c>
      <c r="E284" t="s">
        <v>50</v>
      </c>
      <c r="F284" t="s">
        <v>51</v>
      </c>
      <c r="G284" t="s">
        <v>52</v>
      </c>
      <c r="H284" t="s">
        <v>66</v>
      </c>
      <c r="I284" t="s">
        <v>280</v>
      </c>
      <c r="J284" t="s">
        <v>3040</v>
      </c>
      <c r="K284" t="s">
        <v>56</v>
      </c>
      <c r="L284" t="s">
        <v>187</v>
      </c>
      <c r="M284" t="s">
        <v>106</v>
      </c>
      <c r="N284" t="s">
        <v>57</v>
      </c>
      <c r="O284" s="4">
        <v>3</v>
      </c>
      <c r="P284" s="4">
        <v>10</v>
      </c>
      <c r="Q284" t="s">
        <v>41</v>
      </c>
      <c r="R284" s="2">
        <v>46188</v>
      </c>
      <c r="S284" s="4">
        <v>15</v>
      </c>
      <c r="T284" s="3">
        <v>253000000</v>
      </c>
      <c r="U284" t="s">
        <v>42</v>
      </c>
      <c r="V284" t="s">
        <v>59</v>
      </c>
      <c r="W284" t="s">
        <v>71</v>
      </c>
      <c r="Y284" t="s">
        <v>158</v>
      </c>
      <c r="Z284" t="s">
        <v>3177</v>
      </c>
      <c r="AA284" t="s">
        <v>62</v>
      </c>
      <c r="AB284" t="s">
        <v>63</v>
      </c>
      <c r="AC284" t="s">
        <v>62</v>
      </c>
    </row>
    <row r="285" spans="1:29">
      <c r="A285" t="s">
        <v>671</v>
      </c>
      <c r="B285" s="2">
        <v>46192</v>
      </c>
      <c r="C285" t="s">
        <v>30</v>
      </c>
      <c r="D285" t="s">
        <v>74</v>
      </c>
      <c r="E285" t="s">
        <v>152</v>
      </c>
      <c r="F285" t="s">
        <v>221</v>
      </c>
      <c r="G285" t="s">
        <v>206</v>
      </c>
      <c r="H285" t="s">
        <v>155</v>
      </c>
      <c r="I285" t="s">
        <v>418</v>
      </c>
      <c r="J285" t="s">
        <v>3079</v>
      </c>
      <c r="K285" t="s">
        <v>105</v>
      </c>
      <c r="L285" t="s">
        <v>38</v>
      </c>
      <c r="M285" t="s">
        <v>164</v>
      </c>
      <c r="N285" t="s">
        <v>94</v>
      </c>
      <c r="O285" s="4">
        <v>4</v>
      </c>
      <c r="P285" s="4">
        <v>11</v>
      </c>
      <c r="Q285" t="s">
        <v>142</v>
      </c>
      <c r="R285" s="2">
        <v>46187</v>
      </c>
      <c r="S285" s="4">
        <v>16</v>
      </c>
      <c r="T285" s="3">
        <v>360000000</v>
      </c>
      <c r="U285" t="s">
        <v>42</v>
      </c>
      <c r="V285" t="s">
        <v>59</v>
      </c>
      <c r="W285" t="s">
        <v>188</v>
      </c>
      <c r="Y285" t="s">
        <v>108</v>
      </c>
      <c r="Z285" t="s">
        <v>3179</v>
      </c>
      <c r="AA285" t="s">
        <v>159</v>
      </c>
      <c r="AB285" t="s">
        <v>97</v>
      </c>
      <c r="AC285" t="s">
        <v>159</v>
      </c>
    </row>
    <row r="286" spans="1:29">
      <c r="A286" t="s">
        <v>672</v>
      </c>
      <c r="B286" s="2">
        <v>46180</v>
      </c>
      <c r="C286" t="s">
        <v>30</v>
      </c>
      <c r="D286" t="s">
        <v>134</v>
      </c>
      <c r="E286" t="s">
        <v>75</v>
      </c>
      <c r="F286" t="s">
        <v>76</v>
      </c>
      <c r="G286" t="s">
        <v>387</v>
      </c>
      <c r="H286" t="s">
        <v>185</v>
      </c>
      <c r="I286" t="s">
        <v>673</v>
      </c>
      <c r="J286" t="s">
        <v>3146</v>
      </c>
      <c r="K286" t="s">
        <v>105</v>
      </c>
      <c r="L286" t="s">
        <v>38</v>
      </c>
      <c r="M286" t="s">
        <v>129</v>
      </c>
      <c r="N286" t="s">
        <v>213</v>
      </c>
      <c r="O286" s="4">
        <v>6</v>
      </c>
      <c r="P286" s="4">
        <v>14</v>
      </c>
      <c r="Q286" t="s">
        <v>58</v>
      </c>
      <c r="R286" s="2">
        <v>46170</v>
      </c>
      <c r="S286" s="4">
        <v>33</v>
      </c>
      <c r="T286" s="3">
        <v>378000000</v>
      </c>
      <c r="U286" t="s">
        <v>42</v>
      </c>
      <c r="V286" t="s">
        <v>70</v>
      </c>
      <c r="W286" t="s">
        <v>438</v>
      </c>
      <c r="Y286" t="s">
        <v>249</v>
      </c>
      <c r="Z286" t="s">
        <v>3179</v>
      </c>
      <c r="AA286" t="s">
        <v>86</v>
      </c>
      <c r="AB286" t="s">
        <v>97</v>
      </c>
      <c r="AC286" t="s">
        <v>86</v>
      </c>
    </row>
    <row r="287" spans="1:29">
      <c r="A287" t="s">
        <v>674</v>
      </c>
      <c r="B287" s="2">
        <v>46183</v>
      </c>
      <c r="C287" t="s">
        <v>30</v>
      </c>
      <c r="D287" t="s">
        <v>99</v>
      </c>
      <c r="E287" t="s">
        <v>100</v>
      </c>
      <c r="F287" t="s">
        <v>101</v>
      </c>
      <c r="G287" t="s">
        <v>237</v>
      </c>
      <c r="H287" t="s">
        <v>103</v>
      </c>
      <c r="I287" t="s">
        <v>436</v>
      </c>
      <c r="J287" t="s">
        <v>3084</v>
      </c>
      <c r="K287" t="s">
        <v>37</v>
      </c>
      <c r="L287" t="s">
        <v>80</v>
      </c>
      <c r="M287" t="s">
        <v>93</v>
      </c>
      <c r="N287" t="s">
        <v>196</v>
      </c>
      <c r="O287" s="4">
        <v>7</v>
      </c>
      <c r="P287" s="4">
        <v>15</v>
      </c>
      <c r="Q287" t="s">
        <v>83</v>
      </c>
      <c r="R287" s="2">
        <v>46173</v>
      </c>
      <c r="S287" s="4">
        <v>30</v>
      </c>
      <c r="T287" s="3">
        <v>142000000</v>
      </c>
      <c r="U287" t="s">
        <v>196</v>
      </c>
      <c r="V287" t="s">
        <v>70</v>
      </c>
      <c r="W287" t="s">
        <v>675</v>
      </c>
      <c r="Y287" t="s">
        <v>369</v>
      </c>
      <c r="Z287" t="s">
        <v>3181</v>
      </c>
      <c r="AA287" t="s">
        <v>109</v>
      </c>
      <c r="AB287" t="s">
        <v>199</v>
      </c>
      <c r="AC287" t="s">
        <v>109</v>
      </c>
    </row>
    <row r="288" spans="1:29">
      <c r="A288" t="s">
        <v>676</v>
      </c>
      <c r="B288" s="2">
        <v>46180</v>
      </c>
      <c r="C288" t="s">
        <v>30</v>
      </c>
      <c r="D288" t="s">
        <v>134</v>
      </c>
      <c r="E288" t="s">
        <v>100</v>
      </c>
      <c r="F288" t="s">
        <v>146</v>
      </c>
      <c r="G288" t="s">
        <v>147</v>
      </c>
      <c r="H288" t="s">
        <v>103</v>
      </c>
      <c r="I288" t="s">
        <v>447</v>
      </c>
      <c r="J288" t="s">
        <v>3088</v>
      </c>
      <c r="K288" t="s">
        <v>92</v>
      </c>
      <c r="L288" t="s">
        <v>68</v>
      </c>
      <c r="M288" t="s">
        <v>81</v>
      </c>
      <c r="N288" t="s">
        <v>94</v>
      </c>
      <c r="O288" s="4">
        <v>4</v>
      </c>
      <c r="P288" s="4">
        <v>18</v>
      </c>
      <c r="Q288" t="s">
        <v>107</v>
      </c>
      <c r="R288" s="2">
        <v>46178</v>
      </c>
      <c r="S288" s="4">
        <v>25</v>
      </c>
      <c r="T288" s="3">
        <v>233000000</v>
      </c>
      <c r="U288" t="s">
        <v>42</v>
      </c>
      <c r="V288" t="s">
        <v>70</v>
      </c>
      <c r="W288" t="s">
        <v>188</v>
      </c>
      <c r="Y288" t="s">
        <v>228</v>
      </c>
      <c r="Z288" t="s">
        <v>3179</v>
      </c>
      <c r="AA288" t="s">
        <v>109</v>
      </c>
      <c r="AB288" t="s">
        <v>97</v>
      </c>
      <c r="AC288" t="s">
        <v>109</v>
      </c>
    </row>
    <row r="289" spans="1:29">
      <c r="A289" t="s">
        <v>677</v>
      </c>
      <c r="B289" s="2">
        <v>46190</v>
      </c>
      <c r="C289" t="s">
        <v>30</v>
      </c>
      <c r="D289" t="s">
        <v>74</v>
      </c>
      <c r="E289" t="s">
        <v>75</v>
      </c>
      <c r="F289" t="s">
        <v>161</v>
      </c>
      <c r="G289" t="s">
        <v>77</v>
      </c>
      <c r="H289" t="s">
        <v>78</v>
      </c>
      <c r="I289" t="s">
        <v>494</v>
      </c>
      <c r="J289" t="s">
        <v>3104</v>
      </c>
      <c r="K289" t="s">
        <v>105</v>
      </c>
      <c r="L289" t="s">
        <v>80</v>
      </c>
      <c r="M289" t="s">
        <v>56</v>
      </c>
      <c r="N289" t="s">
        <v>57</v>
      </c>
      <c r="O289" s="4">
        <v>3</v>
      </c>
      <c r="P289" s="4">
        <v>8</v>
      </c>
      <c r="Q289" t="s">
        <v>83</v>
      </c>
      <c r="R289" s="2">
        <v>46189</v>
      </c>
      <c r="S289" s="4">
        <v>14</v>
      </c>
      <c r="T289" s="3">
        <v>103000000</v>
      </c>
      <c r="U289" t="s">
        <v>42</v>
      </c>
      <c r="V289" t="s">
        <v>43</v>
      </c>
      <c r="W289" t="s">
        <v>157</v>
      </c>
      <c r="Y289" t="s">
        <v>61</v>
      </c>
      <c r="Z289" t="s">
        <v>3177</v>
      </c>
      <c r="AA289" t="s">
        <v>86</v>
      </c>
      <c r="AB289" t="s">
        <v>63</v>
      </c>
      <c r="AC289" t="s">
        <v>86</v>
      </c>
    </row>
    <row r="290" spans="1:29">
      <c r="A290" t="s">
        <v>678</v>
      </c>
      <c r="B290" s="2">
        <v>46191</v>
      </c>
      <c r="C290" t="s">
        <v>30</v>
      </c>
      <c r="D290" t="s">
        <v>74</v>
      </c>
      <c r="E290" t="s">
        <v>172</v>
      </c>
      <c r="F290" t="s">
        <v>173</v>
      </c>
      <c r="G290" t="s">
        <v>289</v>
      </c>
      <c r="H290" t="s">
        <v>317</v>
      </c>
      <c r="I290" t="s">
        <v>407</v>
      </c>
      <c r="J290" t="s">
        <v>3075</v>
      </c>
      <c r="K290" t="s">
        <v>37</v>
      </c>
      <c r="L290" t="s">
        <v>68</v>
      </c>
      <c r="M290" t="s">
        <v>106</v>
      </c>
      <c r="N290" t="s">
        <v>213</v>
      </c>
      <c r="O290" s="4">
        <v>6</v>
      </c>
      <c r="P290" s="4">
        <v>7</v>
      </c>
      <c r="Q290" t="s">
        <v>58</v>
      </c>
      <c r="R290" s="2">
        <v>46186</v>
      </c>
      <c r="S290" s="4">
        <v>17</v>
      </c>
      <c r="T290" s="3">
        <v>195000000</v>
      </c>
      <c r="U290" t="s">
        <v>214</v>
      </c>
      <c r="V290" t="s">
        <v>70</v>
      </c>
      <c r="W290" t="s">
        <v>215</v>
      </c>
      <c r="Y290" t="s">
        <v>432</v>
      </c>
      <c r="Z290" t="s">
        <v>3179</v>
      </c>
      <c r="AA290" t="s">
        <v>181</v>
      </c>
      <c r="AB290" t="s">
        <v>97</v>
      </c>
      <c r="AC290" t="s">
        <v>181</v>
      </c>
    </row>
    <row r="291" spans="1:29">
      <c r="A291" t="s">
        <v>679</v>
      </c>
      <c r="B291" s="2">
        <v>46194</v>
      </c>
      <c r="C291" t="s">
        <v>30</v>
      </c>
      <c r="D291" t="s">
        <v>74</v>
      </c>
      <c r="E291" t="s">
        <v>120</v>
      </c>
      <c r="F291" t="s">
        <v>246</v>
      </c>
      <c r="G291" t="s">
        <v>420</v>
      </c>
      <c r="H291" t="s">
        <v>300</v>
      </c>
      <c r="I291" t="s">
        <v>301</v>
      </c>
      <c r="J291" t="s">
        <v>3045</v>
      </c>
      <c r="K291" t="s">
        <v>56</v>
      </c>
      <c r="L291" t="s">
        <v>55</v>
      </c>
      <c r="M291" t="s">
        <v>56</v>
      </c>
      <c r="N291" t="s">
        <v>57</v>
      </c>
      <c r="O291" s="4">
        <v>3</v>
      </c>
      <c r="P291" s="4">
        <v>5</v>
      </c>
      <c r="Q291" t="s">
        <v>83</v>
      </c>
      <c r="R291" s="2">
        <v>46189</v>
      </c>
      <c r="S291" s="4">
        <v>14</v>
      </c>
      <c r="T291" s="3">
        <v>217000000</v>
      </c>
      <c r="U291" t="s">
        <v>42</v>
      </c>
      <c r="V291" t="s">
        <v>59</v>
      </c>
      <c r="W291" t="s">
        <v>157</v>
      </c>
      <c r="Y291" t="s">
        <v>158</v>
      </c>
      <c r="Z291" t="s">
        <v>3177</v>
      </c>
      <c r="AA291" t="s">
        <v>97</v>
      </c>
      <c r="AB291" t="s">
        <v>63</v>
      </c>
      <c r="AC291" t="s">
        <v>97</v>
      </c>
    </row>
    <row r="292" spans="1:29">
      <c r="A292" t="s">
        <v>680</v>
      </c>
      <c r="B292" s="2">
        <v>46176</v>
      </c>
      <c r="C292" t="s">
        <v>30</v>
      </c>
      <c r="D292" t="s">
        <v>134</v>
      </c>
      <c r="E292" t="s">
        <v>111</v>
      </c>
      <c r="F292" t="s">
        <v>112</v>
      </c>
      <c r="G292" t="s">
        <v>113</v>
      </c>
      <c r="H292" t="s">
        <v>191</v>
      </c>
      <c r="I292" t="s">
        <v>578</v>
      </c>
      <c r="J292" t="s">
        <v>3124</v>
      </c>
      <c r="K292" t="s">
        <v>37</v>
      </c>
      <c r="L292" t="s">
        <v>80</v>
      </c>
      <c r="M292" t="s">
        <v>81</v>
      </c>
      <c r="N292" t="s">
        <v>130</v>
      </c>
      <c r="O292" s="4">
        <v>5</v>
      </c>
      <c r="P292" s="4">
        <v>13</v>
      </c>
      <c r="Q292" t="s">
        <v>69</v>
      </c>
      <c r="R292" s="2">
        <v>46169</v>
      </c>
      <c r="S292" s="4">
        <v>34</v>
      </c>
      <c r="T292" s="3">
        <v>164000000</v>
      </c>
      <c r="U292" t="s">
        <v>42</v>
      </c>
      <c r="V292" t="s">
        <v>70</v>
      </c>
      <c r="W292" t="s">
        <v>131</v>
      </c>
      <c r="Y292" t="s">
        <v>132</v>
      </c>
      <c r="Z292" t="s">
        <v>3179</v>
      </c>
      <c r="AA292" t="s">
        <v>118</v>
      </c>
      <c r="AB292" t="s">
        <v>97</v>
      </c>
      <c r="AC292" t="s">
        <v>118</v>
      </c>
    </row>
    <row r="293" spans="1:29">
      <c r="A293" t="s">
        <v>681</v>
      </c>
      <c r="B293" s="2">
        <v>46183</v>
      </c>
      <c r="C293" t="s">
        <v>30</v>
      </c>
      <c r="D293" t="s">
        <v>99</v>
      </c>
      <c r="E293" t="s">
        <v>172</v>
      </c>
      <c r="F293" t="s">
        <v>195</v>
      </c>
      <c r="G293" t="s">
        <v>476</v>
      </c>
      <c r="H293" t="s">
        <v>317</v>
      </c>
      <c r="I293" t="s">
        <v>534</v>
      </c>
      <c r="J293" t="s">
        <v>3112</v>
      </c>
      <c r="K293" t="s">
        <v>37</v>
      </c>
      <c r="L293" t="s">
        <v>55</v>
      </c>
      <c r="M293" t="s">
        <v>56</v>
      </c>
      <c r="N293" t="s">
        <v>82</v>
      </c>
      <c r="O293" s="4">
        <v>1</v>
      </c>
      <c r="P293" s="4">
        <v>4</v>
      </c>
      <c r="Q293" t="s">
        <v>107</v>
      </c>
      <c r="R293" s="2">
        <v>46178</v>
      </c>
      <c r="S293" s="4">
        <v>25</v>
      </c>
      <c r="T293" s="3">
        <v>127000000</v>
      </c>
      <c r="U293" t="s">
        <v>42</v>
      </c>
      <c r="V293" t="s">
        <v>59</v>
      </c>
      <c r="W293" t="s">
        <v>404</v>
      </c>
      <c r="Y293" t="s">
        <v>85</v>
      </c>
      <c r="Z293" t="s">
        <v>3176</v>
      </c>
      <c r="AA293" t="s">
        <v>181</v>
      </c>
      <c r="AB293" t="s">
        <v>47</v>
      </c>
      <c r="AC293" t="s">
        <v>181</v>
      </c>
    </row>
    <row r="294" spans="1:29">
      <c r="A294" t="s">
        <v>682</v>
      </c>
      <c r="B294" s="2">
        <v>46179</v>
      </c>
      <c r="C294" t="s">
        <v>30</v>
      </c>
      <c r="D294" t="s">
        <v>134</v>
      </c>
      <c r="E294" t="s">
        <v>32</v>
      </c>
      <c r="F294" t="s">
        <v>273</v>
      </c>
      <c r="G294" t="s">
        <v>463</v>
      </c>
      <c r="H294" t="s">
        <v>35</v>
      </c>
      <c r="I294" t="s">
        <v>219</v>
      </c>
      <c r="J294" t="s">
        <v>3028</v>
      </c>
      <c r="K294" t="s">
        <v>56</v>
      </c>
      <c r="L294" t="s">
        <v>55</v>
      </c>
      <c r="M294" t="s">
        <v>39</v>
      </c>
      <c r="N294" t="s">
        <v>82</v>
      </c>
      <c r="O294" s="4">
        <v>1</v>
      </c>
      <c r="P294" s="4">
        <v>4</v>
      </c>
      <c r="Q294" t="s">
        <v>58</v>
      </c>
      <c r="R294" s="2">
        <v>46173</v>
      </c>
      <c r="S294" s="4">
        <v>30</v>
      </c>
      <c r="T294" s="3">
        <v>386000000</v>
      </c>
      <c r="U294" t="s">
        <v>42</v>
      </c>
      <c r="V294" t="s">
        <v>59</v>
      </c>
      <c r="W294" t="s">
        <v>290</v>
      </c>
      <c r="Y294" t="s">
        <v>291</v>
      </c>
      <c r="Z294" t="s">
        <v>3176</v>
      </c>
      <c r="AA294" t="s">
        <v>46</v>
      </c>
      <c r="AB294" t="s">
        <v>47</v>
      </c>
      <c r="AC294" t="s">
        <v>46</v>
      </c>
    </row>
    <row r="295" spans="1:29">
      <c r="A295" t="s">
        <v>683</v>
      </c>
      <c r="B295" s="2">
        <v>46192</v>
      </c>
      <c r="C295" t="s">
        <v>30</v>
      </c>
      <c r="D295" t="s">
        <v>74</v>
      </c>
      <c r="E295" t="s">
        <v>152</v>
      </c>
      <c r="F295" t="s">
        <v>153</v>
      </c>
      <c r="G295" t="s">
        <v>154</v>
      </c>
      <c r="H295" t="s">
        <v>283</v>
      </c>
      <c r="I295" t="s">
        <v>663</v>
      </c>
      <c r="J295" t="s">
        <v>3145</v>
      </c>
      <c r="K295" t="s">
        <v>56</v>
      </c>
      <c r="L295" t="s">
        <v>150</v>
      </c>
      <c r="M295" t="s">
        <v>56</v>
      </c>
      <c r="N295" t="s">
        <v>82</v>
      </c>
      <c r="O295" s="4">
        <v>1</v>
      </c>
      <c r="P295" s="4">
        <v>6</v>
      </c>
      <c r="Q295" t="s">
        <v>58</v>
      </c>
      <c r="R295" s="2">
        <v>46191</v>
      </c>
      <c r="S295" s="4">
        <v>12</v>
      </c>
      <c r="T295" s="3">
        <v>314000000</v>
      </c>
      <c r="U295" t="s">
        <v>42</v>
      </c>
      <c r="V295" t="s">
        <v>59</v>
      </c>
      <c r="W295" t="s">
        <v>404</v>
      </c>
      <c r="Y295" t="s">
        <v>291</v>
      </c>
      <c r="Z295" t="s">
        <v>3178</v>
      </c>
      <c r="AA295" t="s">
        <v>159</v>
      </c>
      <c r="AB295" t="s">
        <v>87</v>
      </c>
      <c r="AC295" t="s">
        <v>159</v>
      </c>
    </row>
    <row r="296" spans="1:29">
      <c r="A296" t="s">
        <v>684</v>
      </c>
      <c r="B296" s="2">
        <v>46179</v>
      </c>
      <c r="C296" t="s">
        <v>30</v>
      </c>
      <c r="D296" t="s">
        <v>134</v>
      </c>
      <c r="E296" t="s">
        <v>152</v>
      </c>
      <c r="F296" t="s">
        <v>205</v>
      </c>
      <c r="G296" t="s">
        <v>328</v>
      </c>
      <c r="H296" t="s">
        <v>155</v>
      </c>
      <c r="I296" t="s">
        <v>418</v>
      </c>
      <c r="J296" t="s">
        <v>3079</v>
      </c>
      <c r="K296" t="s">
        <v>37</v>
      </c>
      <c r="L296" t="s">
        <v>80</v>
      </c>
      <c r="M296" t="s">
        <v>164</v>
      </c>
      <c r="N296" t="s">
        <v>94</v>
      </c>
      <c r="O296" s="4">
        <v>4</v>
      </c>
      <c r="P296" s="4">
        <v>14</v>
      </c>
      <c r="Q296" t="s">
        <v>58</v>
      </c>
      <c r="R296" s="2">
        <v>46173</v>
      </c>
      <c r="S296" s="4">
        <v>30</v>
      </c>
      <c r="T296" s="3">
        <v>132000000</v>
      </c>
      <c r="U296" t="s">
        <v>42</v>
      </c>
      <c r="V296" t="s">
        <v>59</v>
      </c>
      <c r="W296" t="s">
        <v>188</v>
      </c>
      <c r="X296" t="s">
        <v>253</v>
      </c>
      <c r="Y296" t="s">
        <v>108</v>
      </c>
      <c r="Z296" t="s">
        <v>3179</v>
      </c>
      <c r="AA296" t="s">
        <v>159</v>
      </c>
      <c r="AB296" t="s">
        <v>97</v>
      </c>
      <c r="AC296" t="s">
        <v>159</v>
      </c>
    </row>
    <row r="297" spans="1:29">
      <c r="A297" t="s">
        <v>685</v>
      </c>
      <c r="B297" s="2">
        <v>46184</v>
      </c>
      <c r="C297" t="s">
        <v>30</v>
      </c>
      <c r="D297" t="s">
        <v>99</v>
      </c>
      <c r="E297" t="s">
        <v>75</v>
      </c>
      <c r="F297" t="s">
        <v>183</v>
      </c>
      <c r="G297" t="s">
        <v>184</v>
      </c>
      <c r="H297" t="s">
        <v>185</v>
      </c>
      <c r="I297" t="s">
        <v>428</v>
      </c>
      <c r="J297" t="s">
        <v>3081</v>
      </c>
      <c r="K297" t="s">
        <v>37</v>
      </c>
      <c r="L297" t="s">
        <v>68</v>
      </c>
      <c r="M297" t="s">
        <v>106</v>
      </c>
      <c r="N297" t="s">
        <v>40</v>
      </c>
      <c r="O297" s="4">
        <v>2</v>
      </c>
      <c r="P297" s="4">
        <v>11</v>
      </c>
      <c r="Q297" t="s">
        <v>83</v>
      </c>
      <c r="R297" s="2">
        <v>46181</v>
      </c>
      <c r="S297" s="4">
        <v>22</v>
      </c>
      <c r="T297" s="3">
        <v>228000000</v>
      </c>
      <c r="U297" t="s">
        <v>177</v>
      </c>
      <c r="V297" t="s">
        <v>43</v>
      </c>
      <c r="W297" t="s">
        <v>239</v>
      </c>
      <c r="X297" t="s">
        <v>308</v>
      </c>
      <c r="Y297" t="s">
        <v>45</v>
      </c>
      <c r="Z297" t="s">
        <v>3178</v>
      </c>
      <c r="AA297" t="s">
        <v>86</v>
      </c>
      <c r="AB297" t="s">
        <v>87</v>
      </c>
      <c r="AC297" t="s">
        <v>86</v>
      </c>
    </row>
    <row r="298" spans="1:29">
      <c r="A298" t="s">
        <v>686</v>
      </c>
      <c r="B298" s="2">
        <v>46188</v>
      </c>
      <c r="C298" t="s">
        <v>30</v>
      </c>
      <c r="D298" t="s">
        <v>74</v>
      </c>
      <c r="E298" t="s">
        <v>120</v>
      </c>
      <c r="F298" t="s">
        <v>246</v>
      </c>
      <c r="G298" t="s">
        <v>224</v>
      </c>
      <c r="H298" t="s">
        <v>136</v>
      </c>
      <c r="I298" t="s">
        <v>137</v>
      </c>
      <c r="J298" t="s">
        <v>3017</v>
      </c>
      <c r="K298" t="s">
        <v>56</v>
      </c>
      <c r="L298" t="s">
        <v>169</v>
      </c>
      <c r="M298" t="s">
        <v>93</v>
      </c>
      <c r="N298" t="s">
        <v>94</v>
      </c>
      <c r="O298" s="4">
        <v>4</v>
      </c>
      <c r="P298" s="4">
        <v>6</v>
      </c>
      <c r="Q298" t="s">
        <v>142</v>
      </c>
      <c r="R298" s="2">
        <v>46186</v>
      </c>
      <c r="S298" s="4">
        <v>17</v>
      </c>
      <c r="T298" s="3">
        <v>392000000</v>
      </c>
      <c r="U298" t="s">
        <v>42</v>
      </c>
      <c r="V298" t="s">
        <v>59</v>
      </c>
      <c r="W298" t="s">
        <v>188</v>
      </c>
      <c r="X298" t="s">
        <v>253</v>
      </c>
      <c r="Y298" t="s">
        <v>268</v>
      </c>
      <c r="Z298" t="s">
        <v>3179</v>
      </c>
      <c r="AA298" t="s">
        <v>97</v>
      </c>
      <c r="AB298" t="s">
        <v>97</v>
      </c>
      <c r="AC298" t="s">
        <v>97</v>
      </c>
    </row>
    <row r="299" spans="1:29">
      <c r="A299" t="s">
        <v>687</v>
      </c>
      <c r="B299" s="2">
        <v>46198</v>
      </c>
      <c r="C299" t="s">
        <v>30</v>
      </c>
      <c r="D299" t="s">
        <v>49</v>
      </c>
      <c r="E299" t="s">
        <v>111</v>
      </c>
      <c r="F299" t="s">
        <v>190</v>
      </c>
      <c r="G299" t="s">
        <v>265</v>
      </c>
      <c r="H299" t="s">
        <v>191</v>
      </c>
      <c r="I299" t="s">
        <v>578</v>
      </c>
      <c r="J299" t="s">
        <v>3124</v>
      </c>
      <c r="K299" t="s">
        <v>116</v>
      </c>
      <c r="L299" t="s">
        <v>187</v>
      </c>
      <c r="M299" t="s">
        <v>81</v>
      </c>
      <c r="N299" t="s">
        <v>57</v>
      </c>
      <c r="O299" s="4">
        <v>3</v>
      </c>
      <c r="P299" s="4">
        <v>12</v>
      </c>
      <c r="Q299" t="s">
        <v>107</v>
      </c>
      <c r="R299" s="2">
        <v>46196</v>
      </c>
      <c r="S299" s="4">
        <v>7</v>
      </c>
      <c r="T299" s="3">
        <v>156000000</v>
      </c>
      <c r="U299" t="s">
        <v>42</v>
      </c>
      <c r="V299" t="s">
        <v>43</v>
      </c>
      <c r="W299" t="s">
        <v>60</v>
      </c>
      <c r="Y299" t="s">
        <v>72</v>
      </c>
      <c r="Z299" t="s">
        <v>3180</v>
      </c>
      <c r="AA299" t="s">
        <v>118</v>
      </c>
      <c r="AB299" t="s">
        <v>193</v>
      </c>
      <c r="AC299" t="s">
        <v>118</v>
      </c>
    </row>
    <row r="300" spans="1:29">
      <c r="A300" t="s">
        <v>688</v>
      </c>
      <c r="B300" s="2">
        <v>46201</v>
      </c>
      <c r="C300" t="s">
        <v>30</v>
      </c>
      <c r="D300" t="s">
        <v>49</v>
      </c>
      <c r="E300" t="s">
        <v>50</v>
      </c>
      <c r="F300" t="s">
        <v>89</v>
      </c>
      <c r="G300" t="s">
        <v>52</v>
      </c>
      <c r="H300" t="s">
        <v>66</v>
      </c>
      <c r="I300" t="s">
        <v>67</v>
      </c>
      <c r="J300" t="s">
        <v>3010</v>
      </c>
      <c r="K300" t="s">
        <v>37</v>
      </c>
      <c r="L300" t="s">
        <v>187</v>
      </c>
      <c r="M300" t="s">
        <v>164</v>
      </c>
      <c r="N300" t="s">
        <v>40</v>
      </c>
      <c r="O300" s="4">
        <v>2</v>
      </c>
      <c r="P300" s="4">
        <v>7</v>
      </c>
      <c r="Q300" t="s">
        <v>41</v>
      </c>
      <c r="R300" s="2">
        <v>46197</v>
      </c>
      <c r="S300" s="4">
        <v>6</v>
      </c>
      <c r="T300" s="3">
        <v>201000000</v>
      </c>
      <c r="U300" t="s">
        <v>42</v>
      </c>
      <c r="V300" t="s">
        <v>43</v>
      </c>
      <c r="W300" t="s">
        <v>44</v>
      </c>
      <c r="Y300" t="s">
        <v>180</v>
      </c>
      <c r="Z300" t="s">
        <v>3178</v>
      </c>
      <c r="AA300" t="s">
        <v>62</v>
      </c>
      <c r="AB300" t="s">
        <v>87</v>
      </c>
      <c r="AC300" t="s">
        <v>62</v>
      </c>
    </row>
    <row r="301" spans="1:29">
      <c r="A301" t="s">
        <v>689</v>
      </c>
      <c r="B301" s="2">
        <v>46177</v>
      </c>
      <c r="C301" t="s">
        <v>30</v>
      </c>
      <c r="D301" t="s">
        <v>134</v>
      </c>
      <c r="E301" t="s">
        <v>75</v>
      </c>
      <c r="F301" t="s">
        <v>183</v>
      </c>
      <c r="G301" t="s">
        <v>184</v>
      </c>
      <c r="H301" t="s">
        <v>388</v>
      </c>
      <c r="I301" t="s">
        <v>556</v>
      </c>
      <c r="J301" t="s">
        <v>3118</v>
      </c>
      <c r="K301" t="s">
        <v>105</v>
      </c>
      <c r="L301" t="s">
        <v>55</v>
      </c>
      <c r="M301" t="s">
        <v>93</v>
      </c>
      <c r="N301" t="s">
        <v>57</v>
      </c>
      <c r="O301" s="4">
        <v>3</v>
      </c>
      <c r="P301" s="4">
        <v>12</v>
      </c>
      <c r="Q301" t="s">
        <v>83</v>
      </c>
      <c r="R301" s="2">
        <v>46172</v>
      </c>
      <c r="S301" s="4">
        <v>31</v>
      </c>
      <c r="T301" s="3">
        <v>323000000</v>
      </c>
      <c r="U301" t="s">
        <v>42</v>
      </c>
      <c r="V301" t="s">
        <v>43</v>
      </c>
      <c r="W301" t="s">
        <v>71</v>
      </c>
      <c r="Y301" t="s">
        <v>165</v>
      </c>
      <c r="Z301" t="s">
        <v>3180</v>
      </c>
      <c r="AA301" t="s">
        <v>86</v>
      </c>
      <c r="AB301" t="s">
        <v>193</v>
      </c>
      <c r="AC301" t="s">
        <v>86</v>
      </c>
    </row>
    <row r="302" spans="1:29">
      <c r="A302" t="s">
        <v>690</v>
      </c>
      <c r="B302" s="2">
        <v>46176</v>
      </c>
      <c r="C302" t="s">
        <v>30</v>
      </c>
      <c r="D302" t="s">
        <v>134</v>
      </c>
      <c r="E302" t="s">
        <v>75</v>
      </c>
      <c r="F302" t="s">
        <v>76</v>
      </c>
      <c r="G302" t="s">
        <v>184</v>
      </c>
      <c r="H302" t="s">
        <v>388</v>
      </c>
      <c r="I302" t="s">
        <v>576</v>
      </c>
      <c r="J302" t="s">
        <v>3123</v>
      </c>
      <c r="K302" t="s">
        <v>105</v>
      </c>
      <c r="L302" t="s">
        <v>55</v>
      </c>
      <c r="M302" t="s">
        <v>129</v>
      </c>
      <c r="N302" t="s">
        <v>94</v>
      </c>
      <c r="O302" s="4">
        <v>4</v>
      </c>
      <c r="P302" s="4">
        <v>9</v>
      </c>
      <c r="Q302" t="s">
        <v>58</v>
      </c>
      <c r="R302" s="2">
        <v>46170</v>
      </c>
      <c r="S302" s="4">
        <v>33</v>
      </c>
      <c r="T302" s="3">
        <v>284000000</v>
      </c>
      <c r="U302" t="s">
        <v>42</v>
      </c>
      <c r="V302" t="s">
        <v>59</v>
      </c>
      <c r="W302" t="s">
        <v>267</v>
      </c>
      <c r="Y302" t="s">
        <v>108</v>
      </c>
      <c r="Z302" t="s">
        <v>3179</v>
      </c>
      <c r="AA302" t="s">
        <v>86</v>
      </c>
      <c r="AB302" t="s">
        <v>97</v>
      </c>
      <c r="AC302" t="s">
        <v>86</v>
      </c>
    </row>
    <row r="303" spans="1:29">
      <c r="A303" t="s">
        <v>691</v>
      </c>
      <c r="B303" s="2">
        <v>46189</v>
      </c>
      <c r="C303" t="s">
        <v>30</v>
      </c>
      <c r="D303" t="s">
        <v>74</v>
      </c>
      <c r="E303" t="s">
        <v>111</v>
      </c>
      <c r="F303" t="s">
        <v>190</v>
      </c>
      <c r="G303" t="s">
        <v>126</v>
      </c>
      <c r="H303" t="s">
        <v>191</v>
      </c>
      <c r="I303" t="s">
        <v>449</v>
      </c>
      <c r="J303" t="s">
        <v>3089</v>
      </c>
      <c r="K303" t="s">
        <v>56</v>
      </c>
      <c r="L303" t="s">
        <v>187</v>
      </c>
      <c r="M303" t="s">
        <v>81</v>
      </c>
      <c r="N303" t="s">
        <v>213</v>
      </c>
      <c r="O303" s="4">
        <v>6</v>
      </c>
      <c r="P303" s="4">
        <v>13</v>
      </c>
      <c r="Q303" t="s">
        <v>58</v>
      </c>
      <c r="R303" s="2">
        <v>46182</v>
      </c>
      <c r="S303" s="4">
        <v>21</v>
      </c>
      <c r="T303" s="3">
        <v>430000000</v>
      </c>
      <c r="U303" t="s">
        <v>214</v>
      </c>
      <c r="V303" t="s">
        <v>70</v>
      </c>
      <c r="W303" t="s">
        <v>215</v>
      </c>
      <c r="Y303" t="s">
        <v>424</v>
      </c>
      <c r="Z303" t="s">
        <v>3179</v>
      </c>
      <c r="AA303" t="s">
        <v>118</v>
      </c>
      <c r="AB303" t="s">
        <v>97</v>
      </c>
      <c r="AC303" t="s">
        <v>118</v>
      </c>
    </row>
    <row r="304" spans="1:29">
      <c r="A304" t="s">
        <v>692</v>
      </c>
      <c r="B304" s="2">
        <v>46176</v>
      </c>
      <c r="C304" t="s">
        <v>30</v>
      </c>
      <c r="D304" t="s">
        <v>134</v>
      </c>
      <c r="E304" t="s">
        <v>75</v>
      </c>
      <c r="F304" t="s">
        <v>161</v>
      </c>
      <c r="G304" t="s">
        <v>387</v>
      </c>
      <c r="H304" t="s">
        <v>388</v>
      </c>
      <c r="I304" t="s">
        <v>389</v>
      </c>
      <c r="J304" t="s">
        <v>3071</v>
      </c>
      <c r="K304" t="s">
        <v>56</v>
      </c>
      <c r="L304" t="s">
        <v>80</v>
      </c>
      <c r="M304" t="s">
        <v>81</v>
      </c>
      <c r="N304" t="s">
        <v>82</v>
      </c>
      <c r="O304" s="4">
        <v>1</v>
      </c>
      <c r="P304" s="4">
        <v>8</v>
      </c>
      <c r="Q304" t="s">
        <v>107</v>
      </c>
      <c r="R304" s="2">
        <v>46169</v>
      </c>
      <c r="S304" s="4">
        <v>34</v>
      </c>
      <c r="T304" s="3">
        <v>149000000</v>
      </c>
      <c r="U304" t="s">
        <v>42</v>
      </c>
      <c r="V304" t="s">
        <v>43</v>
      </c>
      <c r="W304" t="s">
        <v>84</v>
      </c>
      <c r="Y304" t="s">
        <v>85</v>
      </c>
      <c r="Z304" t="s">
        <v>3178</v>
      </c>
      <c r="AA304" t="s">
        <v>86</v>
      </c>
      <c r="AB304" t="s">
        <v>87</v>
      </c>
      <c r="AC304" t="s">
        <v>86</v>
      </c>
    </row>
    <row r="305" spans="1:29">
      <c r="A305" t="s">
        <v>693</v>
      </c>
      <c r="B305" s="2">
        <v>46177</v>
      </c>
      <c r="C305" t="s">
        <v>30</v>
      </c>
      <c r="D305" t="s">
        <v>134</v>
      </c>
      <c r="E305" t="s">
        <v>75</v>
      </c>
      <c r="F305" t="s">
        <v>183</v>
      </c>
      <c r="G305" t="s">
        <v>387</v>
      </c>
      <c r="H305" t="s">
        <v>388</v>
      </c>
      <c r="I305" t="s">
        <v>540</v>
      </c>
      <c r="J305" t="s">
        <v>3114</v>
      </c>
      <c r="K305" t="s">
        <v>56</v>
      </c>
      <c r="L305" t="s">
        <v>68</v>
      </c>
      <c r="M305" t="s">
        <v>93</v>
      </c>
      <c r="N305" t="s">
        <v>82</v>
      </c>
      <c r="O305" s="4">
        <v>1</v>
      </c>
      <c r="P305" s="4">
        <v>11</v>
      </c>
      <c r="Q305" t="s">
        <v>142</v>
      </c>
      <c r="R305" s="2">
        <v>46167</v>
      </c>
      <c r="S305" s="4">
        <v>36</v>
      </c>
      <c r="T305" s="3">
        <v>178000000</v>
      </c>
      <c r="U305" t="s">
        <v>42</v>
      </c>
      <c r="V305" t="s">
        <v>43</v>
      </c>
      <c r="W305" t="s">
        <v>359</v>
      </c>
      <c r="Y305" t="s">
        <v>291</v>
      </c>
      <c r="Z305" t="s">
        <v>3178</v>
      </c>
      <c r="AA305" t="s">
        <v>86</v>
      </c>
      <c r="AB305" t="s">
        <v>87</v>
      </c>
      <c r="AC305" t="s">
        <v>86</v>
      </c>
    </row>
    <row r="306" spans="1:29">
      <c r="A306" t="s">
        <v>694</v>
      </c>
      <c r="B306" s="2">
        <v>46187</v>
      </c>
      <c r="C306" t="s">
        <v>30</v>
      </c>
      <c r="D306" t="s">
        <v>99</v>
      </c>
      <c r="E306" t="s">
        <v>100</v>
      </c>
      <c r="F306" t="s">
        <v>101</v>
      </c>
      <c r="G306" t="s">
        <v>212</v>
      </c>
      <c r="H306" t="s">
        <v>201</v>
      </c>
      <c r="I306" t="s">
        <v>554</v>
      </c>
      <c r="J306" t="s">
        <v>3117</v>
      </c>
      <c r="K306" t="s">
        <v>105</v>
      </c>
      <c r="L306" t="s">
        <v>187</v>
      </c>
      <c r="M306" t="s">
        <v>56</v>
      </c>
      <c r="N306" t="s">
        <v>57</v>
      </c>
      <c r="O306" s="4">
        <v>3</v>
      </c>
      <c r="P306" s="4">
        <v>9</v>
      </c>
      <c r="Q306" t="s">
        <v>69</v>
      </c>
      <c r="R306" s="2">
        <v>46179</v>
      </c>
      <c r="S306" s="4">
        <v>24</v>
      </c>
      <c r="T306" s="3">
        <v>60000000</v>
      </c>
      <c r="U306" t="s">
        <v>42</v>
      </c>
      <c r="V306" t="s">
        <v>59</v>
      </c>
      <c r="W306" t="s">
        <v>71</v>
      </c>
      <c r="Y306" t="s">
        <v>61</v>
      </c>
      <c r="Z306" t="s">
        <v>3177</v>
      </c>
      <c r="AA306" t="s">
        <v>109</v>
      </c>
      <c r="AB306" t="s">
        <v>63</v>
      </c>
      <c r="AC306" t="s">
        <v>109</v>
      </c>
    </row>
    <row r="307" spans="1:29">
      <c r="A307" t="s">
        <v>695</v>
      </c>
      <c r="B307" s="2">
        <v>46194</v>
      </c>
      <c r="C307" t="s">
        <v>30</v>
      </c>
      <c r="D307" t="s">
        <v>74</v>
      </c>
      <c r="E307" t="s">
        <v>172</v>
      </c>
      <c r="F307" t="s">
        <v>277</v>
      </c>
      <c r="G307" t="s">
        <v>476</v>
      </c>
      <c r="H307" t="s">
        <v>241</v>
      </c>
      <c r="I307" t="s">
        <v>512</v>
      </c>
      <c r="J307" t="s">
        <v>3107</v>
      </c>
      <c r="K307" t="s">
        <v>37</v>
      </c>
      <c r="L307" t="s">
        <v>150</v>
      </c>
      <c r="M307" t="s">
        <v>93</v>
      </c>
      <c r="N307" t="s">
        <v>130</v>
      </c>
      <c r="O307" s="4">
        <v>5</v>
      </c>
      <c r="P307" s="4">
        <v>8</v>
      </c>
      <c r="Q307" t="s">
        <v>107</v>
      </c>
      <c r="R307" s="2">
        <v>46192</v>
      </c>
      <c r="S307" s="4">
        <v>11</v>
      </c>
      <c r="T307" s="3">
        <v>251000000</v>
      </c>
      <c r="U307" t="s">
        <v>426</v>
      </c>
      <c r="V307" t="s">
        <v>70</v>
      </c>
      <c r="W307" t="s">
        <v>144</v>
      </c>
      <c r="X307" t="s">
        <v>261</v>
      </c>
      <c r="Y307" t="s">
        <v>334</v>
      </c>
      <c r="Z307" t="s">
        <v>3179</v>
      </c>
      <c r="AA307" t="s">
        <v>181</v>
      </c>
      <c r="AB307" t="s">
        <v>97</v>
      </c>
      <c r="AC307" t="s">
        <v>181</v>
      </c>
    </row>
    <row r="308" spans="1:29">
      <c r="A308" t="s">
        <v>696</v>
      </c>
      <c r="B308" s="2">
        <v>46184</v>
      </c>
      <c r="C308" t="s">
        <v>30</v>
      </c>
      <c r="D308" t="s">
        <v>99</v>
      </c>
      <c r="E308" t="s">
        <v>152</v>
      </c>
      <c r="F308" t="s">
        <v>153</v>
      </c>
      <c r="G308" t="s">
        <v>294</v>
      </c>
      <c r="H308" t="s">
        <v>155</v>
      </c>
      <c r="I308" t="s">
        <v>434</v>
      </c>
      <c r="J308" t="s">
        <v>3083</v>
      </c>
      <c r="K308" t="s">
        <v>56</v>
      </c>
      <c r="L308" t="s">
        <v>38</v>
      </c>
      <c r="M308" t="s">
        <v>106</v>
      </c>
      <c r="N308" t="s">
        <v>130</v>
      </c>
      <c r="O308" s="4">
        <v>5</v>
      </c>
      <c r="P308" s="4">
        <v>9</v>
      </c>
      <c r="Q308" t="s">
        <v>83</v>
      </c>
      <c r="R308" s="2">
        <v>46184</v>
      </c>
      <c r="S308" s="4">
        <v>19</v>
      </c>
      <c r="T308" s="3">
        <v>343000000</v>
      </c>
      <c r="U308" t="s">
        <v>260</v>
      </c>
      <c r="V308" t="s">
        <v>70</v>
      </c>
      <c r="W308" t="s">
        <v>355</v>
      </c>
      <c r="X308" t="s">
        <v>179</v>
      </c>
      <c r="Y308" t="s">
        <v>334</v>
      </c>
      <c r="Z308" t="s">
        <v>3179</v>
      </c>
      <c r="AA308" t="s">
        <v>159</v>
      </c>
      <c r="AB308" t="s">
        <v>97</v>
      </c>
      <c r="AC308" t="s">
        <v>159</v>
      </c>
    </row>
    <row r="309" spans="1:29">
      <c r="A309" t="s">
        <v>697</v>
      </c>
      <c r="B309" s="2">
        <v>46202</v>
      </c>
      <c r="C309" t="s">
        <v>30</v>
      </c>
      <c r="D309" t="s">
        <v>31</v>
      </c>
      <c r="E309" t="s">
        <v>120</v>
      </c>
      <c r="F309" t="s">
        <v>121</v>
      </c>
      <c r="G309" t="s">
        <v>122</v>
      </c>
      <c r="H309" t="s">
        <v>300</v>
      </c>
      <c r="I309" t="s">
        <v>445</v>
      </c>
      <c r="J309" t="s">
        <v>3087</v>
      </c>
      <c r="K309" t="s">
        <v>105</v>
      </c>
      <c r="L309" t="s">
        <v>68</v>
      </c>
      <c r="M309" t="s">
        <v>81</v>
      </c>
      <c r="N309" t="s">
        <v>57</v>
      </c>
      <c r="O309" s="4">
        <v>3</v>
      </c>
      <c r="P309" s="4">
        <v>5</v>
      </c>
      <c r="Q309" t="s">
        <v>83</v>
      </c>
      <c r="R309" s="2">
        <v>46195</v>
      </c>
      <c r="S309" s="4">
        <v>8</v>
      </c>
      <c r="T309" s="3">
        <v>248000000</v>
      </c>
      <c r="U309" t="s">
        <v>42</v>
      </c>
      <c r="V309" t="s">
        <v>59</v>
      </c>
      <c r="W309" t="s">
        <v>71</v>
      </c>
      <c r="Y309" t="s">
        <v>61</v>
      </c>
      <c r="Z309" t="s">
        <v>3177</v>
      </c>
      <c r="AA309" t="s">
        <v>97</v>
      </c>
      <c r="AB309" t="s">
        <v>63</v>
      </c>
      <c r="AC309" t="s">
        <v>97</v>
      </c>
    </row>
    <row r="310" spans="1:29">
      <c r="A310" t="s">
        <v>698</v>
      </c>
      <c r="B310" s="2">
        <v>46201</v>
      </c>
      <c r="C310" t="s">
        <v>30</v>
      </c>
      <c r="D310" t="s">
        <v>49</v>
      </c>
      <c r="E310" t="s">
        <v>75</v>
      </c>
      <c r="F310" t="s">
        <v>161</v>
      </c>
      <c r="G310" t="s">
        <v>230</v>
      </c>
      <c r="H310" t="s">
        <v>388</v>
      </c>
      <c r="I310" t="s">
        <v>576</v>
      </c>
      <c r="J310" t="s">
        <v>3123</v>
      </c>
      <c r="K310" t="s">
        <v>92</v>
      </c>
      <c r="L310" t="s">
        <v>187</v>
      </c>
      <c r="M310" t="s">
        <v>129</v>
      </c>
      <c r="N310" t="s">
        <v>130</v>
      </c>
      <c r="O310" s="4">
        <v>5</v>
      </c>
      <c r="P310" s="4">
        <v>9</v>
      </c>
      <c r="Q310" t="s">
        <v>41</v>
      </c>
      <c r="R310" s="2">
        <v>46199</v>
      </c>
      <c r="S310" s="4">
        <v>4</v>
      </c>
      <c r="T310" s="3">
        <v>69000000</v>
      </c>
      <c r="U310" t="s">
        <v>42</v>
      </c>
      <c r="V310" t="s">
        <v>70</v>
      </c>
      <c r="W310" t="s">
        <v>131</v>
      </c>
      <c r="Y310" t="s">
        <v>132</v>
      </c>
      <c r="Z310" t="s">
        <v>3179</v>
      </c>
      <c r="AA310" t="s">
        <v>86</v>
      </c>
      <c r="AB310" t="s">
        <v>97</v>
      </c>
      <c r="AC310" t="s">
        <v>86</v>
      </c>
    </row>
    <row r="311" spans="1:29">
      <c r="A311" t="s">
        <v>699</v>
      </c>
      <c r="B311" s="2">
        <v>46177</v>
      </c>
      <c r="C311" t="s">
        <v>30</v>
      </c>
      <c r="D311" t="s">
        <v>134</v>
      </c>
      <c r="E311" t="s">
        <v>32</v>
      </c>
      <c r="F311" t="s">
        <v>33</v>
      </c>
      <c r="G311" t="s">
        <v>257</v>
      </c>
      <c r="H311" t="s">
        <v>303</v>
      </c>
      <c r="I311" t="s">
        <v>487</v>
      </c>
      <c r="J311" t="s">
        <v>3102</v>
      </c>
      <c r="K311" t="s">
        <v>56</v>
      </c>
      <c r="L311" t="s">
        <v>150</v>
      </c>
      <c r="M311" t="s">
        <v>93</v>
      </c>
      <c r="N311" t="s">
        <v>94</v>
      </c>
      <c r="O311" s="4">
        <v>4</v>
      </c>
      <c r="P311" s="4">
        <v>3</v>
      </c>
      <c r="Q311" t="s">
        <v>69</v>
      </c>
      <c r="R311" s="2">
        <v>46168</v>
      </c>
      <c r="S311" s="4">
        <v>35</v>
      </c>
      <c r="T311" s="3">
        <v>215000000</v>
      </c>
      <c r="U311" t="s">
        <v>42</v>
      </c>
      <c r="V311" t="s">
        <v>70</v>
      </c>
      <c r="W311" t="s">
        <v>267</v>
      </c>
      <c r="X311" t="s">
        <v>117</v>
      </c>
      <c r="Y311" t="s">
        <v>108</v>
      </c>
      <c r="Z311" t="s">
        <v>3179</v>
      </c>
      <c r="AA311" t="s">
        <v>46</v>
      </c>
      <c r="AB311" t="s">
        <v>97</v>
      </c>
      <c r="AC311" t="s">
        <v>46</v>
      </c>
    </row>
    <row r="312" spans="1:29">
      <c r="A312" t="s">
        <v>700</v>
      </c>
      <c r="B312" s="2">
        <v>46200</v>
      </c>
      <c r="C312" t="s">
        <v>30</v>
      </c>
      <c r="D312" t="s">
        <v>49</v>
      </c>
      <c r="E312" t="s">
        <v>100</v>
      </c>
      <c r="F312" t="s">
        <v>146</v>
      </c>
      <c r="G312" t="s">
        <v>212</v>
      </c>
      <c r="H312" t="s">
        <v>201</v>
      </c>
      <c r="I312" t="s">
        <v>371</v>
      </c>
      <c r="J312" t="s">
        <v>3065</v>
      </c>
      <c r="K312" t="s">
        <v>116</v>
      </c>
      <c r="L312" t="s">
        <v>187</v>
      </c>
      <c r="M312" t="s">
        <v>164</v>
      </c>
      <c r="N312" t="s">
        <v>196</v>
      </c>
      <c r="O312" s="4">
        <v>7</v>
      </c>
      <c r="P312" s="4">
        <v>11</v>
      </c>
      <c r="Q312" t="s">
        <v>58</v>
      </c>
      <c r="R312" s="2">
        <v>46192</v>
      </c>
      <c r="S312" s="4">
        <v>11</v>
      </c>
      <c r="T312" s="3">
        <v>71000000</v>
      </c>
      <c r="U312" t="s">
        <v>564</v>
      </c>
      <c r="V312" t="s">
        <v>70</v>
      </c>
      <c r="W312" t="s">
        <v>243</v>
      </c>
      <c r="Y312" t="s">
        <v>369</v>
      </c>
      <c r="Z312" t="s">
        <v>3181</v>
      </c>
      <c r="AA312" t="s">
        <v>109</v>
      </c>
      <c r="AB312" t="s">
        <v>199</v>
      </c>
      <c r="AC312" t="s">
        <v>109</v>
      </c>
    </row>
    <row r="313" spans="1:29">
      <c r="A313" t="s">
        <v>701</v>
      </c>
      <c r="B313" s="2">
        <v>46178</v>
      </c>
      <c r="C313" t="s">
        <v>30</v>
      </c>
      <c r="D313" t="s">
        <v>134</v>
      </c>
      <c r="E313" t="s">
        <v>100</v>
      </c>
      <c r="F313" t="s">
        <v>101</v>
      </c>
      <c r="G313" t="s">
        <v>237</v>
      </c>
      <c r="H313" t="s">
        <v>103</v>
      </c>
      <c r="I313" t="s">
        <v>104</v>
      </c>
      <c r="J313" t="s">
        <v>3013</v>
      </c>
      <c r="K313" t="s">
        <v>56</v>
      </c>
      <c r="L313" t="s">
        <v>55</v>
      </c>
      <c r="M313" t="s">
        <v>106</v>
      </c>
      <c r="N313" t="s">
        <v>130</v>
      </c>
      <c r="O313" s="4">
        <v>5</v>
      </c>
      <c r="P313" s="4">
        <v>15</v>
      </c>
      <c r="Q313" t="s">
        <v>83</v>
      </c>
      <c r="R313" s="2">
        <v>46177</v>
      </c>
      <c r="S313" s="4">
        <v>26</v>
      </c>
      <c r="T313" s="3">
        <v>92000000</v>
      </c>
      <c r="U313" t="s">
        <v>42</v>
      </c>
      <c r="V313" t="s">
        <v>70</v>
      </c>
      <c r="W313" t="s">
        <v>131</v>
      </c>
      <c r="Y313" t="s">
        <v>262</v>
      </c>
      <c r="Z313" t="s">
        <v>3179</v>
      </c>
      <c r="AA313" t="s">
        <v>109</v>
      </c>
      <c r="AB313" t="s">
        <v>97</v>
      </c>
      <c r="AC313" t="s">
        <v>109</v>
      </c>
    </row>
    <row r="314" spans="1:29">
      <c r="A314" t="s">
        <v>702</v>
      </c>
      <c r="B314" s="2">
        <v>46201</v>
      </c>
      <c r="C314" t="s">
        <v>30</v>
      </c>
      <c r="D314" t="s">
        <v>49</v>
      </c>
      <c r="E314" t="s">
        <v>152</v>
      </c>
      <c r="F314" t="s">
        <v>153</v>
      </c>
      <c r="G314" t="s">
        <v>286</v>
      </c>
      <c r="H314" t="s">
        <v>155</v>
      </c>
      <c r="I314" t="s">
        <v>434</v>
      </c>
      <c r="J314" t="s">
        <v>3083</v>
      </c>
      <c r="K314" t="s">
        <v>92</v>
      </c>
      <c r="L314" t="s">
        <v>80</v>
      </c>
      <c r="M314" t="s">
        <v>81</v>
      </c>
      <c r="N314" t="s">
        <v>130</v>
      </c>
      <c r="O314" s="4">
        <v>5</v>
      </c>
      <c r="P314" s="4">
        <v>18</v>
      </c>
      <c r="Q314" t="s">
        <v>69</v>
      </c>
      <c r="R314" s="2">
        <v>46193</v>
      </c>
      <c r="S314" s="4">
        <v>10</v>
      </c>
      <c r="T314" s="3">
        <v>53000000</v>
      </c>
      <c r="U314" t="s">
        <v>42</v>
      </c>
      <c r="V314" t="s">
        <v>70</v>
      </c>
      <c r="W314" t="s">
        <v>144</v>
      </c>
      <c r="Y314" t="s">
        <v>334</v>
      </c>
      <c r="Z314" t="s">
        <v>3179</v>
      </c>
      <c r="AA314" t="s">
        <v>159</v>
      </c>
      <c r="AB314" t="s">
        <v>97</v>
      </c>
      <c r="AC314" t="s">
        <v>159</v>
      </c>
    </row>
    <row r="315" spans="1:29">
      <c r="A315" t="s">
        <v>703</v>
      </c>
      <c r="B315" s="2">
        <v>46202</v>
      </c>
      <c r="C315" t="s">
        <v>30</v>
      </c>
      <c r="D315" t="s">
        <v>31</v>
      </c>
      <c r="E315" t="s">
        <v>172</v>
      </c>
      <c r="F315" t="s">
        <v>195</v>
      </c>
      <c r="G315" t="s">
        <v>338</v>
      </c>
      <c r="H315" t="s">
        <v>175</v>
      </c>
      <c r="I315" t="s">
        <v>485</v>
      </c>
      <c r="J315" t="s">
        <v>3101</v>
      </c>
      <c r="K315" t="s">
        <v>56</v>
      </c>
      <c r="L315" t="s">
        <v>169</v>
      </c>
      <c r="M315" t="s">
        <v>56</v>
      </c>
      <c r="N315" t="s">
        <v>196</v>
      </c>
      <c r="O315" s="4">
        <v>7</v>
      </c>
      <c r="P315" s="4">
        <v>11</v>
      </c>
      <c r="Q315" t="s">
        <v>138</v>
      </c>
      <c r="R315" s="2">
        <v>46192</v>
      </c>
      <c r="S315" s="4">
        <v>11</v>
      </c>
      <c r="T315" s="3">
        <v>286000000</v>
      </c>
      <c r="U315" t="s">
        <v>564</v>
      </c>
      <c r="V315" t="s">
        <v>70</v>
      </c>
      <c r="W315" t="s">
        <v>675</v>
      </c>
      <c r="Y315" t="s">
        <v>198</v>
      </c>
      <c r="Z315" t="s">
        <v>3181</v>
      </c>
      <c r="AA315" t="s">
        <v>181</v>
      </c>
      <c r="AB315" t="s">
        <v>199</v>
      </c>
      <c r="AC315" t="s">
        <v>181</v>
      </c>
    </row>
    <row r="316" spans="1:29">
      <c r="A316" t="s">
        <v>704</v>
      </c>
      <c r="B316" s="2">
        <v>46188</v>
      </c>
      <c r="C316" t="s">
        <v>30</v>
      </c>
      <c r="D316" t="s">
        <v>74</v>
      </c>
      <c r="E316" t="s">
        <v>75</v>
      </c>
      <c r="F316" t="s">
        <v>76</v>
      </c>
      <c r="G316" t="s">
        <v>387</v>
      </c>
      <c r="H316" t="s">
        <v>388</v>
      </c>
      <c r="I316" t="s">
        <v>661</v>
      </c>
      <c r="J316" t="s">
        <v>3144</v>
      </c>
      <c r="K316" t="s">
        <v>105</v>
      </c>
      <c r="L316" t="s">
        <v>187</v>
      </c>
      <c r="M316" t="s">
        <v>81</v>
      </c>
      <c r="N316" t="s">
        <v>94</v>
      </c>
      <c r="O316" s="4">
        <v>4</v>
      </c>
      <c r="P316" s="4">
        <v>11</v>
      </c>
      <c r="Q316" t="s">
        <v>138</v>
      </c>
      <c r="R316" s="2">
        <v>46183</v>
      </c>
      <c r="S316" s="4">
        <v>20</v>
      </c>
      <c r="T316" s="3">
        <v>228000000</v>
      </c>
      <c r="U316" t="s">
        <v>42</v>
      </c>
      <c r="V316" t="s">
        <v>70</v>
      </c>
      <c r="W316" t="s">
        <v>170</v>
      </c>
      <c r="Y316" t="s">
        <v>268</v>
      </c>
      <c r="Z316" t="s">
        <v>3179</v>
      </c>
      <c r="AA316" t="s">
        <v>86</v>
      </c>
      <c r="AB316" t="s">
        <v>97</v>
      </c>
      <c r="AC316" t="s">
        <v>86</v>
      </c>
    </row>
    <row r="317" spans="1:29">
      <c r="A317" t="s">
        <v>705</v>
      </c>
      <c r="B317" s="2">
        <v>46183</v>
      </c>
      <c r="C317" t="s">
        <v>30</v>
      </c>
      <c r="D317" t="s">
        <v>99</v>
      </c>
      <c r="E317" t="s">
        <v>172</v>
      </c>
      <c r="F317" t="s">
        <v>195</v>
      </c>
      <c r="G317" t="s">
        <v>338</v>
      </c>
      <c r="H317" t="s">
        <v>241</v>
      </c>
      <c r="I317" t="s">
        <v>242</v>
      </c>
      <c r="J317" t="s">
        <v>3034</v>
      </c>
      <c r="K317" t="s">
        <v>92</v>
      </c>
      <c r="L317" t="s">
        <v>68</v>
      </c>
      <c r="M317" t="s">
        <v>93</v>
      </c>
      <c r="N317" t="s">
        <v>40</v>
      </c>
      <c r="O317" s="4">
        <v>2</v>
      </c>
      <c r="P317" s="4">
        <v>4</v>
      </c>
      <c r="Q317" t="s">
        <v>142</v>
      </c>
      <c r="R317" s="2">
        <v>46177</v>
      </c>
      <c r="S317" s="4">
        <v>26</v>
      </c>
      <c r="T317" s="3">
        <v>144000000</v>
      </c>
      <c r="U317" t="s">
        <v>42</v>
      </c>
      <c r="V317" t="s">
        <v>43</v>
      </c>
      <c r="W317" t="s">
        <v>178</v>
      </c>
      <c r="Y317" t="s">
        <v>180</v>
      </c>
      <c r="Z317" t="s">
        <v>3176</v>
      </c>
      <c r="AA317" t="s">
        <v>181</v>
      </c>
      <c r="AB317" t="s">
        <v>47</v>
      </c>
      <c r="AC317" t="s">
        <v>181</v>
      </c>
    </row>
    <row r="318" spans="1:29">
      <c r="A318" t="s">
        <v>706</v>
      </c>
      <c r="B318" s="2">
        <v>46183</v>
      </c>
      <c r="C318" t="s">
        <v>30</v>
      </c>
      <c r="D318" t="s">
        <v>99</v>
      </c>
      <c r="E318" t="s">
        <v>75</v>
      </c>
      <c r="F318" t="s">
        <v>161</v>
      </c>
      <c r="G318" t="s">
        <v>387</v>
      </c>
      <c r="H318" t="s">
        <v>185</v>
      </c>
      <c r="I318" t="s">
        <v>428</v>
      </c>
      <c r="J318" t="s">
        <v>3081</v>
      </c>
      <c r="K318" t="s">
        <v>37</v>
      </c>
      <c r="L318" t="s">
        <v>80</v>
      </c>
      <c r="M318" t="s">
        <v>56</v>
      </c>
      <c r="N318" t="s">
        <v>130</v>
      </c>
      <c r="O318" s="4">
        <v>5</v>
      </c>
      <c r="P318" s="4">
        <v>8</v>
      </c>
      <c r="Q318" t="s">
        <v>41</v>
      </c>
      <c r="R318" s="2">
        <v>46179</v>
      </c>
      <c r="S318" s="4">
        <v>24</v>
      </c>
      <c r="T318" s="3">
        <v>219000000</v>
      </c>
      <c r="U318" t="s">
        <v>42</v>
      </c>
      <c r="V318" t="s">
        <v>70</v>
      </c>
      <c r="W318" t="s">
        <v>355</v>
      </c>
      <c r="X318" t="s">
        <v>117</v>
      </c>
      <c r="Y318" t="s">
        <v>132</v>
      </c>
      <c r="Z318" t="s">
        <v>3179</v>
      </c>
      <c r="AA318" t="s">
        <v>86</v>
      </c>
      <c r="AB318" t="s">
        <v>97</v>
      </c>
      <c r="AC318" t="s">
        <v>86</v>
      </c>
    </row>
    <row r="319" spans="1:29">
      <c r="A319" t="s">
        <v>707</v>
      </c>
      <c r="B319" s="2">
        <v>46198</v>
      </c>
      <c r="C319" t="s">
        <v>30</v>
      </c>
      <c r="D319" t="s">
        <v>49</v>
      </c>
      <c r="E319" t="s">
        <v>152</v>
      </c>
      <c r="F319" t="s">
        <v>153</v>
      </c>
      <c r="G319" t="s">
        <v>294</v>
      </c>
      <c r="H319" t="s">
        <v>283</v>
      </c>
      <c r="I319" t="s">
        <v>393</v>
      </c>
      <c r="J319" t="s">
        <v>3072</v>
      </c>
      <c r="K319" t="s">
        <v>105</v>
      </c>
      <c r="L319" t="s">
        <v>150</v>
      </c>
      <c r="M319" t="s">
        <v>106</v>
      </c>
      <c r="N319" t="s">
        <v>57</v>
      </c>
      <c r="O319" s="4">
        <v>3</v>
      </c>
      <c r="P319" s="4">
        <v>10</v>
      </c>
      <c r="Q319" t="s">
        <v>58</v>
      </c>
      <c r="R319" s="2">
        <v>46192</v>
      </c>
      <c r="S319" s="4">
        <v>11</v>
      </c>
      <c r="T319" s="3">
        <v>291000000</v>
      </c>
      <c r="U319" t="s">
        <v>260</v>
      </c>
      <c r="V319" t="s">
        <v>59</v>
      </c>
      <c r="W319" t="s">
        <v>60</v>
      </c>
      <c r="X319" t="s">
        <v>261</v>
      </c>
      <c r="Y319" t="s">
        <v>165</v>
      </c>
      <c r="Z319" t="s">
        <v>3177</v>
      </c>
      <c r="AA319" t="s">
        <v>159</v>
      </c>
      <c r="AB319" t="s">
        <v>63</v>
      </c>
      <c r="AC319" t="s">
        <v>159</v>
      </c>
    </row>
    <row r="320" spans="1:29">
      <c r="A320" t="s">
        <v>708</v>
      </c>
      <c r="B320" s="2">
        <v>46185</v>
      </c>
      <c r="C320" t="s">
        <v>30</v>
      </c>
      <c r="D320" t="s">
        <v>99</v>
      </c>
      <c r="E320" t="s">
        <v>120</v>
      </c>
      <c r="F320" t="s">
        <v>167</v>
      </c>
      <c r="G320" t="s">
        <v>122</v>
      </c>
      <c r="H320" t="s">
        <v>136</v>
      </c>
      <c r="I320" t="s">
        <v>247</v>
      </c>
      <c r="J320" t="s">
        <v>3035</v>
      </c>
      <c r="K320" t="s">
        <v>116</v>
      </c>
      <c r="L320" t="s">
        <v>68</v>
      </c>
      <c r="M320" t="s">
        <v>129</v>
      </c>
      <c r="N320" t="s">
        <v>130</v>
      </c>
      <c r="O320" s="4">
        <v>5</v>
      </c>
      <c r="P320" s="4">
        <v>12</v>
      </c>
      <c r="Q320" t="s">
        <v>41</v>
      </c>
      <c r="R320" s="2">
        <v>46184</v>
      </c>
      <c r="S320" s="4">
        <v>19</v>
      </c>
      <c r="T320" s="3">
        <v>142000000</v>
      </c>
      <c r="U320" t="s">
        <v>42</v>
      </c>
      <c r="V320" t="s">
        <v>70</v>
      </c>
      <c r="W320" t="s">
        <v>144</v>
      </c>
      <c r="Y320" t="s">
        <v>334</v>
      </c>
      <c r="Z320" t="s">
        <v>3179</v>
      </c>
      <c r="AA320" t="s">
        <v>97</v>
      </c>
      <c r="AB320" t="s">
        <v>97</v>
      </c>
      <c r="AC320" t="s">
        <v>97</v>
      </c>
    </row>
    <row r="321" spans="1:29">
      <c r="A321" t="s">
        <v>709</v>
      </c>
      <c r="B321" s="2">
        <v>46176</v>
      </c>
      <c r="C321" t="s">
        <v>30</v>
      </c>
      <c r="D321" t="s">
        <v>134</v>
      </c>
      <c r="E321" t="s">
        <v>111</v>
      </c>
      <c r="F321" t="s">
        <v>112</v>
      </c>
      <c r="G321" t="s">
        <v>113</v>
      </c>
      <c r="H321" t="s">
        <v>114</v>
      </c>
      <c r="I321" t="s">
        <v>613</v>
      </c>
      <c r="J321" t="s">
        <v>3133</v>
      </c>
      <c r="K321" t="s">
        <v>105</v>
      </c>
      <c r="L321" t="s">
        <v>150</v>
      </c>
      <c r="M321" t="s">
        <v>93</v>
      </c>
      <c r="N321" t="s">
        <v>82</v>
      </c>
      <c r="O321" s="4">
        <v>1</v>
      </c>
      <c r="P321" s="4">
        <v>10</v>
      </c>
      <c r="Q321" t="s">
        <v>58</v>
      </c>
      <c r="R321" s="2">
        <v>46176</v>
      </c>
      <c r="S321" s="4">
        <v>27</v>
      </c>
      <c r="T321" s="3">
        <v>216000000</v>
      </c>
      <c r="U321" t="s">
        <v>42</v>
      </c>
      <c r="V321" t="s">
        <v>59</v>
      </c>
      <c r="W321" t="s">
        <v>359</v>
      </c>
      <c r="Y321" t="s">
        <v>85</v>
      </c>
      <c r="Z321" t="s">
        <v>3178</v>
      </c>
      <c r="AA321" t="s">
        <v>118</v>
      </c>
      <c r="AB321" t="s">
        <v>87</v>
      </c>
      <c r="AC321" t="s">
        <v>118</v>
      </c>
    </row>
    <row r="322" spans="1:29">
      <c r="A322" t="s">
        <v>710</v>
      </c>
      <c r="B322" s="2">
        <v>46186</v>
      </c>
      <c r="C322" t="s">
        <v>30</v>
      </c>
      <c r="D322" t="s">
        <v>99</v>
      </c>
      <c r="E322" t="s">
        <v>75</v>
      </c>
      <c r="F322" t="s">
        <v>161</v>
      </c>
      <c r="G322" t="s">
        <v>387</v>
      </c>
      <c r="H322" t="s">
        <v>78</v>
      </c>
      <c r="I322" t="s">
        <v>79</v>
      </c>
      <c r="J322" t="s">
        <v>3011</v>
      </c>
      <c r="K322" t="s">
        <v>37</v>
      </c>
      <c r="L322" t="s">
        <v>68</v>
      </c>
      <c r="M322" t="s">
        <v>106</v>
      </c>
      <c r="N322" t="s">
        <v>57</v>
      </c>
      <c r="O322" s="4">
        <v>3</v>
      </c>
      <c r="P322" s="4">
        <v>4</v>
      </c>
      <c r="Q322" t="s">
        <v>83</v>
      </c>
      <c r="R322" s="2">
        <v>46181</v>
      </c>
      <c r="S322" s="4">
        <v>22</v>
      </c>
      <c r="T322" s="3">
        <v>188000000</v>
      </c>
      <c r="U322" t="s">
        <v>42</v>
      </c>
      <c r="V322" t="s">
        <v>59</v>
      </c>
      <c r="W322" t="s">
        <v>203</v>
      </c>
      <c r="Y322" t="s">
        <v>72</v>
      </c>
      <c r="Z322" t="s">
        <v>3177</v>
      </c>
      <c r="AA322" t="s">
        <v>86</v>
      </c>
      <c r="AB322" t="s">
        <v>63</v>
      </c>
      <c r="AC322" t="s">
        <v>86</v>
      </c>
    </row>
    <row r="323" spans="1:29">
      <c r="A323" t="s">
        <v>711</v>
      </c>
      <c r="B323" s="2">
        <v>46174</v>
      </c>
      <c r="C323" t="s">
        <v>30</v>
      </c>
      <c r="D323" t="s">
        <v>134</v>
      </c>
      <c r="E323" t="s">
        <v>50</v>
      </c>
      <c r="F323" t="s">
        <v>51</v>
      </c>
      <c r="G323" t="s">
        <v>52</v>
      </c>
      <c r="H323" t="s">
        <v>90</v>
      </c>
      <c r="I323" t="s">
        <v>91</v>
      </c>
      <c r="J323" t="s">
        <v>3012</v>
      </c>
      <c r="K323" t="s">
        <v>56</v>
      </c>
      <c r="L323" t="s">
        <v>55</v>
      </c>
      <c r="M323" t="s">
        <v>39</v>
      </c>
      <c r="N323" t="s">
        <v>130</v>
      </c>
      <c r="O323" s="4">
        <v>5</v>
      </c>
      <c r="P323" s="4">
        <v>15</v>
      </c>
      <c r="Q323" t="s">
        <v>107</v>
      </c>
      <c r="R323" s="2">
        <v>46173</v>
      </c>
      <c r="S323" s="4">
        <v>30</v>
      </c>
      <c r="T323" s="3">
        <v>99000000</v>
      </c>
      <c r="U323" t="s">
        <v>42</v>
      </c>
      <c r="V323" t="s">
        <v>59</v>
      </c>
      <c r="W323" t="s">
        <v>131</v>
      </c>
      <c r="Y323" t="s">
        <v>132</v>
      </c>
      <c r="Z323" t="s">
        <v>3179</v>
      </c>
      <c r="AA323" t="s">
        <v>62</v>
      </c>
      <c r="AB323" t="s">
        <v>97</v>
      </c>
      <c r="AC323" t="s">
        <v>62</v>
      </c>
    </row>
    <row r="324" spans="1:29">
      <c r="A324" t="s">
        <v>712</v>
      </c>
      <c r="B324" s="2">
        <v>46177</v>
      </c>
      <c r="C324" t="s">
        <v>30</v>
      </c>
      <c r="D324" t="s">
        <v>134</v>
      </c>
      <c r="E324" t="s">
        <v>32</v>
      </c>
      <c r="F324" t="s">
        <v>256</v>
      </c>
      <c r="G324" t="s">
        <v>34</v>
      </c>
      <c r="H324" t="s">
        <v>303</v>
      </c>
      <c r="I324" t="s">
        <v>464</v>
      </c>
      <c r="J324" t="s">
        <v>3095</v>
      </c>
      <c r="K324" t="s">
        <v>37</v>
      </c>
      <c r="L324" t="s">
        <v>80</v>
      </c>
      <c r="M324" t="s">
        <v>164</v>
      </c>
      <c r="N324" t="s">
        <v>40</v>
      </c>
      <c r="O324" s="4">
        <v>2</v>
      </c>
      <c r="P324" s="4">
        <v>5</v>
      </c>
      <c r="Q324" t="s">
        <v>58</v>
      </c>
      <c r="R324" s="2">
        <v>46176</v>
      </c>
      <c r="S324" s="4">
        <v>27</v>
      </c>
      <c r="T324" s="3">
        <v>101000000</v>
      </c>
      <c r="U324" t="s">
        <v>42</v>
      </c>
      <c r="V324" t="s">
        <v>43</v>
      </c>
      <c r="W324" t="s">
        <v>44</v>
      </c>
      <c r="Y324" t="s">
        <v>281</v>
      </c>
      <c r="Z324" t="s">
        <v>3178</v>
      </c>
      <c r="AA324" t="s">
        <v>46</v>
      </c>
      <c r="AB324" t="s">
        <v>87</v>
      </c>
      <c r="AC324" t="s">
        <v>46</v>
      </c>
    </row>
    <row r="325" spans="1:29">
      <c r="A325" t="s">
        <v>713</v>
      </c>
      <c r="B325" s="2">
        <v>46177</v>
      </c>
      <c r="C325" t="s">
        <v>30</v>
      </c>
      <c r="D325" t="s">
        <v>134</v>
      </c>
      <c r="E325" t="s">
        <v>120</v>
      </c>
      <c r="F325" t="s">
        <v>167</v>
      </c>
      <c r="G325" t="s">
        <v>227</v>
      </c>
      <c r="H325" t="s">
        <v>136</v>
      </c>
      <c r="I325" t="s">
        <v>247</v>
      </c>
      <c r="J325" t="s">
        <v>3035</v>
      </c>
      <c r="K325" t="s">
        <v>92</v>
      </c>
      <c r="L325" t="s">
        <v>80</v>
      </c>
      <c r="M325" t="s">
        <v>81</v>
      </c>
      <c r="N325" t="s">
        <v>57</v>
      </c>
      <c r="O325" s="4">
        <v>3</v>
      </c>
      <c r="P325" s="4">
        <v>7</v>
      </c>
      <c r="Q325" t="s">
        <v>107</v>
      </c>
      <c r="R325" s="2">
        <v>46177</v>
      </c>
      <c r="S325" s="4">
        <v>26</v>
      </c>
      <c r="T325" s="3">
        <v>210000000</v>
      </c>
      <c r="U325" t="s">
        <v>42</v>
      </c>
      <c r="V325" t="s">
        <v>59</v>
      </c>
      <c r="W325" t="s">
        <v>60</v>
      </c>
      <c r="Y325" t="s">
        <v>72</v>
      </c>
      <c r="Z325" t="s">
        <v>3177</v>
      </c>
      <c r="AA325" t="s">
        <v>97</v>
      </c>
      <c r="AB325" t="s">
        <v>63</v>
      </c>
      <c r="AC325" t="s">
        <v>97</v>
      </c>
    </row>
    <row r="326" spans="1:29">
      <c r="A326" t="s">
        <v>714</v>
      </c>
      <c r="B326" s="2">
        <v>46191</v>
      </c>
      <c r="C326" t="s">
        <v>30</v>
      </c>
      <c r="D326" t="s">
        <v>74</v>
      </c>
      <c r="E326" t="s">
        <v>172</v>
      </c>
      <c r="F326" t="s">
        <v>195</v>
      </c>
      <c r="G326" t="s">
        <v>338</v>
      </c>
      <c r="H326" t="s">
        <v>241</v>
      </c>
      <c r="I326" t="s">
        <v>457</v>
      </c>
      <c r="J326" t="s">
        <v>3092</v>
      </c>
      <c r="K326" t="s">
        <v>37</v>
      </c>
      <c r="L326" t="s">
        <v>150</v>
      </c>
      <c r="M326" t="s">
        <v>39</v>
      </c>
      <c r="N326" t="s">
        <v>94</v>
      </c>
      <c r="O326" s="4">
        <v>4</v>
      </c>
      <c r="P326" s="4">
        <v>6</v>
      </c>
      <c r="Q326" t="s">
        <v>138</v>
      </c>
      <c r="R326" s="2">
        <v>46181</v>
      </c>
      <c r="S326" s="4">
        <v>22</v>
      </c>
      <c r="T326" s="3">
        <v>182000000</v>
      </c>
      <c r="U326" t="s">
        <v>42</v>
      </c>
      <c r="V326" t="s">
        <v>59</v>
      </c>
      <c r="W326" t="s">
        <v>170</v>
      </c>
      <c r="Y326" t="s">
        <v>108</v>
      </c>
      <c r="Z326" t="s">
        <v>3179</v>
      </c>
      <c r="AA326" t="s">
        <v>181</v>
      </c>
      <c r="AB326" t="s">
        <v>97</v>
      </c>
      <c r="AC326" t="s">
        <v>181</v>
      </c>
    </row>
    <row r="327" spans="1:29">
      <c r="A327" t="s">
        <v>715</v>
      </c>
      <c r="B327" s="2">
        <v>46189</v>
      </c>
      <c r="C327" t="s">
        <v>30</v>
      </c>
      <c r="D327" t="s">
        <v>74</v>
      </c>
      <c r="E327" t="s">
        <v>100</v>
      </c>
      <c r="F327" t="s">
        <v>146</v>
      </c>
      <c r="G327" t="s">
        <v>237</v>
      </c>
      <c r="H327" t="s">
        <v>148</v>
      </c>
      <c r="I327" t="s">
        <v>532</v>
      </c>
      <c r="J327" t="s">
        <v>3111</v>
      </c>
      <c r="K327" t="s">
        <v>116</v>
      </c>
      <c r="L327" t="s">
        <v>80</v>
      </c>
      <c r="M327" t="s">
        <v>56</v>
      </c>
      <c r="N327" t="s">
        <v>82</v>
      </c>
      <c r="O327" s="4">
        <v>1</v>
      </c>
      <c r="P327" s="4">
        <v>15</v>
      </c>
      <c r="Q327" t="s">
        <v>58</v>
      </c>
      <c r="R327" s="2">
        <v>46185</v>
      </c>
      <c r="S327" s="4">
        <v>18</v>
      </c>
      <c r="T327" s="3">
        <v>132000000</v>
      </c>
      <c r="U327" t="s">
        <v>260</v>
      </c>
      <c r="V327" t="s">
        <v>43</v>
      </c>
      <c r="W327" t="s">
        <v>84</v>
      </c>
      <c r="X327" t="s">
        <v>520</v>
      </c>
      <c r="Y327" t="s">
        <v>85</v>
      </c>
      <c r="Z327" t="s">
        <v>3180</v>
      </c>
      <c r="AA327" t="s">
        <v>109</v>
      </c>
      <c r="AB327" t="s">
        <v>193</v>
      </c>
      <c r="AC327" t="s">
        <v>109</v>
      </c>
    </row>
    <row r="328" spans="1:29">
      <c r="A328" t="s">
        <v>716</v>
      </c>
      <c r="B328" s="2">
        <v>46202</v>
      </c>
      <c r="C328" t="s">
        <v>30</v>
      </c>
      <c r="D328" t="s">
        <v>31</v>
      </c>
      <c r="E328" t="s">
        <v>75</v>
      </c>
      <c r="F328" t="s">
        <v>76</v>
      </c>
      <c r="G328" t="s">
        <v>387</v>
      </c>
      <c r="H328" t="s">
        <v>388</v>
      </c>
      <c r="I328" t="s">
        <v>409</v>
      </c>
      <c r="J328" t="s">
        <v>3076</v>
      </c>
      <c r="K328" t="s">
        <v>92</v>
      </c>
      <c r="L328" t="s">
        <v>150</v>
      </c>
      <c r="M328" t="s">
        <v>39</v>
      </c>
      <c r="N328" t="s">
        <v>94</v>
      </c>
      <c r="O328" s="4">
        <v>4</v>
      </c>
      <c r="P328" s="4">
        <v>10</v>
      </c>
      <c r="Q328" t="s">
        <v>138</v>
      </c>
      <c r="R328" s="2">
        <v>46192</v>
      </c>
      <c r="S328" s="4">
        <v>11</v>
      </c>
      <c r="T328" s="3">
        <v>174000000</v>
      </c>
      <c r="U328" t="s">
        <v>42</v>
      </c>
      <c r="V328" t="s">
        <v>143</v>
      </c>
      <c r="W328" t="s">
        <v>170</v>
      </c>
      <c r="Y328" t="s">
        <v>228</v>
      </c>
      <c r="Z328" t="s">
        <v>3179</v>
      </c>
      <c r="AA328" t="s">
        <v>86</v>
      </c>
      <c r="AB328" t="s">
        <v>97</v>
      </c>
      <c r="AC328" t="s">
        <v>86</v>
      </c>
    </row>
    <row r="329" spans="1:29">
      <c r="A329" t="s">
        <v>717</v>
      </c>
      <c r="B329" s="2">
        <v>46199</v>
      </c>
      <c r="C329" t="s">
        <v>30</v>
      </c>
      <c r="D329" t="s">
        <v>49</v>
      </c>
      <c r="E329" t="s">
        <v>75</v>
      </c>
      <c r="F329" t="s">
        <v>161</v>
      </c>
      <c r="G329" t="s">
        <v>162</v>
      </c>
      <c r="H329" t="s">
        <v>388</v>
      </c>
      <c r="I329" t="s">
        <v>389</v>
      </c>
      <c r="J329" t="s">
        <v>3071</v>
      </c>
      <c r="K329" t="s">
        <v>105</v>
      </c>
      <c r="L329" t="s">
        <v>150</v>
      </c>
      <c r="M329" t="s">
        <v>56</v>
      </c>
      <c r="N329" t="s">
        <v>130</v>
      </c>
      <c r="O329" s="4">
        <v>5</v>
      </c>
      <c r="P329" s="4">
        <v>7</v>
      </c>
      <c r="Q329" t="s">
        <v>83</v>
      </c>
      <c r="R329" s="2">
        <v>46189</v>
      </c>
      <c r="S329" s="4">
        <v>14</v>
      </c>
      <c r="T329" s="3">
        <v>318000000</v>
      </c>
      <c r="U329" t="s">
        <v>42</v>
      </c>
      <c r="V329" t="s">
        <v>59</v>
      </c>
      <c r="W329" t="s">
        <v>252</v>
      </c>
      <c r="Y329" t="s">
        <v>254</v>
      </c>
      <c r="Z329" t="s">
        <v>3179</v>
      </c>
      <c r="AA329" t="s">
        <v>86</v>
      </c>
      <c r="AB329" t="s">
        <v>97</v>
      </c>
      <c r="AC329" t="s">
        <v>86</v>
      </c>
    </row>
    <row r="330" spans="1:29">
      <c r="A330" t="s">
        <v>718</v>
      </c>
      <c r="B330" s="2">
        <v>46194</v>
      </c>
      <c r="C330" t="s">
        <v>30</v>
      </c>
      <c r="D330" t="s">
        <v>74</v>
      </c>
      <c r="E330" t="s">
        <v>75</v>
      </c>
      <c r="F330" t="s">
        <v>161</v>
      </c>
      <c r="G330" t="s">
        <v>230</v>
      </c>
      <c r="H330" t="s">
        <v>388</v>
      </c>
      <c r="I330" t="s">
        <v>661</v>
      </c>
      <c r="J330" t="s">
        <v>3144</v>
      </c>
      <c r="K330" t="s">
        <v>92</v>
      </c>
      <c r="L330" t="s">
        <v>150</v>
      </c>
      <c r="M330" t="s">
        <v>56</v>
      </c>
      <c r="N330" t="s">
        <v>40</v>
      </c>
      <c r="O330" s="4">
        <v>2</v>
      </c>
      <c r="P330" s="4">
        <v>7</v>
      </c>
      <c r="Q330" t="s">
        <v>138</v>
      </c>
      <c r="R330" s="2">
        <v>46190</v>
      </c>
      <c r="S330" s="4">
        <v>13</v>
      </c>
      <c r="T330" s="3">
        <v>177000000</v>
      </c>
      <c r="U330" t="s">
        <v>260</v>
      </c>
      <c r="V330" t="s">
        <v>43</v>
      </c>
      <c r="W330" t="s">
        <v>298</v>
      </c>
      <c r="X330" t="s">
        <v>381</v>
      </c>
      <c r="Y330" t="s">
        <v>45</v>
      </c>
      <c r="Z330" t="s">
        <v>3178</v>
      </c>
      <c r="AA330" t="s">
        <v>86</v>
      </c>
      <c r="AB330" t="s">
        <v>87</v>
      </c>
      <c r="AC330" t="s">
        <v>86</v>
      </c>
    </row>
    <row r="331" spans="1:29">
      <c r="A331" t="s">
        <v>719</v>
      </c>
      <c r="B331" s="2">
        <v>46178</v>
      </c>
      <c r="C331" t="s">
        <v>30</v>
      </c>
      <c r="D331" t="s">
        <v>134</v>
      </c>
      <c r="E331" t="s">
        <v>50</v>
      </c>
      <c r="F331" t="s">
        <v>51</v>
      </c>
      <c r="G331" t="s">
        <v>270</v>
      </c>
      <c r="H331" t="s">
        <v>53</v>
      </c>
      <c r="I331" t="s">
        <v>54</v>
      </c>
      <c r="J331" t="s">
        <v>3009</v>
      </c>
      <c r="K331" t="s">
        <v>37</v>
      </c>
      <c r="L331" t="s">
        <v>68</v>
      </c>
      <c r="M331" t="s">
        <v>81</v>
      </c>
      <c r="N331" t="s">
        <v>94</v>
      </c>
      <c r="O331" s="4">
        <v>4</v>
      </c>
      <c r="P331" s="4">
        <v>8</v>
      </c>
      <c r="Q331" t="s">
        <v>41</v>
      </c>
      <c r="R331" s="2">
        <v>46177</v>
      </c>
      <c r="S331" s="4">
        <v>26</v>
      </c>
      <c r="T331" s="3">
        <v>229000000</v>
      </c>
      <c r="U331" t="s">
        <v>260</v>
      </c>
      <c r="V331" t="s">
        <v>70</v>
      </c>
      <c r="W331" t="s">
        <v>188</v>
      </c>
      <c r="X331" t="s">
        <v>261</v>
      </c>
      <c r="Y331" t="s">
        <v>108</v>
      </c>
      <c r="Z331" t="s">
        <v>3179</v>
      </c>
      <c r="AA331" t="s">
        <v>62</v>
      </c>
      <c r="AB331" t="s">
        <v>97</v>
      </c>
      <c r="AC331" t="s">
        <v>62</v>
      </c>
    </row>
    <row r="332" spans="1:29">
      <c r="A332" t="s">
        <v>720</v>
      </c>
      <c r="B332" s="2">
        <v>46177</v>
      </c>
      <c r="C332" t="s">
        <v>30</v>
      </c>
      <c r="D332" t="s">
        <v>134</v>
      </c>
      <c r="E332" t="s">
        <v>75</v>
      </c>
      <c r="F332" t="s">
        <v>183</v>
      </c>
      <c r="G332" t="s">
        <v>162</v>
      </c>
      <c r="H332" t="s">
        <v>185</v>
      </c>
      <c r="I332" t="s">
        <v>721</v>
      </c>
      <c r="J332" t="s">
        <v>3147</v>
      </c>
      <c r="K332" t="s">
        <v>56</v>
      </c>
      <c r="L332" t="s">
        <v>187</v>
      </c>
      <c r="M332" t="s">
        <v>81</v>
      </c>
      <c r="N332" t="s">
        <v>130</v>
      </c>
      <c r="O332" s="4">
        <v>5</v>
      </c>
      <c r="P332" s="4">
        <v>13</v>
      </c>
      <c r="Q332" t="s">
        <v>58</v>
      </c>
      <c r="R332" s="2">
        <v>46167</v>
      </c>
      <c r="S332" s="4">
        <v>36</v>
      </c>
      <c r="T332" s="3">
        <v>393000000</v>
      </c>
      <c r="U332" t="s">
        <v>42</v>
      </c>
      <c r="V332" t="s">
        <v>70</v>
      </c>
      <c r="W332" t="s">
        <v>144</v>
      </c>
      <c r="Y332" t="s">
        <v>132</v>
      </c>
      <c r="Z332" t="s">
        <v>3179</v>
      </c>
      <c r="AA332" t="s">
        <v>86</v>
      </c>
      <c r="AB332" t="s">
        <v>97</v>
      </c>
      <c r="AC332" t="s">
        <v>86</v>
      </c>
    </row>
    <row r="333" spans="1:29">
      <c r="A333" t="s">
        <v>722</v>
      </c>
      <c r="B333" s="2">
        <v>46194</v>
      </c>
      <c r="C333" t="s">
        <v>30</v>
      </c>
      <c r="D333" t="s">
        <v>74</v>
      </c>
      <c r="E333" t="s">
        <v>152</v>
      </c>
      <c r="F333" t="s">
        <v>205</v>
      </c>
      <c r="G333" t="s">
        <v>154</v>
      </c>
      <c r="H333" t="s">
        <v>155</v>
      </c>
      <c r="I333" t="s">
        <v>434</v>
      </c>
      <c r="J333" t="s">
        <v>3083</v>
      </c>
      <c r="K333" t="s">
        <v>37</v>
      </c>
      <c r="L333" t="s">
        <v>55</v>
      </c>
      <c r="M333" t="s">
        <v>39</v>
      </c>
      <c r="N333" t="s">
        <v>40</v>
      </c>
      <c r="O333" s="4">
        <v>2</v>
      </c>
      <c r="P333" s="4">
        <v>6</v>
      </c>
      <c r="Q333" t="s">
        <v>138</v>
      </c>
      <c r="R333" s="2">
        <v>46193</v>
      </c>
      <c r="S333" s="4">
        <v>10</v>
      </c>
      <c r="T333" s="3">
        <v>68000000</v>
      </c>
      <c r="U333" t="s">
        <v>42</v>
      </c>
      <c r="V333" t="s">
        <v>43</v>
      </c>
      <c r="W333" t="s">
        <v>178</v>
      </c>
      <c r="Y333" t="s">
        <v>45</v>
      </c>
      <c r="Z333" t="s">
        <v>3178</v>
      </c>
      <c r="AA333" t="s">
        <v>159</v>
      </c>
      <c r="AB333" t="s">
        <v>87</v>
      </c>
      <c r="AC333" t="s">
        <v>159</v>
      </c>
    </row>
    <row r="334" spans="1:29">
      <c r="A334" t="s">
        <v>723</v>
      </c>
      <c r="B334" s="2">
        <v>46175</v>
      </c>
      <c r="C334" t="s">
        <v>30</v>
      </c>
      <c r="D334" t="s">
        <v>134</v>
      </c>
      <c r="E334" t="s">
        <v>100</v>
      </c>
      <c r="F334" t="s">
        <v>101</v>
      </c>
      <c r="G334" t="s">
        <v>147</v>
      </c>
      <c r="H334" t="s">
        <v>148</v>
      </c>
      <c r="I334" t="s">
        <v>724</v>
      </c>
      <c r="J334" t="s">
        <v>3148</v>
      </c>
      <c r="K334" t="s">
        <v>37</v>
      </c>
      <c r="L334" t="s">
        <v>187</v>
      </c>
      <c r="M334" t="s">
        <v>39</v>
      </c>
      <c r="N334" t="s">
        <v>130</v>
      </c>
      <c r="O334" s="4">
        <v>5</v>
      </c>
      <c r="P334" s="4">
        <v>17</v>
      </c>
      <c r="Q334" t="s">
        <v>69</v>
      </c>
      <c r="R334" s="2">
        <v>46175</v>
      </c>
      <c r="S334" s="4">
        <v>28</v>
      </c>
      <c r="T334" s="3">
        <v>271000000</v>
      </c>
      <c r="U334" t="s">
        <v>42</v>
      </c>
      <c r="V334" t="s">
        <v>70</v>
      </c>
      <c r="W334" t="s">
        <v>252</v>
      </c>
      <c r="Y334" t="s">
        <v>254</v>
      </c>
      <c r="Z334" t="s">
        <v>3179</v>
      </c>
      <c r="AA334" t="s">
        <v>109</v>
      </c>
      <c r="AB334" t="s">
        <v>97</v>
      </c>
      <c r="AC334" t="s">
        <v>109</v>
      </c>
    </row>
    <row r="335" spans="1:29">
      <c r="A335" t="s">
        <v>725</v>
      </c>
      <c r="B335" s="2">
        <v>46199</v>
      </c>
      <c r="C335" t="s">
        <v>30</v>
      </c>
      <c r="D335" t="s">
        <v>49</v>
      </c>
      <c r="E335" t="s">
        <v>50</v>
      </c>
      <c r="F335" t="s">
        <v>51</v>
      </c>
      <c r="G335" t="s">
        <v>270</v>
      </c>
      <c r="H335" t="s">
        <v>66</v>
      </c>
      <c r="I335" t="s">
        <v>346</v>
      </c>
      <c r="J335" t="s">
        <v>3058</v>
      </c>
      <c r="K335" t="s">
        <v>56</v>
      </c>
      <c r="L335" t="s">
        <v>150</v>
      </c>
      <c r="M335" t="s">
        <v>129</v>
      </c>
      <c r="N335" t="s">
        <v>82</v>
      </c>
      <c r="O335" s="4">
        <v>1</v>
      </c>
      <c r="P335" s="4">
        <v>6</v>
      </c>
      <c r="Q335" t="s">
        <v>58</v>
      </c>
      <c r="R335" s="2">
        <v>46193</v>
      </c>
      <c r="S335" s="4">
        <v>10</v>
      </c>
      <c r="T335" s="3">
        <v>443000000</v>
      </c>
      <c r="U335" t="s">
        <v>42</v>
      </c>
      <c r="V335" t="s">
        <v>43</v>
      </c>
      <c r="W335" t="s">
        <v>290</v>
      </c>
      <c r="Y335" t="s">
        <v>330</v>
      </c>
      <c r="Z335" t="s">
        <v>3178</v>
      </c>
      <c r="AA335" t="s">
        <v>62</v>
      </c>
      <c r="AB335" t="s">
        <v>87</v>
      </c>
      <c r="AC335" t="s">
        <v>62</v>
      </c>
    </row>
    <row r="336" spans="1:29">
      <c r="A336" t="s">
        <v>726</v>
      </c>
      <c r="B336" s="2">
        <v>46175</v>
      </c>
      <c r="C336" t="s">
        <v>30</v>
      </c>
      <c r="D336" t="s">
        <v>134</v>
      </c>
      <c r="E336" t="s">
        <v>152</v>
      </c>
      <c r="F336" t="s">
        <v>153</v>
      </c>
      <c r="G336" t="s">
        <v>154</v>
      </c>
      <c r="H336" t="s">
        <v>207</v>
      </c>
      <c r="I336" t="s">
        <v>571</v>
      </c>
      <c r="J336" t="s">
        <v>3122</v>
      </c>
      <c r="K336" t="s">
        <v>92</v>
      </c>
      <c r="L336" t="s">
        <v>169</v>
      </c>
      <c r="M336" t="s">
        <v>81</v>
      </c>
      <c r="N336" t="s">
        <v>40</v>
      </c>
      <c r="O336" s="4">
        <v>2</v>
      </c>
      <c r="P336" s="4">
        <v>10</v>
      </c>
      <c r="Q336" t="s">
        <v>138</v>
      </c>
      <c r="R336" s="2">
        <v>46173</v>
      </c>
      <c r="S336" s="4">
        <v>30</v>
      </c>
      <c r="T336" s="3">
        <v>182000000</v>
      </c>
      <c r="U336" t="s">
        <v>260</v>
      </c>
      <c r="V336" t="s">
        <v>43</v>
      </c>
      <c r="W336" t="s">
        <v>239</v>
      </c>
      <c r="X336" t="s">
        <v>520</v>
      </c>
      <c r="Y336" t="s">
        <v>281</v>
      </c>
      <c r="Z336" t="s">
        <v>3178</v>
      </c>
      <c r="AA336" t="s">
        <v>159</v>
      </c>
      <c r="AB336" t="s">
        <v>87</v>
      </c>
      <c r="AC336" t="s">
        <v>159</v>
      </c>
    </row>
    <row r="337" spans="1:29">
      <c r="A337" t="s">
        <v>727</v>
      </c>
      <c r="B337" s="2">
        <v>46180</v>
      </c>
      <c r="C337" t="s">
        <v>30</v>
      </c>
      <c r="D337" t="s">
        <v>134</v>
      </c>
      <c r="E337" t="s">
        <v>172</v>
      </c>
      <c r="F337" t="s">
        <v>195</v>
      </c>
      <c r="G337" t="s">
        <v>278</v>
      </c>
      <c r="H337" t="s">
        <v>241</v>
      </c>
      <c r="I337" t="s">
        <v>379</v>
      </c>
      <c r="J337" t="s">
        <v>3069</v>
      </c>
      <c r="K337" t="s">
        <v>37</v>
      </c>
      <c r="L337" t="s">
        <v>187</v>
      </c>
      <c r="M337" t="s">
        <v>39</v>
      </c>
      <c r="N337" t="s">
        <v>57</v>
      </c>
      <c r="O337" s="4">
        <v>3</v>
      </c>
      <c r="P337" s="4">
        <v>6</v>
      </c>
      <c r="Q337" t="s">
        <v>107</v>
      </c>
      <c r="R337" s="2">
        <v>46170</v>
      </c>
      <c r="S337" s="4">
        <v>33</v>
      </c>
      <c r="T337" s="3">
        <v>159000000</v>
      </c>
      <c r="U337" t="s">
        <v>42</v>
      </c>
      <c r="V337" t="s">
        <v>59</v>
      </c>
      <c r="W337" t="s">
        <v>71</v>
      </c>
      <c r="Y337" t="s">
        <v>158</v>
      </c>
      <c r="Z337" t="s">
        <v>3177</v>
      </c>
      <c r="AA337" t="s">
        <v>181</v>
      </c>
      <c r="AB337" t="s">
        <v>63</v>
      </c>
      <c r="AC337" t="s">
        <v>181</v>
      </c>
    </row>
    <row r="338" spans="1:29">
      <c r="A338" t="s">
        <v>728</v>
      </c>
      <c r="B338" s="2">
        <v>46188</v>
      </c>
      <c r="C338" t="s">
        <v>30</v>
      </c>
      <c r="D338" t="s">
        <v>74</v>
      </c>
      <c r="E338" t="s">
        <v>152</v>
      </c>
      <c r="F338" t="s">
        <v>205</v>
      </c>
      <c r="G338" t="s">
        <v>206</v>
      </c>
      <c r="H338" t="s">
        <v>155</v>
      </c>
      <c r="I338" t="s">
        <v>729</v>
      </c>
      <c r="J338" t="s">
        <v>3149</v>
      </c>
      <c r="K338" t="s">
        <v>105</v>
      </c>
      <c r="L338" t="s">
        <v>38</v>
      </c>
      <c r="M338" t="s">
        <v>93</v>
      </c>
      <c r="N338" t="s">
        <v>94</v>
      </c>
      <c r="O338" s="4">
        <v>4</v>
      </c>
      <c r="P338" s="4">
        <v>10</v>
      </c>
      <c r="Q338" t="s">
        <v>83</v>
      </c>
      <c r="R338" s="2">
        <v>46179</v>
      </c>
      <c r="S338" s="4">
        <v>24</v>
      </c>
      <c r="T338" s="3">
        <v>245000000</v>
      </c>
      <c r="U338" t="s">
        <v>42</v>
      </c>
      <c r="V338" t="s">
        <v>59</v>
      </c>
      <c r="W338" t="s">
        <v>267</v>
      </c>
      <c r="Y338" t="s">
        <v>108</v>
      </c>
      <c r="Z338" t="s">
        <v>3179</v>
      </c>
      <c r="AA338" t="s">
        <v>159</v>
      </c>
      <c r="AB338" t="s">
        <v>97</v>
      </c>
      <c r="AC338" t="s">
        <v>159</v>
      </c>
    </row>
    <row r="339" spans="1:29">
      <c r="A339" t="s">
        <v>730</v>
      </c>
      <c r="B339" s="2">
        <v>46197</v>
      </c>
      <c r="C339" t="s">
        <v>30</v>
      </c>
      <c r="D339" t="s">
        <v>49</v>
      </c>
      <c r="E339" t="s">
        <v>32</v>
      </c>
      <c r="F339" t="s">
        <v>256</v>
      </c>
      <c r="G339" t="s">
        <v>463</v>
      </c>
      <c r="H339" t="s">
        <v>303</v>
      </c>
      <c r="I339" t="s">
        <v>487</v>
      </c>
      <c r="J339" t="s">
        <v>3102</v>
      </c>
      <c r="K339" t="s">
        <v>92</v>
      </c>
      <c r="L339" t="s">
        <v>187</v>
      </c>
      <c r="M339" t="s">
        <v>56</v>
      </c>
      <c r="N339" t="s">
        <v>82</v>
      </c>
      <c r="O339" s="4">
        <v>1</v>
      </c>
      <c r="P339" s="4">
        <v>3</v>
      </c>
      <c r="Q339" t="s">
        <v>83</v>
      </c>
      <c r="R339" s="2">
        <v>46195</v>
      </c>
      <c r="S339" s="4">
        <v>8</v>
      </c>
      <c r="T339" s="3">
        <v>106000000</v>
      </c>
      <c r="U339" t="s">
        <v>42</v>
      </c>
      <c r="V339" t="s">
        <v>43</v>
      </c>
      <c r="W339" t="s">
        <v>84</v>
      </c>
      <c r="Y339" t="s">
        <v>291</v>
      </c>
      <c r="Z339" t="s">
        <v>3176</v>
      </c>
      <c r="AA339" t="s">
        <v>46</v>
      </c>
      <c r="AB339" t="s">
        <v>47</v>
      </c>
      <c r="AC339" t="s">
        <v>46</v>
      </c>
    </row>
    <row r="340" spans="1:29">
      <c r="A340" t="s">
        <v>731</v>
      </c>
      <c r="B340" s="2">
        <v>46202</v>
      </c>
      <c r="C340" t="s">
        <v>30</v>
      </c>
      <c r="D340" t="s">
        <v>31</v>
      </c>
      <c r="E340" t="s">
        <v>32</v>
      </c>
      <c r="F340" t="s">
        <v>256</v>
      </c>
      <c r="G340" t="s">
        <v>34</v>
      </c>
      <c r="H340" t="s">
        <v>258</v>
      </c>
      <c r="I340" t="s">
        <v>593</v>
      </c>
      <c r="J340" t="s">
        <v>3127</v>
      </c>
      <c r="K340" t="s">
        <v>116</v>
      </c>
      <c r="L340" t="s">
        <v>150</v>
      </c>
      <c r="M340" t="s">
        <v>93</v>
      </c>
      <c r="N340" t="s">
        <v>213</v>
      </c>
      <c r="O340" s="4">
        <v>6</v>
      </c>
      <c r="P340" s="4">
        <v>4</v>
      </c>
      <c r="Q340" t="s">
        <v>69</v>
      </c>
      <c r="R340" s="2">
        <v>46196</v>
      </c>
      <c r="S340" s="4">
        <v>7</v>
      </c>
      <c r="T340" s="3">
        <v>73000000</v>
      </c>
      <c r="U340" t="s">
        <v>42</v>
      </c>
      <c r="V340" t="s">
        <v>70</v>
      </c>
      <c r="W340" t="s">
        <v>248</v>
      </c>
      <c r="X340" t="s">
        <v>117</v>
      </c>
      <c r="Y340" t="s">
        <v>249</v>
      </c>
      <c r="Z340" t="s">
        <v>3179</v>
      </c>
      <c r="AA340" t="s">
        <v>46</v>
      </c>
      <c r="AB340" t="s">
        <v>97</v>
      </c>
      <c r="AC340" t="s">
        <v>46</v>
      </c>
    </row>
    <row r="341" spans="1:29">
      <c r="A341" t="s">
        <v>732</v>
      </c>
      <c r="B341" s="2">
        <v>46192</v>
      </c>
      <c r="C341" t="s">
        <v>30</v>
      </c>
      <c r="D341" t="s">
        <v>74</v>
      </c>
      <c r="E341" t="s">
        <v>172</v>
      </c>
      <c r="F341" t="s">
        <v>195</v>
      </c>
      <c r="G341" t="s">
        <v>289</v>
      </c>
      <c r="H341" t="s">
        <v>241</v>
      </c>
      <c r="I341" t="s">
        <v>512</v>
      </c>
      <c r="J341" t="s">
        <v>3107</v>
      </c>
      <c r="K341" t="s">
        <v>92</v>
      </c>
      <c r="L341" t="s">
        <v>38</v>
      </c>
      <c r="M341" t="s">
        <v>81</v>
      </c>
      <c r="N341" t="s">
        <v>213</v>
      </c>
      <c r="O341" s="4">
        <v>6</v>
      </c>
      <c r="P341" s="4">
        <v>9</v>
      </c>
      <c r="Q341" t="s">
        <v>138</v>
      </c>
      <c r="R341" s="2">
        <v>46185</v>
      </c>
      <c r="S341" s="4">
        <v>18</v>
      </c>
      <c r="T341" s="3">
        <v>187000000</v>
      </c>
      <c r="U341" t="s">
        <v>42</v>
      </c>
      <c r="V341" t="s">
        <v>70</v>
      </c>
      <c r="W341" t="s">
        <v>438</v>
      </c>
      <c r="Y341" t="s">
        <v>216</v>
      </c>
      <c r="Z341" t="s">
        <v>3179</v>
      </c>
      <c r="AA341" t="s">
        <v>181</v>
      </c>
      <c r="AB341" t="s">
        <v>97</v>
      </c>
      <c r="AC341" t="s">
        <v>181</v>
      </c>
    </row>
    <row r="342" spans="1:29">
      <c r="A342" t="s">
        <v>733</v>
      </c>
      <c r="B342" s="2">
        <v>46194</v>
      </c>
      <c r="C342" t="s">
        <v>30</v>
      </c>
      <c r="D342" t="s">
        <v>74</v>
      </c>
      <c r="E342" t="s">
        <v>111</v>
      </c>
      <c r="F342" t="s">
        <v>112</v>
      </c>
      <c r="G342" t="s">
        <v>113</v>
      </c>
      <c r="H342" t="s">
        <v>127</v>
      </c>
      <c r="I342" t="s">
        <v>734</v>
      </c>
      <c r="J342" t="s">
        <v>3150</v>
      </c>
      <c r="K342" t="s">
        <v>92</v>
      </c>
      <c r="L342" t="s">
        <v>80</v>
      </c>
      <c r="M342" t="s">
        <v>164</v>
      </c>
      <c r="N342" t="s">
        <v>130</v>
      </c>
      <c r="O342" s="4">
        <v>5</v>
      </c>
      <c r="P342" s="4">
        <v>9</v>
      </c>
      <c r="Q342" t="s">
        <v>69</v>
      </c>
      <c r="R342" s="2">
        <v>46194</v>
      </c>
      <c r="S342" s="4">
        <v>9</v>
      </c>
      <c r="T342" s="3">
        <v>104000000</v>
      </c>
      <c r="U342" t="s">
        <v>42</v>
      </c>
      <c r="V342" t="s">
        <v>59</v>
      </c>
      <c r="W342" t="s">
        <v>131</v>
      </c>
      <c r="Y342" t="s">
        <v>262</v>
      </c>
      <c r="Z342" t="s">
        <v>3179</v>
      </c>
      <c r="AA342" t="s">
        <v>118</v>
      </c>
      <c r="AB342" t="s">
        <v>97</v>
      </c>
      <c r="AC342" t="s">
        <v>118</v>
      </c>
    </row>
    <row r="343" spans="1:29">
      <c r="A343" t="s">
        <v>735</v>
      </c>
      <c r="B343" s="2">
        <v>46188</v>
      </c>
      <c r="C343" t="s">
        <v>30</v>
      </c>
      <c r="D343" t="s">
        <v>74</v>
      </c>
      <c r="E343" t="s">
        <v>50</v>
      </c>
      <c r="F343" t="s">
        <v>89</v>
      </c>
      <c r="G343" t="s">
        <v>234</v>
      </c>
      <c r="H343" t="s">
        <v>90</v>
      </c>
      <c r="I343" t="s">
        <v>91</v>
      </c>
      <c r="J343" t="s">
        <v>3012</v>
      </c>
      <c r="K343" t="s">
        <v>56</v>
      </c>
      <c r="L343" t="s">
        <v>80</v>
      </c>
      <c r="M343" t="s">
        <v>129</v>
      </c>
      <c r="N343" t="s">
        <v>94</v>
      </c>
      <c r="O343" s="4">
        <v>4</v>
      </c>
      <c r="P343" s="4">
        <v>12</v>
      </c>
      <c r="Q343" t="s">
        <v>41</v>
      </c>
      <c r="R343" s="2">
        <v>46181</v>
      </c>
      <c r="S343" s="4">
        <v>22</v>
      </c>
      <c r="T343" s="3">
        <v>373000000</v>
      </c>
      <c r="U343" t="s">
        <v>42</v>
      </c>
      <c r="V343" t="s">
        <v>59</v>
      </c>
      <c r="W343" t="s">
        <v>267</v>
      </c>
      <c r="X343" t="s">
        <v>117</v>
      </c>
      <c r="Y343" t="s">
        <v>96</v>
      </c>
      <c r="Z343" t="s">
        <v>3179</v>
      </c>
      <c r="AA343" t="s">
        <v>62</v>
      </c>
      <c r="AB343" t="s">
        <v>97</v>
      </c>
      <c r="AC343" t="s">
        <v>62</v>
      </c>
    </row>
    <row r="344" spans="1:29">
      <c r="A344" t="s">
        <v>736</v>
      </c>
      <c r="B344" s="2">
        <v>46198</v>
      </c>
      <c r="C344" t="s">
        <v>30</v>
      </c>
      <c r="D344" t="s">
        <v>49</v>
      </c>
      <c r="E344" t="s">
        <v>120</v>
      </c>
      <c r="F344" t="s">
        <v>246</v>
      </c>
      <c r="G344" t="s">
        <v>227</v>
      </c>
      <c r="H344" t="s">
        <v>136</v>
      </c>
      <c r="I344" t="s">
        <v>137</v>
      </c>
      <c r="J344" t="s">
        <v>3017</v>
      </c>
      <c r="K344" t="s">
        <v>105</v>
      </c>
      <c r="L344" t="s">
        <v>38</v>
      </c>
      <c r="M344" t="s">
        <v>93</v>
      </c>
      <c r="N344" t="s">
        <v>57</v>
      </c>
      <c r="O344" s="4">
        <v>3</v>
      </c>
      <c r="P344" s="4">
        <v>8</v>
      </c>
      <c r="Q344" t="s">
        <v>107</v>
      </c>
      <c r="R344" s="2">
        <v>46188</v>
      </c>
      <c r="S344" s="4">
        <v>15</v>
      </c>
      <c r="T344" s="3">
        <v>130000000</v>
      </c>
      <c r="U344" t="s">
        <v>260</v>
      </c>
      <c r="V344" t="s">
        <v>59</v>
      </c>
      <c r="W344" t="s">
        <v>60</v>
      </c>
      <c r="X344" t="s">
        <v>308</v>
      </c>
      <c r="Y344" t="s">
        <v>72</v>
      </c>
      <c r="Z344" t="s">
        <v>3177</v>
      </c>
      <c r="AA344" t="s">
        <v>97</v>
      </c>
      <c r="AB344" t="s">
        <v>63</v>
      </c>
      <c r="AC344" t="s">
        <v>97</v>
      </c>
    </row>
    <row r="345" spans="1:29">
      <c r="A345" t="s">
        <v>737</v>
      </c>
      <c r="B345" s="2">
        <v>46199</v>
      </c>
      <c r="C345" t="s">
        <v>30</v>
      </c>
      <c r="D345" t="s">
        <v>49</v>
      </c>
      <c r="E345" t="s">
        <v>111</v>
      </c>
      <c r="F345" t="s">
        <v>264</v>
      </c>
      <c r="G345" t="s">
        <v>265</v>
      </c>
      <c r="H345" t="s">
        <v>127</v>
      </c>
      <c r="I345" t="s">
        <v>128</v>
      </c>
      <c r="J345" t="s">
        <v>3016</v>
      </c>
      <c r="K345" t="s">
        <v>56</v>
      </c>
      <c r="L345" t="s">
        <v>68</v>
      </c>
      <c r="M345" t="s">
        <v>39</v>
      </c>
      <c r="N345" t="s">
        <v>94</v>
      </c>
      <c r="O345" s="4">
        <v>4</v>
      </c>
      <c r="P345" s="4">
        <v>12</v>
      </c>
      <c r="Q345" t="s">
        <v>142</v>
      </c>
      <c r="R345" s="2">
        <v>46191</v>
      </c>
      <c r="S345" s="4">
        <v>12</v>
      </c>
      <c r="T345" s="3">
        <v>352000000</v>
      </c>
      <c r="U345" t="s">
        <v>42</v>
      </c>
      <c r="V345" t="s">
        <v>143</v>
      </c>
      <c r="W345" t="s">
        <v>267</v>
      </c>
      <c r="Y345" t="s">
        <v>96</v>
      </c>
      <c r="Z345" t="s">
        <v>3179</v>
      </c>
      <c r="AA345" t="s">
        <v>118</v>
      </c>
      <c r="AB345" t="s">
        <v>97</v>
      </c>
      <c r="AC345" t="s">
        <v>118</v>
      </c>
    </row>
    <row r="346" spans="1:29">
      <c r="A346" t="s">
        <v>738</v>
      </c>
      <c r="B346" s="2">
        <v>46198</v>
      </c>
      <c r="C346" t="s">
        <v>30</v>
      </c>
      <c r="D346" t="s">
        <v>49</v>
      </c>
      <c r="E346" t="s">
        <v>152</v>
      </c>
      <c r="F346" t="s">
        <v>153</v>
      </c>
      <c r="G346" t="s">
        <v>328</v>
      </c>
      <c r="H346" t="s">
        <v>207</v>
      </c>
      <c r="I346" t="s">
        <v>222</v>
      </c>
      <c r="J346" t="s">
        <v>3029</v>
      </c>
      <c r="K346" t="s">
        <v>56</v>
      </c>
      <c r="L346" t="s">
        <v>68</v>
      </c>
      <c r="M346" t="s">
        <v>39</v>
      </c>
      <c r="N346" t="s">
        <v>40</v>
      </c>
      <c r="O346" s="4">
        <v>2</v>
      </c>
      <c r="P346" s="4">
        <v>14</v>
      </c>
      <c r="Q346" t="s">
        <v>83</v>
      </c>
      <c r="R346" s="2">
        <v>46192</v>
      </c>
      <c r="S346" s="4">
        <v>11</v>
      </c>
      <c r="T346" s="3">
        <v>405000000</v>
      </c>
      <c r="U346" t="s">
        <v>42</v>
      </c>
      <c r="V346" t="s">
        <v>59</v>
      </c>
      <c r="W346" t="s">
        <v>298</v>
      </c>
      <c r="Y346" t="s">
        <v>180</v>
      </c>
      <c r="Z346" t="s">
        <v>3180</v>
      </c>
      <c r="AA346" t="s">
        <v>159</v>
      </c>
      <c r="AB346" t="s">
        <v>193</v>
      </c>
      <c r="AC346" t="s">
        <v>159</v>
      </c>
    </row>
    <row r="347" spans="1:29">
      <c r="A347" t="s">
        <v>739</v>
      </c>
      <c r="B347" s="2">
        <v>46202</v>
      </c>
      <c r="C347" t="s">
        <v>30</v>
      </c>
      <c r="D347" t="s">
        <v>31</v>
      </c>
      <c r="E347" t="s">
        <v>50</v>
      </c>
      <c r="F347" t="s">
        <v>89</v>
      </c>
      <c r="G347" t="s">
        <v>343</v>
      </c>
      <c r="H347" t="s">
        <v>90</v>
      </c>
      <c r="I347" t="s">
        <v>740</v>
      </c>
      <c r="J347" t="s">
        <v>3151</v>
      </c>
      <c r="K347" t="s">
        <v>56</v>
      </c>
      <c r="L347" t="s">
        <v>150</v>
      </c>
      <c r="M347" t="s">
        <v>164</v>
      </c>
      <c r="N347" t="s">
        <v>94</v>
      </c>
      <c r="O347" s="4">
        <v>4</v>
      </c>
      <c r="P347" s="4">
        <v>7</v>
      </c>
      <c r="Q347" t="s">
        <v>58</v>
      </c>
      <c r="R347" s="2">
        <v>46198</v>
      </c>
      <c r="S347" s="4">
        <v>5</v>
      </c>
      <c r="T347" s="3">
        <v>476000000</v>
      </c>
      <c r="U347" t="s">
        <v>42</v>
      </c>
      <c r="V347" t="s">
        <v>59</v>
      </c>
      <c r="W347" t="s">
        <v>188</v>
      </c>
      <c r="Y347" t="s">
        <v>268</v>
      </c>
      <c r="Z347" t="s">
        <v>3179</v>
      </c>
      <c r="AA347" t="s">
        <v>62</v>
      </c>
      <c r="AB347" t="s">
        <v>97</v>
      </c>
      <c r="AC347" t="s">
        <v>62</v>
      </c>
    </row>
    <row r="348" spans="1:29">
      <c r="A348" t="s">
        <v>741</v>
      </c>
      <c r="B348" s="2">
        <v>46179</v>
      </c>
      <c r="C348" t="s">
        <v>30</v>
      </c>
      <c r="D348" t="s">
        <v>134</v>
      </c>
      <c r="E348" t="s">
        <v>120</v>
      </c>
      <c r="F348" t="s">
        <v>246</v>
      </c>
      <c r="G348" t="s">
        <v>227</v>
      </c>
      <c r="H348" t="s">
        <v>300</v>
      </c>
      <c r="I348" t="s">
        <v>421</v>
      </c>
      <c r="J348" t="s">
        <v>3080</v>
      </c>
      <c r="K348" t="s">
        <v>56</v>
      </c>
      <c r="L348" t="s">
        <v>80</v>
      </c>
      <c r="M348" t="s">
        <v>81</v>
      </c>
      <c r="N348" t="s">
        <v>130</v>
      </c>
      <c r="O348" s="4">
        <v>5</v>
      </c>
      <c r="P348" s="4">
        <v>8</v>
      </c>
      <c r="Q348" t="s">
        <v>138</v>
      </c>
      <c r="R348" s="2">
        <v>46178</v>
      </c>
      <c r="S348" s="4">
        <v>25</v>
      </c>
      <c r="T348" s="3">
        <v>370000000</v>
      </c>
      <c r="U348" t="s">
        <v>42</v>
      </c>
      <c r="V348" t="s">
        <v>70</v>
      </c>
      <c r="W348" t="s">
        <v>355</v>
      </c>
      <c r="Y348" t="s">
        <v>254</v>
      </c>
      <c r="Z348" t="s">
        <v>3179</v>
      </c>
      <c r="AA348" t="s">
        <v>97</v>
      </c>
      <c r="AB348" t="s">
        <v>97</v>
      </c>
      <c r="AC348" t="s">
        <v>97</v>
      </c>
    </row>
    <row r="349" spans="1:29">
      <c r="A349" t="s">
        <v>742</v>
      </c>
      <c r="B349" s="2">
        <v>46193</v>
      </c>
      <c r="C349" t="s">
        <v>30</v>
      </c>
      <c r="D349" t="s">
        <v>74</v>
      </c>
      <c r="E349" t="s">
        <v>75</v>
      </c>
      <c r="F349" t="s">
        <v>76</v>
      </c>
      <c r="G349" t="s">
        <v>77</v>
      </c>
      <c r="H349" t="s">
        <v>388</v>
      </c>
      <c r="I349" t="s">
        <v>630</v>
      </c>
      <c r="J349" t="s">
        <v>3135</v>
      </c>
      <c r="K349" t="s">
        <v>92</v>
      </c>
      <c r="L349" t="s">
        <v>55</v>
      </c>
      <c r="M349" t="s">
        <v>93</v>
      </c>
      <c r="N349" t="s">
        <v>57</v>
      </c>
      <c r="O349" s="4">
        <v>3</v>
      </c>
      <c r="P349" s="4">
        <v>9</v>
      </c>
      <c r="Q349" t="s">
        <v>138</v>
      </c>
      <c r="R349" s="2">
        <v>46190</v>
      </c>
      <c r="S349" s="4">
        <v>13</v>
      </c>
      <c r="T349" s="3">
        <v>180000000</v>
      </c>
      <c r="U349" t="s">
        <v>42</v>
      </c>
      <c r="V349" t="s">
        <v>43</v>
      </c>
      <c r="W349" t="s">
        <v>71</v>
      </c>
      <c r="Y349" t="s">
        <v>61</v>
      </c>
      <c r="Z349" t="s">
        <v>3177</v>
      </c>
      <c r="AA349" t="s">
        <v>86</v>
      </c>
      <c r="AB349" t="s">
        <v>63</v>
      </c>
      <c r="AC349" t="s">
        <v>86</v>
      </c>
    </row>
    <row r="350" spans="1:29">
      <c r="A350" t="s">
        <v>743</v>
      </c>
      <c r="B350" s="2">
        <v>46179</v>
      </c>
      <c r="C350" t="s">
        <v>30</v>
      </c>
      <c r="D350" t="s">
        <v>134</v>
      </c>
      <c r="E350" t="s">
        <v>172</v>
      </c>
      <c r="F350" t="s">
        <v>195</v>
      </c>
      <c r="G350" t="s">
        <v>174</v>
      </c>
      <c r="H350" t="s">
        <v>241</v>
      </c>
      <c r="I350" t="s">
        <v>559</v>
      </c>
      <c r="J350" t="s">
        <v>3119</v>
      </c>
      <c r="K350" t="s">
        <v>92</v>
      </c>
      <c r="L350" t="s">
        <v>68</v>
      </c>
      <c r="M350" t="s">
        <v>106</v>
      </c>
      <c r="N350" t="s">
        <v>57</v>
      </c>
      <c r="O350" s="4">
        <v>3</v>
      </c>
      <c r="P350" s="4">
        <v>4</v>
      </c>
      <c r="Q350" t="s">
        <v>107</v>
      </c>
      <c r="R350" s="2">
        <v>46170</v>
      </c>
      <c r="S350" s="4">
        <v>33</v>
      </c>
      <c r="T350" s="3">
        <v>54000000</v>
      </c>
      <c r="U350" t="s">
        <v>42</v>
      </c>
      <c r="V350" t="s">
        <v>59</v>
      </c>
      <c r="W350" t="s">
        <v>157</v>
      </c>
      <c r="Y350" t="s">
        <v>61</v>
      </c>
      <c r="Z350" t="s">
        <v>3177</v>
      </c>
      <c r="AA350" t="s">
        <v>181</v>
      </c>
      <c r="AB350" t="s">
        <v>63</v>
      </c>
      <c r="AC350" t="s">
        <v>181</v>
      </c>
    </row>
    <row r="351" spans="1:29">
      <c r="A351" t="s">
        <v>744</v>
      </c>
      <c r="B351" s="2">
        <v>46188</v>
      </c>
      <c r="C351" t="s">
        <v>30</v>
      </c>
      <c r="D351" t="s">
        <v>74</v>
      </c>
      <c r="E351" t="s">
        <v>120</v>
      </c>
      <c r="F351" t="s">
        <v>246</v>
      </c>
      <c r="G351" t="s">
        <v>224</v>
      </c>
      <c r="H351" t="s">
        <v>123</v>
      </c>
      <c r="I351" t="s">
        <v>459</v>
      </c>
      <c r="J351" t="s">
        <v>3093</v>
      </c>
      <c r="K351" t="s">
        <v>56</v>
      </c>
      <c r="L351" t="s">
        <v>38</v>
      </c>
      <c r="M351" t="s">
        <v>56</v>
      </c>
      <c r="N351" t="s">
        <v>130</v>
      </c>
      <c r="O351" s="4">
        <v>5</v>
      </c>
      <c r="P351" s="4">
        <v>10</v>
      </c>
      <c r="Q351" t="s">
        <v>41</v>
      </c>
      <c r="R351" s="2">
        <v>46186</v>
      </c>
      <c r="S351" s="4">
        <v>17</v>
      </c>
      <c r="T351" s="3">
        <v>114000000</v>
      </c>
      <c r="U351" t="s">
        <v>42</v>
      </c>
      <c r="V351" t="s">
        <v>143</v>
      </c>
      <c r="W351" t="s">
        <v>355</v>
      </c>
      <c r="Y351" t="s">
        <v>254</v>
      </c>
      <c r="Z351" t="s">
        <v>3179</v>
      </c>
      <c r="AA351" t="s">
        <v>97</v>
      </c>
      <c r="AB351" t="s">
        <v>97</v>
      </c>
      <c r="AC351" t="s">
        <v>97</v>
      </c>
    </row>
    <row r="352" spans="1:29">
      <c r="A352" t="s">
        <v>745</v>
      </c>
      <c r="B352" s="2">
        <v>46181</v>
      </c>
      <c r="C352" t="s">
        <v>30</v>
      </c>
      <c r="D352" t="s">
        <v>99</v>
      </c>
      <c r="E352" t="s">
        <v>32</v>
      </c>
      <c r="F352" t="s">
        <v>273</v>
      </c>
      <c r="G352" t="s">
        <v>218</v>
      </c>
      <c r="H352" t="s">
        <v>35</v>
      </c>
      <c r="I352" t="s">
        <v>36</v>
      </c>
      <c r="J352" t="s">
        <v>3008</v>
      </c>
      <c r="K352" t="s">
        <v>105</v>
      </c>
      <c r="L352" t="s">
        <v>187</v>
      </c>
      <c r="M352" t="s">
        <v>164</v>
      </c>
      <c r="N352" t="s">
        <v>82</v>
      </c>
      <c r="O352" s="4">
        <v>1</v>
      </c>
      <c r="P352" s="4">
        <v>2</v>
      </c>
      <c r="Q352" t="s">
        <v>58</v>
      </c>
      <c r="R352" s="2">
        <v>46174</v>
      </c>
      <c r="S352" s="4">
        <v>29</v>
      </c>
      <c r="T352" s="3">
        <v>200000000</v>
      </c>
      <c r="U352" t="s">
        <v>42</v>
      </c>
      <c r="V352" t="s">
        <v>43</v>
      </c>
      <c r="W352" t="s">
        <v>84</v>
      </c>
      <c r="Y352" t="s">
        <v>305</v>
      </c>
      <c r="Z352" t="s">
        <v>3176</v>
      </c>
      <c r="AA352" t="s">
        <v>46</v>
      </c>
      <c r="AB352" t="s">
        <v>47</v>
      </c>
      <c r="AC352" t="s">
        <v>46</v>
      </c>
    </row>
    <row r="353" spans="1:29">
      <c r="A353" t="s">
        <v>746</v>
      </c>
      <c r="B353" s="2">
        <v>46200</v>
      </c>
      <c r="C353" t="s">
        <v>30</v>
      </c>
      <c r="D353" t="s">
        <v>49</v>
      </c>
      <c r="E353" t="s">
        <v>32</v>
      </c>
      <c r="F353" t="s">
        <v>256</v>
      </c>
      <c r="G353" t="s">
        <v>34</v>
      </c>
      <c r="H353" t="s">
        <v>303</v>
      </c>
      <c r="I353" t="s">
        <v>304</v>
      </c>
      <c r="J353" t="s">
        <v>3046</v>
      </c>
      <c r="K353" t="s">
        <v>105</v>
      </c>
      <c r="L353" t="s">
        <v>80</v>
      </c>
      <c r="M353" t="s">
        <v>164</v>
      </c>
      <c r="N353" t="s">
        <v>82</v>
      </c>
      <c r="O353" s="4">
        <v>1</v>
      </c>
      <c r="P353" s="4">
        <v>5</v>
      </c>
      <c r="Q353" t="s">
        <v>83</v>
      </c>
      <c r="R353" s="2">
        <v>46190</v>
      </c>
      <c r="S353" s="4">
        <v>13</v>
      </c>
      <c r="T353" s="3">
        <v>105000000</v>
      </c>
      <c r="U353" t="s">
        <v>42</v>
      </c>
      <c r="V353" t="s">
        <v>43</v>
      </c>
      <c r="W353" t="s">
        <v>404</v>
      </c>
      <c r="Y353" t="s">
        <v>330</v>
      </c>
      <c r="Z353" t="s">
        <v>3178</v>
      </c>
      <c r="AA353" t="s">
        <v>46</v>
      </c>
      <c r="AB353" t="s">
        <v>87</v>
      </c>
      <c r="AC353" t="s">
        <v>46</v>
      </c>
    </row>
    <row r="354" spans="1:29">
      <c r="A354" t="s">
        <v>747</v>
      </c>
      <c r="B354" s="2">
        <v>46199</v>
      </c>
      <c r="C354" t="s">
        <v>30</v>
      </c>
      <c r="D354" t="s">
        <v>49</v>
      </c>
      <c r="E354" t="s">
        <v>120</v>
      </c>
      <c r="F354" t="s">
        <v>246</v>
      </c>
      <c r="G354" t="s">
        <v>122</v>
      </c>
      <c r="H354" t="s">
        <v>136</v>
      </c>
      <c r="I354" t="s">
        <v>137</v>
      </c>
      <c r="J354" t="s">
        <v>3017</v>
      </c>
      <c r="K354" t="s">
        <v>92</v>
      </c>
      <c r="L354" t="s">
        <v>80</v>
      </c>
      <c r="M354" t="s">
        <v>129</v>
      </c>
      <c r="N354" t="s">
        <v>40</v>
      </c>
      <c r="O354" s="4">
        <v>2</v>
      </c>
      <c r="P354" s="4">
        <v>6</v>
      </c>
      <c r="Q354" t="s">
        <v>83</v>
      </c>
      <c r="R354" s="2">
        <v>46189</v>
      </c>
      <c r="S354" s="4">
        <v>14</v>
      </c>
      <c r="T354" s="3">
        <v>53000000</v>
      </c>
      <c r="U354" t="s">
        <v>42</v>
      </c>
      <c r="V354" t="s">
        <v>43</v>
      </c>
      <c r="W354" t="s">
        <v>298</v>
      </c>
      <c r="Y354" t="s">
        <v>281</v>
      </c>
      <c r="Z354" t="s">
        <v>3178</v>
      </c>
      <c r="AA354" t="s">
        <v>97</v>
      </c>
      <c r="AB354" t="s">
        <v>87</v>
      </c>
      <c r="AC354" t="s">
        <v>97</v>
      </c>
    </row>
    <row r="355" spans="1:29">
      <c r="A355" t="s">
        <v>748</v>
      </c>
      <c r="B355" s="2">
        <v>46181</v>
      </c>
      <c r="C355" t="s">
        <v>30</v>
      </c>
      <c r="D355" t="s">
        <v>99</v>
      </c>
      <c r="E355" t="s">
        <v>32</v>
      </c>
      <c r="F355" t="s">
        <v>33</v>
      </c>
      <c r="G355" t="s">
        <v>463</v>
      </c>
      <c r="H355" t="s">
        <v>303</v>
      </c>
      <c r="I355" t="s">
        <v>464</v>
      </c>
      <c r="J355" t="s">
        <v>3095</v>
      </c>
      <c r="K355" t="s">
        <v>37</v>
      </c>
      <c r="L355" t="s">
        <v>169</v>
      </c>
      <c r="M355" t="s">
        <v>81</v>
      </c>
      <c r="N355" t="s">
        <v>82</v>
      </c>
      <c r="O355" s="4">
        <v>1</v>
      </c>
      <c r="P355" s="4">
        <v>3</v>
      </c>
      <c r="Q355" t="s">
        <v>41</v>
      </c>
      <c r="R355" s="2">
        <v>46180</v>
      </c>
      <c r="S355" s="4">
        <v>23</v>
      </c>
      <c r="T355" s="3">
        <v>159000000</v>
      </c>
      <c r="U355" t="s">
        <v>42</v>
      </c>
      <c r="V355" t="s">
        <v>59</v>
      </c>
      <c r="W355" t="s">
        <v>290</v>
      </c>
      <c r="Y355" t="s">
        <v>291</v>
      </c>
      <c r="Z355" t="s">
        <v>3176</v>
      </c>
      <c r="AA355" t="s">
        <v>46</v>
      </c>
      <c r="AB355" t="s">
        <v>47</v>
      </c>
      <c r="AC355" t="s">
        <v>46</v>
      </c>
    </row>
    <row r="356" spans="1:29">
      <c r="A356" t="s">
        <v>749</v>
      </c>
      <c r="B356" s="2">
        <v>46202</v>
      </c>
      <c r="C356" t="s">
        <v>30</v>
      </c>
      <c r="D356" t="s">
        <v>31</v>
      </c>
      <c r="E356" t="s">
        <v>75</v>
      </c>
      <c r="F356" t="s">
        <v>161</v>
      </c>
      <c r="G356" t="s">
        <v>77</v>
      </c>
      <c r="H356" t="s">
        <v>185</v>
      </c>
      <c r="I356" t="s">
        <v>186</v>
      </c>
      <c r="J356" t="s">
        <v>3024</v>
      </c>
      <c r="K356" t="s">
        <v>105</v>
      </c>
      <c r="L356" t="s">
        <v>55</v>
      </c>
      <c r="M356" t="s">
        <v>39</v>
      </c>
      <c r="N356" t="s">
        <v>57</v>
      </c>
      <c r="O356" s="4">
        <v>3</v>
      </c>
      <c r="P356" s="4">
        <v>11</v>
      </c>
      <c r="Q356" t="s">
        <v>138</v>
      </c>
      <c r="R356" s="2">
        <v>46197</v>
      </c>
      <c r="S356" s="4">
        <v>6</v>
      </c>
      <c r="T356" s="3">
        <v>62000000</v>
      </c>
      <c r="U356" t="s">
        <v>42</v>
      </c>
      <c r="V356" t="s">
        <v>59</v>
      </c>
      <c r="W356" t="s">
        <v>157</v>
      </c>
      <c r="Y356" t="s">
        <v>72</v>
      </c>
      <c r="Z356" t="s">
        <v>3177</v>
      </c>
      <c r="AA356" t="s">
        <v>86</v>
      </c>
      <c r="AB356" t="s">
        <v>63</v>
      </c>
      <c r="AC356" t="s">
        <v>86</v>
      </c>
    </row>
    <row r="357" spans="1:29">
      <c r="A357" t="s">
        <v>750</v>
      </c>
      <c r="B357" s="2">
        <v>46189</v>
      </c>
      <c r="C357" t="s">
        <v>30</v>
      </c>
      <c r="D357" t="s">
        <v>74</v>
      </c>
      <c r="E357" t="s">
        <v>32</v>
      </c>
      <c r="F357" t="s">
        <v>256</v>
      </c>
      <c r="G357" t="s">
        <v>34</v>
      </c>
      <c r="H357" t="s">
        <v>35</v>
      </c>
      <c r="I357" t="s">
        <v>36</v>
      </c>
      <c r="J357" t="s">
        <v>3008</v>
      </c>
      <c r="K357" t="s">
        <v>37</v>
      </c>
      <c r="L357" t="s">
        <v>55</v>
      </c>
      <c r="M357" t="s">
        <v>164</v>
      </c>
      <c r="N357" t="s">
        <v>82</v>
      </c>
      <c r="O357" s="4">
        <v>1</v>
      </c>
      <c r="P357" s="4">
        <v>2</v>
      </c>
      <c r="Q357" t="s">
        <v>138</v>
      </c>
      <c r="R357" s="2">
        <v>46185</v>
      </c>
      <c r="S357" s="4">
        <v>18</v>
      </c>
      <c r="T357" s="3">
        <v>115000000</v>
      </c>
      <c r="U357" t="s">
        <v>42</v>
      </c>
      <c r="V357" t="s">
        <v>43</v>
      </c>
      <c r="W357" t="s">
        <v>404</v>
      </c>
      <c r="Y357" t="s">
        <v>305</v>
      </c>
      <c r="Z357" t="s">
        <v>3176</v>
      </c>
      <c r="AA357" t="s">
        <v>46</v>
      </c>
      <c r="AB357" t="s">
        <v>47</v>
      </c>
      <c r="AC357" t="s">
        <v>46</v>
      </c>
    </row>
    <row r="358" spans="1:29">
      <c r="A358" t="s">
        <v>751</v>
      </c>
      <c r="B358" s="2">
        <v>46181</v>
      </c>
      <c r="C358" t="s">
        <v>30</v>
      </c>
      <c r="D358" t="s">
        <v>99</v>
      </c>
      <c r="E358" t="s">
        <v>75</v>
      </c>
      <c r="F358" t="s">
        <v>76</v>
      </c>
      <c r="G358" t="s">
        <v>77</v>
      </c>
      <c r="H358" t="s">
        <v>388</v>
      </c>
      <c r="I358" t="s">
        <v>576</v>
      </c>
      <c r="J358" t="s">
        <v>3123</v>
      </c>
      <c r="K358" t="s">
        <v>56</v>
      </c>
      <c r="L358" t="s">
        <v>68</v>
      </c>
      <c r="M358" t="s">
        <v>39</v>
      </c>
      <c r="N358" t="s">
        <v>130</v>
      </c>
      <c r="O358" s="4">
        <v>5</v>
      </c>
      <c r="P358" s="4">
        <v>6</v>
      </c>
      <c r="Q358" t="s">
        <v>41</v>
      </c>
      <c r="R358" s="2">
        <v>46178</v>
      </c>
      <c r="S358" s="4">
        <v>25</v>
      </c>
      <c r="T358" s="3">
        <v>481000000</v>
      </c>
      <c r="U358" t="s">
        <v>260</v>
      </c>
      <c r="V358" t="s">
        <v>70</v>
      </c>
      <c r="W358" t="s">
        <v>252</v>
      </c>
      <c r="X358" t="s">
        <v>381</v>
      </c>
      <c r="Y358" t="s">
        <v>334</v>
      </c>
      <c r="Z358" t="s">
        <v>3179</v>
      </c>
      <c r="AA358" t="s">
        <v>86</v>
      </c>
      <c r="AB358" t="s">
        <v>97</v>
      </c>
      <c r="AC358" t="s">
        <v>86</v>
      </c>
    </row>
    <row r="359" spans="1:29">
      <c r="A359" t="s">
        <v>752</v>
      </c>
      <c r="B359" s="2">
        <v>46199</v>
      </c>
      <c r="C359" t="s">
        <v>30</v>
      </c>
      <c r="D359" t="s">
        <v>49</v>
      </c>
      <c r="E359" t="s">
        <v>75</v>
      </c>
      <c r="F359" t="s">
        <v>76</v>
      </c>
      <c r="G359" t="s">
        <v>184</v>
      </c>
      <c r="H359" t="s">
        <v>78</v>
      </c>
      <c r="I359" t="s">
        <v>163</v>
      </c>
      <c r="J359" t="s">
        <v>3021</v>
      </c>
      <c r="K359" t="s">
        <v>105</v>
      </c>
      <c r="L359" t="s">
        <v>55</v>
      </c>
      <c r="M359" t="s">
        <v>164</v>
      </c>
      <c r="N359" t="s">
        <v>40</v>
      </c>
      <c r="O359" s="4">
        <v>2</v>
      </c>
      <c r="P359" s="4">
        <v>7</v>
      </c>
      <c r="Q359" t="s">
        <v>142</v>
      </c>
      <c r="R359" s="2">
        <v>46196</v>
      </c>
      <c r="S359" s="4">
        <v>7</v>
      </c>
      <c r="T359" s="3">
        <v>286000000</v>
      </c>
      <c r="U359" t="s">
        <v>42</v>
      </c>
      <c r="V359" t="s">
        <v>59</v>
      </c>
      <c r="W359" t="s">
        <v>298</v>
      </c>
      <c r="Y359" t="s">
        <v>309</v>
      </c>
      <c r="Z359" t="s">
        <v>3178</v>
      </c>
      <c r="AA359" t="s">
        <v>86</v>
      </c>
      <c r="AB359" t="s">
        <v>87</v>
      </c>
      <c r="AC359" t="s">
        <v>86</v>
      </c>
    </row>
    <row r="360" spans="1:29">
      <c r="A360" t="s">
        <v>753</v>
      </c>
      <c r="B360" s="2">
        <v>46193</v>
      </c>
      <c r="C360" t="s">
        <v>30</v>
      </c>
      <c r="D360" t="s">
        <v>74</v>
      </c>
      <c r="E360" t="s">
        <v>120</v>
      </c>
      <c r="F360" t="s">
        <v>167</v>
      </c>
      <c r="G360" t="s">
        <v>420</v>
      </c>
      <c r="H360" t="s">
        <v>123</v>
      </c>
      <c r="I360" t="s">
        <v>336</v>
      </c>
      <c r="J360" t="s">
        <v>3055</v>
      </c>
      <c r="K360" t="s">
        <v>56</v>
      </c>
      <c r="L360" t="s">
        <v>150</v>
      </c>
      <c r="M360" t="s">
        <v>164</v>
      </c>
      <c r="N360" t="s">
        <v>94</v>
      </c>
      <c r="O360" s="4">
        <v>4</v>
      </c>
      <c r="P360" s="4">
        <v>7</v>
      </c>
      <c r="Q360" t="s">
        <v>142</v>
      </c>
      <c r="R360" s="2">
        <v>46187</v>
      </c>
      <c r="S360" s="4">
        <v>16</v>
      </c>
      <c r="T360" s="3">
        <v>364000000</v>
      </c>
      <c r="U360" t="s">
        <v>42</v>
      </c>
      <c r="V360" t="s">
        <v>143</v>
      </c>
      <c r="W360" t="s">
        <v>170</v>
      </c>
      <c r="Y360" t="s">
        <v>108</v>
      </c>
      <c r="Z360" t="s">
        <v>3179</v>
      </c>
      <c r="AA360" t="s">
        <v>97</v>
      </c>
      <c r="AB360" t="s">
        <v>97</v>
      </c>
      <c r="AC360" t="s">
        <v>97</v>
      </c>
    </row>
    <row r="361" spans="1:29">
      <c r="A361" t="s">
        <v>754</v>
      </c>
      <c r="B361" s="2">
        <v>46203</v>
      </c>
      <c r="C361" t="s">
        <v>30</v>
      </c>
      <c r="D361" t="s">
        <v>31</v>
      </c>
      <c r="E361" t="s">
        <v>50</v>
      </c>
      <c r="F361" t="s">
        <v>351</v>
      </c>
      <c r="G361" t="s">
        <v>52</v>
      </c>
      <c r="H361" t="s">
        <v>66</v>
      </c>
      <c r="I361" t="s">
        <v>280</v>
      </c>
      <c r="J361" t="s">
        <v>3040</v>
      </c>
      <c r="K361" t="s">
        <v>37</v>
      </c>
      <c r="L361" t="s">
        <v>187</v>
      </c>
      <c r="M361" t="s">
        <v>106</v>
      </c>
      <c r="N361" t="s">
        <v>130</v>
      </c>
      <c r="O361" s="4">
        <v>5</v>
      </c>
      <c r="P361" s="4">
        <v>14</v>
      </c>
      <c r="Q361" t="s">
        <v>41</v>
      </c>
      <c r="R361" s="2">
        <v>46200</v>
      </c>
      <c r="S361" s="4">
        <v>3</v>
      </c>
      <c r="T361" s="3">
        <v>282000000</v>
      </c>
      <c r="U361" t="s">
        <v>42</v>
      </c>
      <c r="V361" t="s">
        <v>70</v>
      </c>
      <c r="W361" t="s">
        <v>252</v>
      </c>
      <c r="Y361" t="s">
        <v>132</v>
      </c>
      <c r="Z361" t="s">
        <v>3179</v>
      </c>
      <c r="AA361" t="s">
        <v>62</v>
      </c>
      <c r="AB361" t="s">
        <v>97</v>
      </c>
      <c r="AC361" t="s">
        <v>62</v>
      </c>
    </row>
    <row r="362" spans="1:29">
      <c r="A362" t="s">
        <v>755</v>
      </c>
      <c r="B362" s="2">
        <v>46196</v>
      </c>
      <c r="C362" t="s">
        <v>30</v>
      </c>
      <c r="D362" t="s">
        <v>49</v>
      </c>
      <c r="E362" t="s">
        <v>172</v>
      </c>
      <c r="F362" t="s">
        <v>195</v>
      </c>
      <c r="G362" t="s">
        <v>289</v>
      </c>
      <c r="H362" t="s">
        <v>317</v>
      </c>
      <c r="I362" t="s">
        <v>756</v>
      </c>
      <c r="J362" t="s">
        <v>3152</v>
      </c>
      <c r="K362" t="s">
        <v>56</v>
      </c>
      <c r="L362" t="s">
        <v>150</v>
      </c>
      <c r="M362" t="s">
        <v>81</v>
      </c>
      <c r="N362" t="s">
        <v>57</v>
      </c>
      <c r="O362" s="4">
        <v>3</v>
      </c>
      <c r="P362" s="4">
        <v>3</v>
      </c>
      <c r="Q362" t="s">
        <v>138</v>
      </c>
      <c r="R362" s="2">
        <v>46191</v>
      </c>
      <c r="S362" s="4">
        <v>12</v>
      </c>
      <c r="T362" s="3">
        <v>323000000</v>
      </c>
      <c r="U362" t="s">
        <v>42</v>
      </c>
      <c r="V362" t="s">
        <v>59</v>
      </c>
      <c r="W362" t="s">
        <v>157</v>
      </c>
      <c r="Y362" t="s">
        <v>158</v>
      </c>
      <c r="Z362" t="s">
        <v>3177</v>
      </c>
      <c r="AA362" t="s">
        <v>181</v>
      </c>
      <c r="AB362" t="s">
        <v>63</v>
      </c>
      <c r="AC362" t="s">
        <v>181</v>
      </c>
    </row>
    <row r="363" spans="1:29">
      <c r="A363" t="s">
        <v>757</v>
      </c>
      <c r="B363" s="2">
        <v>46194</v>
      </c>
      <c r="C363" t="s">
        <v>30</v>
      </c>
      <c r="D363" t="s">
        <v>74</v>
      </c>
      <c r="E363" t="s">
        <v>172</v>
      </c>
      <c r="F363" t="s">
        <v>195</v>
      </c>
      <c r="G363" t="s">
        <v>476</v>
      </c>
      <c r="H363" t="s">
        <v>241</v>
      </c>
      <c r="I363" t="s">
        <v>379</v>
      </c>
      <c r="J363" t="s">
        <v>3069</v>
      </c>
      <c r="K363" t="s">
        <v>92</v>
      </c>
      <c r="L363" t="s">
        <v>187</v>
      </c>
      <c r="M363" t="s">
        <v>81</v>
      </c>
      <c r="N363" t="s">
        <v>82</v>
      </c>
      <c r="O363" s="4">
        <v>1</v>
      </c>
      <c r="P363" s="4">
        <v>9</v>
      </c>
      <c r="Q363" t="s">
        <v>58</v>
      </c>
      <c r="R363" s="2">
        <v>46188</v>
      </c>
      <c r="S363" s="4">
        <v>15</v>
      </c>
      <c r="T363" s="3">
        <v>62000000</v>
      </c>
      <c r="U363" t="s">
        <v>42</v>
      </c>
      <c r="V363" t="s">
        <v>43</v>
      </c>
      <c r="W363" t="s">
        <v>359</v>
      </c>
      <c r="Y363" t="s">
        <v>291</v>
      </c>
      <c r="Z363" t="s">
        <v>3178</v>
      </c>
      <c r="AA363" t="s">
        <v>181</v>
      </c>
      <c r="AB363" t="s">
        <v>87</v>
      </c>
      <c r="AC363" t="s">
        <v>181</v>
      </c>
    </row>
    <row r="364" spans="1:29">
      <c r="A364" t="s">
        <v>758</v>
      </c>
      <c r="B364" s="2">
        <v>46180</v>
      </c>
      <c r="C364" t="s">
        <v>30</v>
      </c>
      <c r="D364" t="s">
        <v>134</v>
      </c>
      <c r="E364" t="s">
        <v>100</v>
      </c>
      <c r="F364" t="s">
        <v>146</v>
      </c>
      <c r="G364" t="s">
        <v>102</v>
      </c>
      <c r="H364" t="s">
        <v>201</v>
      </c>
      <c r="I364" t="s">
        <v>608</v>
      </c>
      <c r="J364" t="s">
        <v>3132</v>
      </c>
      <c r="K364" t="s">
        <v>37</v>
      </c>
      <c r="L364" t="s">
        <v>187</v>
      </c>
      <c r="M364" t="s">
        <v>129</v>
      </c>
      <c r="N364" t="s">
        <v>196</v>
      </c>
      <c r="O364" s="4">
        <v>7</v>
      </c>
      <c r="P364" s="4">
        <v>15</v>
      </c>
      <c r="Q364" t="s">
        <v>138</v>
      </c>
      <c r="R364" s="2">
        <v>46174</v>
      </c>
      <c r="S364" s="4">
        <v>29</v>
      </c>
      <c r="T364" s="3">
        <v>221000000</v>
      </c>
      <c r="U364" t="s">
        <v>196</v>
      </c>
      <c r="V364" t="s">
        <v>70</v>
      </c>
      <c r="W364" t="s">
        <v>675</v>
      </c>
      <c r="Y364" t="s">
        <v>244</v>
      </c>
      <c r="Z364" t="s">
        <v>3181</v>
      </c>
      <c r="AA364" t="s">
        <v>109</v>
      </c>
      <c r="AB364" t="s">
        <v>199</v>
      </c>
      <c r="AC364" t="s">
        <v>109</v>
      </c>
    </row>
    <row r="365" spans="1:29">
      <c r="A365" t="s">
        <v>759</v>
      </c>
      <c r="B365" s="2">
        <v>46179</v>
      </c>
      <c r="C365" t="s">
        <v>30</v>
      </c>
      <c r="D365" t="s">
        <v>134</v>
      </c>
      <c r="E365" t="s">
        <v>75</v>
      </c>
      <c r="F365" t="s">
        <v>183</v>
      </c>
      <c r="G365" t="s">
        <v>77</v>
      </c>
      <c r="H365" t="s">
        <v>78</v>
      </c>
      <c r="I365" t="s">
        <v>163</v>
      </c>
      <c r="J365" t="s">
        <v>3021</v>
      </c>
      <c r="K365" t="s">
        <v>37</v>
      </c>
      <c r="L365" t="s">
        <v>187</v>
      </c>
      <c r="M365" t="s">
        <v>164</v>
      </c>
      <c r="N365" t="s">
        <v>94</v>
      </c>
      <c r="O365" s="4">
        <v>4</v>
      </c>
      <c r="P365" s="4">
        <v>6</v>
      </c>
      <c r="Q365" t="s">
        <v>41</v>
      </c>
      <c r="R365" s="2">
        <v>46171</v>
      </c>
      <c r="S365" s="4">
        <v>32</v>
      </c>
      <c r="T365" s="3">
        <v>126000000</v>
      </c>
      <c r="U365" t="s">
        <v>42</v>
      </c>
      <c r="V365" t="s">
        <v>59</v>
      </c>
      <c r="W365" t="s">
        <v>267</v>
      </c>
      <c r="X365" t="s">
        <v>117</v>
      </c>
      <c r="Y365" t="s">
        <v>96</v>
      </c>
      <c r="Z365" t="s">
        <v>3179</v>
      </c>
      <c r="AA365" t="s">
        <v>86</v>
      </c>
      <c r="AB365" t="s">
        <v>97</v>
      </c>
      <c r="AC365" t="s">
        <v>86</v>
      </c>
    </row>
    <row r="366" spans="1:29">
      <c r="A366" t="s">
        <v>760</v>
      </c>
      <c r="B366" s="2">
        <v>46198</v>
      </c>
      <c r="C366" t="s">
        <v>30</v>
      </c>
      <c r="D366" t="s">
        <v>49</v>
      </c>
      <c r="E366" t="s">
        <v>120</v>
      </c>
      <c r="F366" t="s">
        <v>246</v>
      </c>
      <c r="G366" t="s">
        <v>224</v>
      </c>
      <c r="H366" t="s">
        <v>136</v>
      </c>
      <c r="I366" t="s">
        <v>137</v>
      </c>
      <c r="J366" t="s">
        <v>3017</v>
      </c>
      <c r="K366" t="s">
        <v>56</v>
      </c>
      <c r="L366" t="s">
        <v>55</v>
      </c>
      <c r="M366" t="s">
        <v>106</v>
      </c>
      <c r="N366" t="s">
        <v>40</v>
      </c>
      <c r="O366" s="4">
        <v>2</v>
      </c>
      <c r="P366" s="4">
        <v>4</v>
      </c>
      <c r="Q366" t="s">
        <v>107</v>
      </c>
      <c r="R366" s="2">
        <v>46197</v>
      </c>
      <c r="S366" s="4">
        <v>6</v>
      </c>
      <c r="T366" s="3">
        <v>86000000</v>
      </c>
      <c r="U366" t="s">
        <v>42</v>
      </c>
      <c r="V366" t="s">
        <v>43</v>
      </c>
      <c r="W366" t="s">
        <v>239</v>
      </c>
      <c r="Y366" t="s">
        <v>180</v>
      </c>
      <c r="Z366" t="s">
        <v>3176</v>
      </c>
      <c r="AA366" t="s">
        <v>97</v>
      </c>
      <c r="AB366" t="s">
        <v>47</v>
      </c>
      <c r="AC366" t="s">
        <v>97</v>
      </c>
    </row>
    <row r="367" spans="1:29">
      <c r="A367" t="s">
        <v>761</v>
      </c>
      <c r="B367" s="2">
        <v>46195</v>
      </c>
      <c r="C367" t="s">
        <v>30</v>
      </c>
      <c r="D367" t="s">
        <v>49</v>
      </c>
      <c r="E367" t="s">
        <v>152</v>
      </c>
      <c r="F367" t="s">
        <v>153</v>
      </c>
      <c r="G367" t="s">
        <v>328</v>
      </c>
      <c r="H367" t="s">
        <v>283</v>
      </c>
      <c r="I367" t="s">
        <v>474</v>
      </c>
      <c r="J367" t="s">
        <v>3098</v>
      </c>
      <c r="K367" t="s">
        <v>116</v>
      </c>
      <c r="L367" t="s">
        <v>55</v>
      </c>
      <c r="M367" t="s">
        <v>56</v>
      </c>
      <c r="N367" t="s">
        <v>130</v>
      </c>
      <c r="O367" s="4">
        <v>5</v>
      </c>
      <c r="P367" s="4">
        <v>14</v>
      </c>
      <c r="Q367" t="s">
        <v>58</v>
      </c>
      <c r="R367" s="2">
        <v>46189</v>
      </c>
      <c r="S367" s="4">
        <v>14</v>
      </c>
      <c r="T367" s="3">
        <v>138000000</v>
      </c>
      <c r="U367" t="s">
        <v>426</v>
      </c>
      <c r="V367" t="s">
        <v>143</v>
      </c>
      <c r="W367" t="s">
        <v>252</v>
      </c>
      <c r="X367" t="s">
        <v>261</v>
      </c>
      <c r="Y367" t="s">
        <v>254</v>
      </c>
      <c r="Z367" t="s">
        <v>3179</v>
      </c>
      <c r="AA367" t="s">
        <v>159</v>
      </c>
      <c r="AB367" t="s">
        <v>97</v>
      </c>
      <c r="AC367" t="s">
        <v>159</v>
      </c>
    </row>
    <row r="368" spans="1:29">
      <c r="A368" t="s">
        <v>762</v>
      </c>
      <c r="B368" s="2">
        <v>46174</v>
      </c>
      <c r="C368" t="s">
        <v>30</v>
      </c>
      <c r="D368" t="s">
        <v>134</v>
      </c>
      <c r="E368" t="s">
        <v>32</v>
      </c>
      <c r="F368" t="s">
        <v>33</v>
      </c>
      <c r="G368" t="s">
        <v>218</v>
      </c>
      <c r="H368" t="s">
        <v>35</v>
      </c>
      <c r="I368" t="s">
        <v>595</v>
      </c>
      <c r="J368" t="s">
        <v>3128</v>
      </c>
      <c r="K368" t="s">
        <v>105</v>
      </c>
      <c r="L368" t="s">
        <v>55</v>
      </c>
      <c r="M368" t="s">
        <v>39</v>
      </c>
      <c r="N368" t="s">
        <v>40</v>
      </c>
      <c r="O368" s="4">
        <v>2</v>
      </c>
      <c r="P368" s="4">
        <v>8</v>
      </c>
      <c r="Q368" t="s">
        <v>58</v>
      </c>
      <c r="R368" s="2">
        <v>46164</v>
      </c>
      <c r="S368" s="4">
        <v>39</v>
      </c>
      <c r="T368" s="3">
        <v>76000000</v>
      </c>
      <c r="U368" t="s">
        <v>260</v>
      </c>
      <c r="V368" t="s">
        <v>43</v>
      </c>
      <c r="W368" t="s">
        <v>239</v>
      </c>
      <c r="X368" t="s">
        <v>179</v>
      </c>
      <c r="Y368" t="s">
        <v>180</v>
      </c>
      <c r="Z368" t="s">
        <v>3178</v>
      </c>
      <c r="AA368" t="s">
        <v>46</v>
      </c>
      <c r="AB368" t="s">
        <v>87</v>
      </c>
      <c r="AC368" t="s">
        <v>46</v>
      </c>
    </row>
    <row r="369" spans="1:29">
      <c r="A369" t="s">
        <v>763</v>
      </c>
      <c r="B369" s="2">
        <v>46199</v>
      </c>
      <c r="C369" t="s">
        <v>30</v>
      </c>
      <c r="D369" t="s">
        <v>49</v>
      </c>
      <c r="E369" t="s">
        <v>75</v>
      </c>
      <c r="F369" t="s">
        <v>76</v>
      </c>
      <c r="G369" t="s">
        <v>77</v>
      </c>
      <c r="H369" t="s">
        <v>388</v>
      </c>
      <c r="I369" t="s">
        <v>389</v>
      </c>
      <c r="J369" t="s">
        <v>3071</v>
      </c>
      <c r="K369" t="s">
        <v>92</v>
      </c>
      <c r="L369" t="s">
        <v>80</v>
      </c>
      <c r="M369" t="s">
        <v>81</v>
      </c>
      <c r="N369" t="s">
        <v>213</v>
      </c>
      <c r="O369" s="4">
        <v>6</v>
      </c>
      <c r="P369" s="4">
        <v>7</v>
      </c>
      <c r="Q369" t="s">
        <v>83</v>
      </c>
      <c r="R369" s="2">
        <v>46191</v>
      </c>
      <c r="S369" s="4">
        <v>12</v>
      </c>
      <c r="T369" s="3">
        <v>71000000</v>
      </c>
      <c r="U369" t="s">
        <v>214</v>
      </c>
      <c r="V369" t="s">
        <v>70</v>
      </c>
      <c r="W369" t="s">
        <v>390</v>
      </c>
      <c r="Y369" t="s">
        <v>249</v>
      </c>
      <c r="Z369" t="s">
        <v>3179</v>
      </c>
      <c r="AA369" t="s">
        <v>86</v>
      </c>
      <c r="AB369" t="s">
        <v>97</v>
      </c>
      <c r="AC369" t="s">
        <v>86</v>
      </c>
    </row>
    <row r="370" spans="1:29">
      <c r="A370" t="s">
        <v>764</v>
      </c>
      <c r="B370" s="2">
        <v>46202</v>
      </c>
      <c r="C370" t="s">
        <v>30</v>
      </c>
      <c r="D370" t="s">
        <v>31</v>
      </c>
      <c r="E370" t="s">
        <v>75</v>
      </c>
      <c r="F370" t="s">
        <v>161</v>
      </c>
      <c r="G370" t="s">
        <v>184</v>
      </c>
      <c r="H370" t="s">
        <v>78</v>
      </c>
      <c r="I370" t="s">
        <v>494</v>
      </c>
      <c r="J370" t="s">
        <v>3104</v>
      </c>
      <c r="K370" t="s">
        <v>116</v>
      </c>
      <c r="L370" t="s">
        <v>55</v>
      </c>
      <c r="M370" t="s">
        <v>106</v>
      </c>
      <c r="N370" t="s">
        <v>40</v>
      </c>
      <c r="O370" s="4">
        <v>2</v>
      </c>
      <c r="P370" s="4">
        <v>8</v>
      </c>
      <c r="Q370" t="s">
        <v>138</v>
      </c>
      <c r="R370" s="2">
        <v>46196</v>
      </c>
      <c r="S370" s="4">
        <v>7</v>
      </c>
      <c r="T370" s="3">
        <v>102000000</v>
      </c>
      <c r="U370" t="s">
        <v>42</v>
      </c>
      <c r="V370" t="s">
        <v>43</v>
      </c>
      <c r="W370" t="s">
        <v>239</v>
      </c>
      <c r="Y370" t="s">
        <v>309</v>
      </c>
      <c r="Z370" t="s">
        <v>3178</v>
      </c>
      <c r="AA370" t="s">
        <v>86</v>
      </c>
      <c r="AB370" t="s">
        <v>87</v>
      </c>
      <c r="AC370" t="s">
        <v>86</v>
      </c>
    </row>
    <row r="371" spans="1:29">
      <c r="A371" t="s">
        <v>765</v>
      </c>
      <c r="B371" s="2">
        <v>46201</v>
      </c>
      <c r="C371" t="s">
        <v>30</v>
      </c>
      <c r="D371" t="s">
        <v>49</v>
      </c>
      <c r="E371" t="s">
        <v>120</v>
      </c>
      <c r="F371" t="s">
        <v>121</v>
      </c>
      <c r="G371" t="s">
        <v>135</v>
      </c>
      <c r="H371" t="s">
        <v>123</v>
      </c>
      <c r="I371" t="s">
        <v>336</v>
      </c>
      <c r="J371" t="s">
        <v>3055</v>
      </c>
      <c r="K371" t="s">
        <v>92</v>
      </c>
      <c r="L371" t="s">
        <v>38</v>
      </c>
      <c r="M371" t="s">
        <v>129</v>
      </c>
      <c r="N371" t="s">
        <v>94</v>
      </c>
      <c r="O371" s="4">
        <v>4</v>
      </c>
      <c r="P371" s="4">
        <v>8</v>
      </c>
      <c r="Q371" t="s">
        <v>138</v>
      </c>
      <c r="R371" s="2">
        <v>46195</v>
      </c>
      <c r="S371" s="4">
        <v>8</v>
      </c>
      <c r="T371" s="3">
        <v>76000000</v>
      </c>
      <c r="U371" t="s">
        <v>42</v>
      </c>
      <c r="V371" t="s">
        <v>59</v>
      </c>
      <c r="W371" t="s">
        <v>170</v>
      </c>
      <c r="X371" t="s">
        <v>117</v>
      </c>
      <c r="Y371" t="s">
        <v>108</v>
      </c>
      <c r="Z371" t="s">
        <v>3179</v>
      </c>
      <c r="AA371" t="s">
        <v>97</v>
      </c>
      <c r="AB371" t="s">
        <v>97</v>
      </c>
      <c r="AC371" t="s">
        <v>97</v>
      </c>
    </row>
    <row r="372" spans="1:29">
      <c r="A372" t="s">
        <v>766</v>
      </c>
      <c r="B372" s="2">
        <v>46195</v>
      </c>
      <c r="C372" t="s">
        <v>30</v>
      </c>
      <c r="D372" t="s">
        <v>49</v>
      </c>
      <c r="E372" t="s">
        <v>120</v>
      </c>
      <c r="F372" t="s">
        <v>167</v>
      </c>
      <c r="G372" t="s">
        <v>135</v>
      </c>
      <c r="H372" t="s">
        <v>300</v>
      </c>
      <c r="I372" t="s">
        <v>527</v>
      </c>
      <c r="J372" t="s">
        <v>3110</v>
      </c>
      <c r="K372" t="s">
        <v>56</v>
      </c>
      <c r="L372" t="s">
        <v>169</v>
      </c>
      <c r="M372" t="s">
        <v>56</v>
      </c>
      <c r="N372" t="s">
        <v>57</v>
      </c>
      <c r="O372" s="4">
        <v>3</v>
      </c>
      <c r="P372" s="4">
        <v>12</v>
      </c>
      <c r="Q372" t="s">
        <v>83</v>
      </c>
      <c r="R372" s="2">
        <v>46193</v>
      </c>
      <c r="S372" s="4">
        <v>10</v>
      </c>
      <c r="T372" s="3">
        <v>417000000</v>
      </c>
      <c r="U372" t="s">
        <v>42</v>
      </c>
      <c r="V372" t="s">
        <v>59</v>
      </c>
      <c r="W372" t="s">
        <v>60</v>
      </c>
      <c r="Y372" t="s">
        <v>61</v>
      </c>
      <c r="Z372" t="s">
        <v>3180</v>
      </c>
      <c r="AA372" t="s">
        <v>97</v>
      </c>
      <c r="AB372" t="s">
        <v>193</v>
      </c>
      <c r="AC372" t="s">
        <v>97</v>
      </c>
    </row>
    <row r="373" spans="1:29">
      <c r="A373" t="s">
        <v>767</v>
      </c>
      <c r="B373" s="2">
        <v>46177</v>
      </c>
      <c r="C373" t="s">
        <v>30</v>
      </c>
      <c r="D373" t="s">
        <v>134</v>
      </c>
      <c r="E373" t="s">
        <v>75</v>
      </c>
      <c r="F373" t="s">
        <v>161</v>
      </c>
      <c r="G373" t="s">
        <v>230</v>
      </c>
      <c r="H373" t="s">
        <v>185</v>
      </c>
      <c r="I373" t="s">
        <v>721</v>
      </c>
      <c r="J373" t="s">
        <v>3147</v>
      </c>
      <c r="K373" t="s">
        <v>116</v>
      </c>
      <c r="L373" t="s">
        <v>55</v>
      </c>
      <c r="M373" t="s">
        <v>93</v>
      </c>
      <c r="N373" t="s">
        <v>57</v>
      </c>
      <c r="O373" s="4">
        <v>3</v>
      </c>
      <c r="P373" s="4">
        <v>11</v>
      </c>
      <c r="Q373" t="s">
        <v>69</v>
      </c>
      <c r="R373" s="2">
        <v>46173</v>
      </c>
      <c r="S373" s="4">
        <v>30</v>
      </c>
      <c r="T373" s="3">
        <v>92000000</v>
      </c>
      <c r="U373" t="s">
        <v>42</v>
      </c>
      <c r="V373" t="s">
        <v>70</v>
      </c>
      <c r="W373" t="s">
        <v>157</v>
      </c>
      <c r="Y373" t="s">
        <v>72</v>
      </c>
      <c r="Z373" t="s">
        <v>3177</v>
      </c>
      <c r="AA373" t="s">
        <v>86</v>
      </c>
      <c r="AB373" t="s">
        <v>63</v>
      </c>
      <c r="AC373" t="s">
        <v>86</v>
      </c>
    </row>
    <row r="374" spans="1:29">
      <c r="A374" t="s">
        <v>768</v>
      </c>
      <c r="B374" s="2">
        <v>46184</v>
      </c>
      <c r="C374" t="s">
        <v>30</v>
      </c>
      <c r="D374" t="s">
        <v>99</v>
      </c>
      <c r="E374" t="s">
        <v>152</v>
      </c>
      <c r="F374" t="s">
        <v>221</v>
      </c>
      <c r="G374" t="s">
        <v>154</v>
      </c>
      <c r="H374" t="s">
        <v>283</v>
      </c>
      <c r="I374" t="s">
        <v>472</v>
      </c>
      <c r="J374" t="s">
        <v>3097</v>
      </c>
      <c r="K374" t="s">
        <v>105</v>
      </c>
      <c r="L374" t="s">
        <v>38</v>
      </c>
      <c r="M374" t="s">
        <v>129</v>
      </c>
      <c r="N374" t="s">
        <v>196</v>
      </c>
      <c r="O374" s="4">
        <v>7</v>
      </c>
      <c r="P374" s="4">
        <v>20</v>
      </c>
      <c r="Q374" t="s">
        <v>138</v>
      </c>
      <c r="R374" s="2">
        <v>46178</v>
      </c>
      <c r="S374" s="4">
        <v>25</v>
      </c>
      <c r="T374" s="3">
        <v>273000000</v>
      </c>
      <c r="U374" t="s">
        <v>196</v>
      </c>
      <c r="V374" t="s">
        <v>70</v>
      </c>
      <c r="W374" t="s">
        <v>197</v>
      </c>
      <c r="Y374" t="s">
        <v>210</v>
      </c>
      <c r="Z374" t="s">
        <v>3181</v>
      </c>
      <c r="AA374" t="s">
        <v>159</v>
      </c>
      <c r="AB374" t="s">
        <v>199</v>
      </c>
      <c r="AC374" t="s">
        <v>159</v>
      </c>
    </row>
    <row r="375" spans="1:29">
      <c r="A375" t="s">
        <v>769</v>
      </c>
      <c r="B375" s="2">
        <v>46199</v>
      </c>
      <c r="C375" t="s">
        <v>30</v>
      </c>
      <c r="D375" t="s">
        <v>49</v>
      </c>
      <c r="E375" t="s">
        <v>75</v>
      </c>
      <c r="F375" t="s">
        <v>161</v>
      </c>
      <c r="G375" t="s">
        <v>162</v>
      </c>
      <c r="H375" t="s">
        <v>78</v>
      </c>
      <c r="I375" t="s">
        <v>501</v>
      </c>
      <c r="J375" t="s">
        <v>3106</v>
      </c>
      <c r="K375" t="s">
        <v>56</v>
      </c>
      <c r="L375" t="s">
        <v>38</v>
      </c>
      <c r="M375" t="s">
        <v>106</v>
      </c>
      <c r="N375" t="s">
        <v>40</v>
      </c>
      <c r="O375" s="4">
        <v>2</v>
      </c>
      <c r="P375" s="4">
        <v>4</v>
      </c>
      <c r="Q375" t="s">
        <v>142</v>
      </c>
      <c r="R375" s="2">
        <v>46190</v>
      </c>
      <c r="S375" s="4">
        <v>13</v>
      </c>
      <c r="T375" s="3">
        <v>249000000</v>
      </c>
      <c r="U375" t="s">
        <v>42</v>
      </c>
      <c r="V375" t="s">
        <v>43</v>
      </c>
      <c r="W375" t="s">
        <v>44</v>
      </c>
      <c r="Y375" t="s">
        <v>281</v>
      </c>
      <c r="Z375" t="s">
        <v>3176</v>
      </c>
      <c r="AA375" t="s">
        <v>86</v>
      </c>
      <c r="AB375" t="s">
        <v>47</v>
      </c>
      <c r="AC375" t="s">
        <v>86</v>
      </c>
    </row>
    <row r="376" spans="1:29">
      <c r="A376" t="s">
        <v>770</v>
      </c>
      <c r="B376" s="2">
        <v>46189</v>
      </c>
      <c r="C376" t="s">
        <v>30</v>
      </c>
      <c r="D376" t="s">
        <v>74</v>
      </c>
      <c r="E376" t="s">
        <v>120</v>
      </c>
      <c r="F376" t="s">
        <v>167</v>
      </c>
      <c r="G376" t="s">
        <v>420</v>
      </c>
      <c r="H376" t="s">
        <v>136</v>
      </c>
      <c r="I376" t="s">
        <v>247</v>
      </c>
      <c r="J376" t="s">
        <v>3035</v>
      </c>
      <c r="K376" t="s">
        <v>37</v>
      </c>
      <c r="L376" t="s">
        <v>169</v>
      </c>
      <c r="M376" t="s">
        <v>56</v>
      </c>
      <c r="N376" t="s">
        <v>213</v>
      </c>
      <c r="O376" s="4">
        <v>6</v>
      </c>
      <c r="P376" s="4">
        <v>7</v>
      </c>
      <c r="Q376" t="s">
        <v>58</v>
      </c>
      <c r="R376" s="2">
        <v>46187</v>
      </c>
      <c r="S376" s="4">
        <v>16</v>
      </c>
      <c r="T376" s="3">
        <v>223000000</v>
      </c>
      <c r="U376" t="s">
        <v>214</v>
      </c>
      <c r="V376" t="s">
        <v>70</v>
      </c>
      <c r="W376" t="s">
        <v>438</v>
      </c>
      <c r="Y376" t="s">
        <v>216</v>
      </c>
      <c r="Z376" t="s">
        <v>3179</v>
      </c>
      <c r="AA376" t="s">
        <v>97</v>
      </c>
      <c r="AB376" t="s">
        <v>97</v>
      </c>
      <c r="AC376" t="s">
        <v>97</v>
      </c>
    </row>
    <row r="377" spans="1:29">
      <c r="A377" t="s">
        <v>771</v>
      </c>
      <c r="B377" s="2">
        <v>46194</v>
      </c>
      <c r="C377" t="s">
        <v>30</v>
      </c>
      <c r="D377" t="s">
        <v>74</v>
      </c>
      <c r="E377" t="s">
        <v>75</v>
      </c>
      <c r="F377" t="s">
        <v>161</v>
      </c>
      <c r="G377" t="s">
        <v>184</v>
      </c>
      <c r="H377" t="s">
        <v>388</v>
      </c>
      <c r="I377" t="s">
        <v>576</v>
      </c>
      <c r="J377" t="s">
        <v>3123</v>
      </c>
      <c r="K377" t="s">
        <v>92</v>
      </c>
      <c r="L377" t="s">
        <v>169</v>
      </c>
      <c r="M377" t="s">
        <v>164</v>
      </c>
      <c r="N377" t="s">
        <v>130</v>
      </c>
      <c r="O377" s="4">
        <v>5</v>
      </c>
      <c r="P377" s="4">
        <v>10</v>
      </c>
      <c r="Q377" t="s">
        <v>69</v>
      </c>
      <c r="R377" s="2">
        <v>46188</v>
      </c>
      <c r="S377" s="4">
        <v>15</v>
      </c>
      <c r="T377" s="3">
        <v>175000000</v>
      </c>
      <c r="U377" t="s">
        <v>42</v>
      </c>
      <c r="V377" t="s">
        <v>70</v>
      </c>
      <c r="W377" t="s">
        <v>355</v>
      </c>
      <c r="Y377" t="s">
        <v>132</v>
      </c>
      <c r="Z377" t="s">
        <v>3179</v>
      </c>
      <c r="AA377" t="s">
        <v>86</v>
      </c>
      <c r="AB377" t="s">
        <v>97</v>
      </c>
      <c r="AC377" t="s">
        <v>86</v>
      </c>
    </row>
    <row r="378" spans="1:29">
      <c r="A378" t="s">
        <v>772</v>
      </c>
      <c r="B378" s="2">
        <v>46176</v>
      </c>
      <c r="C378" t="s">
        <v>30</v>
      </c>
      <c r="D378" t="s">
        <v>134</v>
      </c>
      <c r="E378" t="s">
        <v>152</v>
      </c>
      <c r="F378" t="s">
        <v>153</v>
      </c>
      <c r="G378" t="s">
        <v>328</v>
      </c>
      <c r="H378" t="s">
        <v>207</v>
      </c>
      <c r="I378" t="s">
        <v>773</v>
      </c>
      <c r="J378" t="s">
        <v>3153</v>
      </c>
      <c r="K378" t="s">
        <v>37</v>
      </c>
      <c r="L378" t="s">
        <v>68</v>
      </c>
      <c r="M378" t="s">
        <v>56</v>
      </c>
      <c r="N378" t="s">
        <v>57</v>
      </c>
      <c r="O378" s="4">
        <v>3</v>
      </c>
      <c r="P378" s="4">
        <v>8</v>
      </c>
      <c r="Q378" t="s">
        <v>58</v>
      </c>
      <c r="R378" s="2">
        <v>46168</v>
      </c>
      <c r="S378" s="4">
        <v>35</v>
      </c>
      <c r="T378" s="3">
        <v>261000000</v>
      </c>
      <c r="U378" t="s">
        <v>42</v>
      </c>
      <c r="V378" t="s">
        <v>59</v>
      </c>
      <c r="W378" t="s">
        <v>203</v>
      </c>
      <c r="Y378" t="s">
        <v>165</v>
      </c>
      <c r="Z378" t="s">
        <v>3177</v>
      </c>
      <c r="AA378" t="s">
        <v>159</v>
      </c>
      <c r="AB378" t="s">
        <v>63</v>
      </c>
      <c r="AC378" t="s">
        <v>159</v>
      </c>
    </row>
    <row r="379" spans="1:29">
      <c r="A379" t="s">
        <v>774</v>
      </c>
      <c r="B379" s="2">
        <v>46175</v>
      </c>
      <c r="C379" t="s">
        <v>30</v>
      </c>
      <c r="D379" t="s">
        <v>134</v>
      </c>
      <c r="E379" t="s">
        <v>100</v>
      </c>
      <c r="F379" t="s">
        <v>101</v>
      </c>
      <c r="G379" t="s">
        <v>212</v>
      </c>
      <c r="H379" t="s">
        <v>148</v>
      </c>
      <c r="I379" t="s">
        <v>490</v>
      </c>
      <c r="J379" t="s">
        <v>3103</v>
      </c>
      <c r="K379" t="s">
        <v>56</v>
      </c>
      <c r="L379" t="s">
        <v>187</v>
      </c>
      <c r="M379" t="s">
        <v>106</v>
      </c>
      <c r="N379" t="s">
        <v>94</v>
      </c>
      <c r="O379" s="4">
        <v>4</v>
      </c>
      <c r="P379" s="4">
        <v>18</v>
      </c>
      <c r="Q379" t="s">
        <v>83</v>
      </c>
      <c r="R379" s="2">
        <v>46173</v>
      </c>
      <c r="S379" s="4">
        <v>30</v>
      </c>
      <c r="T379" s="3">
        <v>137000000</v>
      </c>
      <c r="U379" t="s">
        <v>42</v>
      </c>
      <c r="V379" t="s">
        <v>59</v>
      </c>
      <c r="W379" t="s">
        <v>95</v>
      </c>
      <c r="X379" t="s">
        <v>253</v>
      </c>
      <c r="Y379" t="s">
        <v>228</v>
      </c>
      <c r="Z379" t="s">
        <v>3179</v>
      </c>
      <c r="AA379" t="s">
        <v>109</v>
      </c>
      <c r="AB379" t="s">
        <v>97</v>
      </c>
      <c r="AC379" t="s">
        <v>109</v>
      </c>
    </row>
    <row r="380" spans="1:29">
      <c r="A380" t="s">
        <v>775</v>
      </c>
      <c r="B380" s="2">
        <v>46184</v>
      </c>
      <c r="C380" t="s">
        <v>30</v>
      </c>
      <c r="D380" t="s">
        <v>99</v>
      </c>
      <c r="E380" t="s">
        <v>111</v>
      </c>
      <c r="F380" t="s">
        <v>112</v>
      </c>
      <c r="G380" t="s">
        <v>113</v>
      </c>
      <c r="H380" t="s">
        <v>127</v>
      </c>
      <c r="I380" t="s">
        <v>461</v>
      </c>
      <c r="J380" t="s">
        <v>3094</v>
      </c>
      <c r="K380" t="s">
        <v>56</v>
      </c>
      <c r="L380" t="s">
        <v>187</v>
      </c>
      <c r="M380" t="s">
        <v>56</v>
      </c>
      <c r="N380" t="s">
        <v>40</v>
      </c>
      <c r="O380" s="4">
        <v>2</v>
      </c>
      <c r="P380" s="4">
        <v>9</v>
      </c>
      <c r="Q380" t="s">
        <v>138</v>
      </c>
      <c r="R380" s="2">
        <v>46176</v>
      </c>
      <c r="S380" s="4">
        <v>27</v>
      </c>
      <c r="T380" s="3">
        <v>363000000</v>
      </c>
      <c r="U380" t="s">
        <v>42</v>
      </c>
      <c r="V380" t="s">
        <v>59</v>
      </c>
      <c r="W380" t="s">
        <v>44</v>
      </c>
      <c r="Y380" t="s">
        <v>309</v>
      </c>
      <c r="Z380" t="s">
        <v>3178</v>
      </c>
      <c r="AA380" t="s">
        <v>118</v>
      </c>
      <c r="AB380" t="s">
        <v>87</v>
      </c>
      <c r="AC380" t="s">
        <v>118</v>
      </c>
    </row>
    <row r="381" spans="1:29">
      <c r="A381" t="s">
        <v>776</v>
      </c>
      <c r="B381" s="2">
        <v>46179</v>
      </c>
      <c r="C381" t="s">
        <v>30</v>
      </c>
      <c r="D381" t="s">
        <v>134</v>
      </c>
      <c r="E381" t="s">
        <v>75</v>
      </c>
      <c r="F381" t="s">
        <v>161</v>
      </c>
      <c r="G381" t="s">
        <v>230</v>
      </c>
      <c r="H381" t="s">
        <v>388</v>
      </c>
      <c r="I381" t="s">
        <v>556</v>
      </c>
      <c r="J381" t="s">
        <v>3118</v>
      </c>
      <c r="K381" t="s">
        <v>105</v>
      </c>
      <c r="L381" t="s">
        <v>38</v>
      </c>
      <c r="M381" t="s">
        <v>93</v>
      </c>
      <c r="N381" t="s">
        <v>57</v>
      </c>
      <c r="O381" s="4">
        <v>3</v>
      </c>
      <c r="P381" s="4">
        <v>11</v>
      </c>
      <c r="Q381" t="s">
        <v>138</v>
      </c>
      <c r="R381" s="2">
        <v>46173</v>
      </c>
      <c r="S381" s="4">
        <v>30</v>
      </c>
      <c r="T381" s="3">
        <v>196000000</v>
      </c>
      <c r="U381" t="s">
        <v>42</v>
      </c>
      <c r="V381" t="s">
        <v>43</v>
      </c>
      <c r="W381" t="s">
        <v>157</v>
      </c>
      <c r="Y381" t="s">
        <v>158</v>
      </c>
      <c r="Z381" t="s">
        <v>3177</v>
      </c>
      <c r="AA381" t="s">
        <v>86</v>
      </c>
      <c r="AB381" t="s">
        <v>63</v>
      </c>
      <c r="AC381" t="s">
        <v>86</v>
      </c>
    </row>
    <row r="382" spans="1:29">
      <c r="A382" t="s">
        <v>777</v>
      </c>
      <c r="B382" s="2">
        <v>46174</v>
      </c>
      <c r="C382" t="s">
        <v>30</v>
      </c>
      <c r="D382" t="s">
        <v>134</v>
      </c>
      <c r="E382" t="s">
        <v>50</v>
      </c>
      <c r="F382" t="s">
        <v>89</v>
      </c>
      <c r="G382" t="s">
        <v>343</v>
      </c>
      <c r="H382" t="s">
        <v>90</v>
      </c>
      <c r="I382" t="s">
        <v>740</v>
      </c>
      <c r="J382" t="s">
        <v>3151</v>
      </c>
      <c r="K382" t="s">
        <v>56</v>
      </c>
      <c r="L382" t="s">
        <v>38</v>
      </c>
      <c r="M382" t="s">
        <v>129</v>
      </c>
      <c r="N382" t="s">
        <v>196</v>
      </c>
      <c r="O382" s="4">
        <v>7</v>
      </c>
      <c r="P382" s="4">
        <v>12</v>
      </c>
      <c r="Q382" t="s">
        <v>142</v>
      </c>
      <c r="R382" s="2">
        <v>46165</v>
      </c>
      <c r="S382" s="4">
        <v>38</v>
      </c>
      <c r="T382" s="3">
        <v>169000000</v>
      </c>
      <c r="U382" t="s">
        <v>196</v>
      </c>
      <c r="V382" t="s">
        <v>70</v>
      </c>
      <c r="W382" t="s">
        <v>197</v>
      </c>
      <c r="Y382" t="s">
        <v>210</v>
      </c>
      <c r="Z382" t="s">
        <v>3181</v>
      </c>
      <c r="AA382" t="s">
        <v>62</v>
      </c>
      <c r="AB382" t="s">
        <v>199</v>
      </c>
      <c r="AC382" t="s">
        <v>62</v>
      </c>
    </row>
    <row r="383" spans="1:29">
      <c r="A383" t="s">
        <v>778</v>
      </c>
      <c r="B383" s="2">
        <v>46181</v>
      </c>
      <c r="C383" t="s">
        <v>30</v>
      </c>
      <c r="D383" t="s">
        <v>99</v>
      </c>
      <c r="E383" t="s">
        <v>111</v>
      </c>
      <c r="F383" t="s">
        <v>264</v>
      </c>
      <c r="G383" t="s">
        <v>348</v>
      </c>
      <c r="H383" t="s">
        <v>127</v>
      </c>
      <c r="I383" t="s">
        <v>128</v>
      </c>
      <c r="J383" t="s">
        <v>3016</v>
      </c>
      <c r="K383" t="s">
        <v>56</v>
      </c>
      <c r="L383" t="s">
        <v>80</v>
      </c>
      <c r="M383" t="s">
        <v>39</v>
      </c>
      <c r="N383" t="s">
        <v>82</v>
      </c>
      <c r="O383" s="4">
        <v>1</v>
      </c>
      <c r="P383" s="4">
        <v>5</v>
      </c>
      <c r="Q383" t="s">
        <v>138</v>
      </c>
      <c r="R383" s="2">
        <v>46175</v>
      </c>
      <c r="S383" s="4">
        <v>28</v>
      </c>
      <c r="T383" s="3">
        <v>146000000</v>
      </c>
      <c r="U383" t="s">
        <v>42</v>
      </c>
      <c r="V383" t="s">
        <v>43</v>
      </c>
      <c r="W383" t="s">
        <v>404</v>
      </c>
      <c r="Y383" t="s">
        <v>291</v>
      </c>
      <c r="Z383" t="s">
        <v>3178</v>
      </c>
      <c r="AA383" t="s">
        <v>118</v>
      </c>
      <c r="AB383" t="s">
        <v>87</v>
      </c>
      <c r="AC383" t="s">
        <v>118</v>
      </c>
    </row>
    <row r="384" spans="1:29">
      <c r="A384" t="s">
        <v>779</v>
      </c>
      <c r="B384" s="2">
        <v>46186</v>
      </c>
      <c r="C384" t="s">
        <v>30</v>
      </c>
      <c r="D384" t="s">
        <v>99</v>
      </c>
      <c r="E384" t="s">
        <v>172</v>
      </c>
      <c r="F384" t="s">
        <v>173</v>
      </c>
      <c r="G384" t="s">
        <v>338</v>
      </c>
      <c r="H384" t="s">
        <v>317</v>
      </c>
      <c r="I384" t="s">
        <v>318</v>
      </c>
      <c r="J384" t="s">
        <v>3050</v>
      </c>
      <c r="K384" t="s">
        <v>92</v>
      </c>
      <c r="L384" t="s">
        <v>169</v>
      </c>
      <c r="M384" t="s">
        <v>81</v>
      </c>
      <c r="N384" t="s">
        <v>94</v>
      </c>
      <c r="O384" s="4">
        <v>4</v>
      </c>
      <c r="P384" s="4">
        <v>6</v>
      </c>
      <c r="Q384" t="s">
        <v>58</v>
      </c>
      <c r="R384" s="2">
        <v>46179</v>
      </c>
      <c r="S384" s="4">
        <v>24</v>
      </c>
      <c r="T384" s="3">
        <v>191000000</v>
      </c>
      <c r="U384" t="s">
        <v>42</v>
      </c>
      <c r="V384" t="s">
        <v>59</v>
      </c>
      <c r="W384" t="s">
        <v>188</v>
      </c>
      <c r="X384" t="s">
        <v>117</v>
      </c>
      <c r="Y384" t="s">
        <v>96</v>
      </c>
      <c r="Z384" t="s">
        <v>3179</v>
      </c>
      <c r="AA384" t="s">
        <v>181</v>
      </c>
      <c r="AB384" t="s">
        <v>97</v>
      </c>
      <c r="AC384" t="s">
        <v>181</v>
      </c>
    </row>
    <row r="385" spans="1:29">
      <c r="A385" t="s">
        <v>780</v>
      </c>
      <c r="B385" s="2">
        <v>46190</v>
      </c>
      <c r="C385" t="s">
        <v>30</v>
      </c>
      <c r="D385" t="s">
        <v>74</v>
      </c>
      <c r="E385" t="s">
        <v>152</v>
      </c>
      <c r="F385" t="s">
        <v>153</v>
      </c>
      <c r="G385" t="s">
        <v>294</v>
      </c>
      <c r="H385" t="s">
        <v>283</v>
      </c>
      <c r="I385" t="s">
        <v>472</v>
      </c>
      <c r="J385" t="s">
        <v>3097</v>
      </c>
      <c r="K385" t="s">
        <v>116</v>
      </c>
      <c r="L385" t="s">
        <v>187</v>
      </c>
      <c r="M385" t="s">
        <v>164</v>
      </c>
      <c r="N385" t="s">
        <v>40</v>
      </c>
      <c r="O385" s="4">
        <v>2</v>
      </c>
      <c r="P385" s="4">
        <v>10</v>
      </c>
      <c r="Q385" t="s">
        <v>58</v>
      </c>
      <c r="R385" s="2">
        <v>46187</v>
      </c>
      <c r="S385" s="4">
        <v>16</v>
      </c>
      <c r="T385" s="3">
        <v>55000000</v>
      </c>
      <c r="U385" t="s">
        <v>177</v>
      </c>
      <c r="V385" t="s">
        <v>43</v>
      </c>
      <c r="W385" t="s">
        <v>44</v>
      </c>
      <c r="X385" t="s">
        <v>179</v>
      </c>
      <c r="Y385" t="s">
        <v>281</v>
      </c>
      <c r="Z385" t="s">
        <v>3178</v>
      </c>
      <c r="AA385" t="s">
        <v>159</v>
      </c>
      <c r="AB385" t="s">
        <v>87</v>
      </c>
      <c r="AC385" t="s">
        <v>159</v>
      </c>
    </row>
    <row r="386" spans="1:29">
      <c r="A386" t="s">
        <v>781</v>
      </c>
      <c r="B386" s="2">
        <v>46189</v>
      </c>
      <c r="C386" t="s">
        <v>30</v>
      </c>
      <c r="D386" t="s">
        <v>74</v>
      </c>
      <c r="E386" t="s">
        <v>100</v>
      </c>
      <c r="F386" t="s">
        <v>146</v>
      </c>
      <c r="G386" t="s">
        <v>212</v>
      </c>
      <c r="H386" t="s">
        <v>201</v>
      </c>
      <c r="I386" t="s">
        <v>202</v>
      </c>
      <c r="J386" t="s">
        <v>3026</v>
      </c>
      <c r="K386" t="s">
        <v>37</v>
      </c>
      <c r="L386" t="s">
        <v>150</v>
      </c>
      <c r="M386" t="s">
        <v>129</v>
      </c>
      <c r="N386" t="s">
        <v>196</v>
      </c>
      <c r="O386" s="4">
        <v>7</v>
      </c>
      <c r="P386" s="4">
        <v>19</v>
      </c>
      <c r="Q386" t="s">
        <v>58</v>
      </c>
      <c r="R386" s="2">
        <v>46181</v>
      </c>
      <c r="S386" s="4">
        <v>22</v>
      </c>
      <c r="T386" s="3">
        <v>259000000</v>
      </c>
      <c r="U386" t="s">
        <v>196</v>
      </c>
      <c r="V386" t="s">
        <v>70</v>
      </c>
      <c r="W386" t="s">
        <v>675</v>
      </c>
      <c r="Y386" t="s">
        <v>244</v>
      </c>
      <c r="Z386" t="s">
        <v>3181</v>
      </c>
      <c r="AA386" t="s">
        <v>109</v>
      </c>
      <c r="AB386" t="s">
        <v>199</v>
      </c>
      <c r="AC386" t="s">
        <v>109</v>
      </c>
    </row>
    <row r="387" spans="1:29">
      <c r="A387" t="s">
        <v>782</v>
      </c>
      <c r="B387" s="2">
        <v>46179</v>
      </c>
      <c r="C387" t="s">
        <v>30</v>
      </c>
      <c r="D387" t="s">
        <v>134</v>
      </c>
      <c r="E387" t="s">
        <v>172</v>
      </c>
      <c r="F387" t="s">
        <v>195</v>
      </c>
      <c r="G387" t="s">
        <v>338</v>
      </c>
      <c r="H387" t="s">
        <v>175</v>
      </c>
      <c r="I387" t="s">
        <v>333</v>
      </c>
      <c r="J387" t="s">
        <v>3054</v>
      </c>
      <c r="K387" t="s">
        <v>56</v>
      </c>
      <c r="L387" t="s">
        <v>187</v>
      </c>
      <c r="M387" t="s">
        <v>129</v>
      </c>
      <c r="N387" t="s">
        <v>82</v>
      </c>
      <c r="O387" s="4">
        <v>1</v>
      </c>
      <c r="P387" s="4">
        <v>6</v>
      </c>
      <c r="Q387" t="s">
        <v>142</v>
      </c>
      <c r="R387" s="2">
        <v>46169</v>
      </c>
      <c r="S387" s="4">
        <v>34</v>
      </c>
      <c r="T387" s="3">
        <v>277000000</v>
      </c>
      <c r="U387" t="s">
        <v>42</v>
      </c>
      <c r="V387" t="s">
        <v>43</v>
      </c>
      <c r="W387" t="s">
        <v>290</v>
      </c>
      <c r="Y387" t="s">
        <v>305</v>
      </c>
      <c r="Z387" t="s">
        <v>3178</v>
      </c>
      <c r="AA387" t="s">
        <v>181</v>
      </c>
      <c r="AB387" t="s">
        <v>87</v>
      </c>
      <c r="AC387" t="s">
        <v>181</v>
      </c>
    </row>
    <row r="388" spans="1:29">
      <c r="A388" t="s">
        <v>783</v>
      </c>
      <c r="B388" s="2">
        <v>46203</v>
      </c>
      <c r="C388" t="s">
        <v>30</v>
      </c>
      <c r="D388" t="s">
        <v>31</v>
      </c>
      <c r="E388" t="s">
        <v>32</v>
      </c>
      <c r="F388" t="s">
        <v>33</v>
      </c>
      <c r="G388" t="s">
        <v>34</v>
      </c>
      <c r="H388" t="s">
        <v>303</v>
      </c>
      <c r="I388" t="s">
        <v>304</v>
      </c>
      <c r="J388" t="s">
        <v>3046</v>
      </c>
      <c r="K388" t="s">
        <v>116</v>
      </c>
      <c r="L388" t="s">
        <v>187</v>
      </c>
      <c r="M388" t="s">
        <v>39</v>
      </c>
      <c r="N388" t="s">
        <v>40</v>
      </c>
      <c r="O388" s="4">
        <v>2</v>
      </c>
      <c r="P388" s="4">
        <v>5</v>
      </c>
      <c r="Q388" t="s">
        <v>107</v>
      </c>
      <c r="R388" s="2">
        <v>46193</v>
      </c>
      <c r="S388" s="4">
        <v>10</v>
      </c>
      <c r="T388" s="3">
        <v>40000000</v>
      </c>
      <c r="U388" t="s">
        <v>177</v>
      </c>
      <c r="V388" t="s">
        <v>59</v>
      </c>
      <c r="W388" t="s">
        <v>178</v>
      </c>
      <c r="X388" t="s">
        <v>381</v>
      </c>
      <c r="Y388" t="s">
        <v>309</v>
      </c>
      <c r="Z388" t="s">
        <v>3178</v>
      </c>
      <c r="AA388" t="s">
        <v>46</v>
      </c>
      <c r="AB388" t="s">
        <v>87</v>
      </c>
      <c r="AC388" t="s">
        <v>46</v>
      </c>
    </row>
    <row r="389" spans="1:29">
      <c r="A389" t="s">
        <v>784</v>
      </c>
      <c r="B389" s="2">
        <v>46203</v>
      </c>
      <c r="C389" t="s">
        <v>30</v>
      </c>
      <c r="D389" t="s">
        <v>31</v>
      </c>
      <c r="E389" t="s">
        <v>152</v>
      </c>
      <c r="F389" t="s">
        <v>221</v>
      </c>
      <c r="G389" t="s">
        <v>294</v>
      </c>
      <c r="H389" t="s">
        <v>155</v>
      </c>
      <c r="I389" t="s">
        <v>156</v>
      </c>
      <c r="J389" t="s">
        <v>3020</v>
      </c>
      <c r="K389" t="s">
        <v>56</v>
      </c>
      <c r="L389" t="s">
        <v>80</v>
      </c>
      <c r="M389" t="s">
        <v>81</v>
      </c>
      <c r="N389" t="s">
        <v>130</v>
      </c>
      <c r="O389" s="4">
        <v>5</v>
      </c>
      <c r="P389" s="4">
        <v>8</v>
      </c>
      <c r="Q389" t="s">
        <v>83</v>
      </c>
      <c r="R389" s="2">
        <v>46196</v>
      </c>
      <c r="S389" s="4">
        <v>7</v>
      </c>
      <c r="T389" s="3">
        <v>476000000</v>
      </c>
      <c r="U389" t="s">
        <v>42</v>
      </c>
      <c r="V389" t="s">
        <v>70</v>
      </c>
      <c r="W389" t="s">
        <v>355</v>
      </c>
      <c r="Y389" t="s">
        <v>334</v>
      </c>
      <c r="Z389" t="s">
        <v>3179</v>
      </c>
      <c r="AA389" t="s">
        <v>159</v>
      </c>
      <c r="AB389" t="s">
        <v>97</v>
      </c>
      <c r="AC389" t="s">
        <v>159</v>
      </c>
    </row>
    <row r="390" spans="1:29">
      <c r="A390" t="s">
        <v>785</v>
      </c>
      <c r="B390" s="2">
        <v>46178</v>
      </c>
      <c r="C390" t="s">
        <v>30</v>
      </c>
      <c r="D390" t="s">
        <v>134</v>
      </c>
      <c r="E390" t="s">
        <v>152</v>
      </c>
      <c r="F390" t="s">
        <v>221</v>
      </c>
      <c r="G390" t="s">
        <v>154</v>
      </c>
      <c r="H390" t="s">
        <v>283</v>
      </c>
      <c r="I390" t="s">
        <v>295</v>
      </c>
      <c r="J390" t="s">
        <v>3043</v>
      </c>
      <c r="K390" t="s">
        <v>37</v>
      </c>
      <c r="L390" t="s">
        <v>55</v>
      </c>
      <c r="M390" t="s">
        <v>164</v>
      </c>
      <c r="N390" t="s">
        <v>82</v>
      </c>
      <c r="O390" s="4">
        <v>1</v>
      </c>
      <c r="P390" s="4">
        <v>12</v>
      </c>
      <c r="Q390" t="s">
        <v>69</v>
      </c>
      <c r="R390" s="2">
        <v>46172</v>
      </c>
      <c r="S390" s="4">
        <v>31</v>
      </c>
      <c r="T390" s="3">
        <v>68000000</v>
      </c>
      <c r="U390" t="s">
        <v>42</v>
      </c>
      <c r="V390" t="s">
        <v>43</v>
      </c>
      <c r="W390" t="s">
        <v>290</v>
      </c>
      <c r="Y390" t="s">
        <v>291</v>
      </c>
      <c r="Z390" t="s">
        <v>3180</v>
      </c>
      <c r="AA390" t="s">
        <v>159</v>
      </c>
      <c r="AB390" t="s">
        <v>193</v>
      </c>
      <c r="AC390" t="s">
        <v>159</v>
      </c>
    </row>
    <row r="391" spans="1:29">
      <c r="A391" t="s">
        <v>786</v>
      </c>
      <c r="B391" s="2">
        <v>46174</v>
      </c>
      <c r="C391" t="s">
        <v>30</v>
      </c>
      <c r="D391" t="s">
        <v>134</v>
      </c>
      <c r="E391" t="s">
        <v>50</v>
      </c>
      <c r="F391" t="s">
        <v>351</v>
      </c>
      <c r="G391" t="s">
        <v>52</v>
      </c>
      <c r="H391" t="s">
        <v>53</v>
      </c>
      <c r="I391" t="s">
        <v>787</v>
      </c>
      <c r="J391" t="s">
        <v>3154</v>
      </c>
      <c r="K391" t="s">
        <v>37</v>
      </c>
      <c r="L391" t="s">
        <v>80</v>
      </c>
      <c r="M391" t="s">
        <v>164</v>
      </c>
      <c r="N391" t="s">
        <v>40</v>
      </c>
      <c r="O391" s="4">
        <v>2</v>
      </c>
      <c r="P391" s="4">
        <v>7</v>
      </c>
      <c r="Q391" t="s">
        <v>107</v>
      </c>
      <c r="R391" s="2">
        <v>46172</v>
      </c>
      <c r="S391" s="4">
        <v>31</v>
      </c>
      <c r="T391" s="3">
        <v>65000000</v>
      </c>
      <c r="U391" t="s">
        <v>42</v>
      </c>
      <c r="V391" t="s">
        <v>43</v>
      </c>
      <c r="W391" t="s">
        <v>239</v>
      </c>
      <c r="Y391" t="s">
        <v>45</v>
      </c>
      <c r="Z391" t="s">
        <v>3178</v>
      </c>
      <c r="AA391" t="s">
        <v>62</v>
      </c>
      <c r="AB391" t="s">
        <v>87</v>
      </c>
      <c r="AC391" t="s">
        <v>62</v>
      </c>
    </row>
    <row r="392" spans="1:29">
      <c r="A392" t="s">
        <v>788</v>
      </c>
      <c r="B392" s="2">
        <v>46201</v>
      </c>
      <c r="C392" t="s">
        <v>30</v>
      </c>
      <c r="D392" t="s">
        <v>49</v>
      </c>
      <c r="E392" t="s">
        <v>172</v>
      </c>
      <c r="F392" t="s">
        <v>195</v>
      </c>
      <c r="G392" t="s">
        <v>476</v>
      </c>
      <c r="H392" t="s">
        <v>241</v>
      </c>
      <c r="I392" t="s">
        <v>632</v>
      </c>
      <c r="J392" t="s">
        <v>3136</v>
      </c>
      <c r="K392" t="s">
        <v>92</v>
      </c>
      <c r="L392" t="s">
        <v>80</v>
      </c>
      <c r="M392" t="s">
        <v>39</v>
      </c>
      <c r="N392" t="s">
        <v>40</v>
      </c>
      <c r="O392" s="4">
        <v>2</v>
      </c>
      <c r="P392" s="4">
        <v>6</v>
      </c>
      <c r="Q392" t="s">
        <v>41</v>
      </c>
      <c r="R392" s="2">
        <v>46197</v>
      </c>
      <c r="S392" s="4">
        <v>6</v>
      </c>
      <c r="T392" s="3">
        <v>159000000</v>
      </c>
      <c r="U392" t="s">
        <v>42</v>
      </c>
      <c r="V392" t="s">
        <v>59</v>
      </c>
      <c r="W392" t="s">
        <v>44</v>
      </c>
      <c r="Y392" t="s">
        <v>309</v>
      </c>
      <c r="Z392" t="s">
        <v>3178</v>
      </c>
      <c r="AA392" t="s">
        <v>181</v>
      </c>
      <c r="AB392" t="s">
        <v>87</v>
      </c>
      <c r="AC392" t="s">
        <v>181</v>
      </c>
    </row>
    <row r="393" spans="1:29">
      <c r="A393" t="s">
        <v>789</v>
      </c>
      <c r="B393" s="2">
        <v>46175</v>
      </c>
      <c r="C393" t="s">
        <v>30</v>
      </c>
      <c r="D393" t="s">
        <v>134</v>
      </c>
      <c r="E393" t="s">
        <v>32</v>
      </c>
      <c r="F393" t="s">
        <v>273</v>
      </c>
      <c r="G393" t="s">
        <v>257</v>
      </c>
      <c r="H393" t="s">
        <v>303</v>
      </c>
      <c r="I393" t="s">
        <v>487</v>
      </c>
      <c r="J393" t="s">
        <v>3102</v>
      </c>
      <c r="K393" t="s">
        <v>37</v>
      </c>
      <c r="L393" t="s">
        <v>68</v>
      </c>
      <c r="M393" t="s">
        <v>81</v>
      </c>
      <c r="N393" t="s">
        <v>57</v>
      </c>
      <c r="O393" s="4">
        <v>3</v>
      </c>
      <c r="P393" s="4">
        <v>4</v>
      </c>
      <c r="Q393" t="s">
        <v>142</v>
      </c>
      <c r="R393" s="2">
        <v>46169</v>
      </c>
      <c r="S393" s="4">
        <v>34</v>
      </c>
      <c r="T393" s="3">
        <v>260000000</v>
      </c>
      <c r="U393" t="s">
        <v>42</v>
      </c>
      <c r="V393" t="s">
        <v>59</v>
      </c>
      <c r="W393" t="s">
        <v>71</v>
      </c>
      <c r="Y393" t="s">
        <v>158</v>
      </c>
      <c r="Z393" t="s">
        <v>3177</v>
      </c>
      <c r="AA393" t="s">
        <v>46</v>
      </c>
      <c r="AB393" t="s">
        <v>63</v>
      </c>
      <c r="AC393" t="s">
        <v>46</v>
      </c>
    </row>
    <row r="394" spans="1:29">
      <c r="A394" t="s">
        <v>790</v>
      </c>
      <c r="B394" s="2">
        <v>46184</v>
      </c>
      <c r="C394" t="s">
        <v>30</v>
      </c>
      <c r="D394" t="s">
        <v>99</v>
      </c>
      <c r="E394" t="s">
        <v>152</v>
      </c>
      <c r="F394" t="s">
        <v>205</v>
      </c>
      <c r="G394" t="s">
        <v>206</v>
      </c>
      <c r="H394" t="s">
        <v>283</v>
      </c>
      <c r="I394" t="s">
        <v>393</v>
      </c>
      <c r="J394" t="s">
        <v>3072</v>
      </c>
      <c r="K394" t="s">
        <v>105</v>
      </c>
      <c r="L394" t="s">
        <v>55</v>
      </c>
      <c r="M394" t="s">
        <v>129</v>
      </c>
      <c r="N394" t="s">
        <v>82</v>
      </c>
      <c r="O394" s="4">
        <v>1</v>
      </c>
      <c r="P394" s="4">
        <v>10</v>
      </c>
      <c r="Q394" t="s">
        <v>142</v>
      </c>
      <c r="R394" s="2">
        <v>46181</v>
      </c>
      <c r="S394" s="4">
        <v>22</v>
      </c>
      <c r="T394" s="3">
        <v>104000000</v>
      </c>
      <c r="U394" t="s">
        <v>42</v>
      </c>
      <c r="V394" t="s">
        <v>43</v>
      </c>
      <c r="W394" t="s">
        <v>290</v>
      </c>
      <c r="Y394" t="s">
        <v>291</v>
      </c>
      <c r="Z394" t="s">
        <v>3178</v>
      </c>
      <c r="AA394" t="s">
        <v>159</v>
      </c>
      <c r="AB394" t="s">
        <v>87</v>
      </c>
      <c r="AC394" t="s">
        <v>159</v>
      </c>
    </row>
    <row r="395" spans="1:29">
      <c r="A395" t="s">
        <v>791</v>
      </c>
      <c r="B395" s="2">
        <v>46192</v>
      </c>
      <c r="C395" t="s">
        <v>30</v>
      </c>
      <c r="D395" t="s">
        <v>74</v>
      </c>
      <c r="E395" t="s">
        <v>75</v>
      </c>
      <c r="F395" t="s">
        <v>161</v>
      </c>
      <c r="G395" t="s">
        <v>230</v>
      </c>
      <c r="H395" t="s">
        <v>185</v>
      </c>
      <c r="I395" t="s">
        <v>428</v>
      </c>
      <c r="J395" t="s">
        <v>3081</v>
      </c>
      <c r="K395" t="s">
        <v>37</v>
      </c>
      <c r="L395" t="s">
        <v>68</v>
      </c>
      <c r="M395" t="s">
        <v>106</v>
      </c>
      <c r="N395" t="s">
        <v>57</v>
      </c>
      <c r="O395" s="4">
        <v>3</v>
      </c>
      <c r="P395" s="4">
        <v>5</v>
      </c>
      <c r="Q395" t="s">
        <v>41</v>
      </c>
      <c r="R395" s="2">
        <v>46186</v>
      </c>
      <c r="S395" s="4">
        <v>17</v>
      </c>
      <c r="T395" s="3">
        <v>100000000</v>
      </c>
      <c r="U395" t="s">
        <v>42</v>
      </c>
      <c r="V395" t="s">
        <v>70</v>
      </c>
      <c r="W395" t="s">
        <v>60</v>
      </c>
      <c r="Y395" t="s">
        <v>72</v>
      </c>
      <c r="Z395" t="s">
        <v>3177</v>
      </c>
      <c r="AA395" t="s">
        <v>86</v>
      </c>
      <c r="AB395" t="s">
        <v>63</v>
      </c>
      <c r="AC395" t="s">
        <v>86</v>
      </c>
    </row>
    <row r="396" spans="1:29">
      <c r="A396" t="s">
        <v>792</v>
      </c>
      <c r="B396" s="2">
        <v>46180</v>
      </c>
      <c r="C396" t="s">
        <v>30</v>
      </c>
      <c r="D396" t="s">
        <v>134</v>
      </c>
      <c r="E396" t="s">
        <v>32</v>
      </c>
      <c r="F396" t="s">
        <v>256</v>
      </c>
      <c r="G396" t="s">
        <v>34</v>
      </c>
      <c r="H396" t="s">
        <v>35</v>
      </c>
      <c r="I396" t="s">
        <v>36</v>
      </c>
      <c r="J396" t="s">
        <v>3008</v>
      </c>
      <c r="K396" t="s">
        <v>37</v>
      </c>
      <c r="L396" t="s">
        <v>68</v>
      </c>
      <c r="M396" t="s">
        <v>129</v>
      </c>
      <c r="N396" t="s">
        <v>57</v>
      </c>
      <c r="O396" s="4">
        <v>3</v>
      </c>
      <c r="P396" s="4">
        <v>5</v>
      </c>
      <c r="Q396" t="s">
        <v>58</v>
      </c>
      <c r="R396" s="2">
        <v>46174</v>
      </c>
      <c r="S396" s="4">
        <v>29</v>
      </c>
      <c r="T396" s="3">
        <v>221000000</v>
      </c>
      <c r="U396" t="s">
        <v>260</v>
      </c>
      <c r="V396" t="s">
        <v>59</v>
      </c>
      <c r="W396" t="s">
        <v>203</v>
      </c>
      <c r="X396" t="s">
        <v>381</v>
      </c>
      <c r="Y396" t="s">
        <v>158</v>
      </c>
      <c r="Z396" t="s">
        <v>3177</v>
      </c>
      <c r="AA396" t="s">
        <v>46</v>
      </c>
      <c r="AB396" t="s">
        <v>63</v>
      </c>
      <c r="AC396" t="s">
        <v>46</v>
      </c>
    </row>
    <row r="397" spans="1:29">
      <c r="A397" t="s">
        <v>793</v>
      </c>
      <c r="B397" s="2">
        <v>46195</v>
      </c>
      <c r="C397" t="s">
        <v>30</v>
      </c>
      <c r="D397" t="s">
        <v>49</v>
      </c>
      <c r="E397" t="s">
        <v>120</v>
      </c>
      <c r="F397" t="s">
        <v>121</v>
      </c>
      <c r="G397" t="s">
        <v>420</v>
      </c>
      <c r="H397" t="s">
        <v>300</v>
      </c>
      <c r="I397" t="s">
        <v>421</v>
      </c>
      <c r="J397" t="s">
        <v>3080</v>
      </c>
      <c r="K397" t="s">
        <v>56</v>
      </c>
      <c r="L397" t="s">
        <v>150</v>
      </c>
      <c r="M397" t="s">
        <v>106</v>
      </c>
      <c r="N397" t="s">
        <v>130</v>
      </c>
      <c r="O397" s="4">
        <v>5</v>
      </c>
      <c r="P397" s="4">
        <v>14</v>
      </c>
      <c r="Q397" t="s">
        <v>69</v>
      </c>
      <c r="R397" s="2">
        <v>46187</v>
      </c>
      <c r="S397" s="4">
        <v>16</v>
      </c>
      <c r="T397" s="3">
        <v>186000000</v>
      </c>
      <c r="U397" t="s">
        <v>42</v>
      </c>
      <c r="V397" t="s">
        <v>59</v>
      </c>
      <c r="W397" t="s">
        <v>144</v>
      </c>
      <c r="Y397" t="s">
        <v>132</v>
      </c>
      <c r="Z397" t="s">
        <v>3179</v>
      </c>
      <c r="AA397" t="s">
        <v>97</v>
      </c>
      <c r="AB397" t="s">
        <v>97</v>
      </c>
      <c r="AC397" t="s">
        <v>97</v>
      </c>
    </row>
    <row r="398" spans="1:29">
      <c r="A398" t="s">
        <v>794</v>
      </c>
      <c r="B398" s="2">
        <v>46177</v>
      </c>
      <c r="C398" t="s">
        <v>30</v>
      </c>
      <c r="D398" t="s">
        <v>134</v>
      </c>
      <c r="E398" t="s">
        <v>75</v>
      </c>
      <c r="F398" t="s">
        <v>183</v>
      </c>
      <c r="G398" t="s">
        <v>77</v>
      </c>
      <c r="H398" t="s">
        <v>185</v>
      </c>
      <c r="I398" t="s">
        <v>795</v>
      </c>
      <c r="J398" t="s">
        <v>3155</v>
      </c>
      <c r="K398" t="s">
        <v>37</v>
      </c>
      <c r="L398" t="s">
        <v>80</v>
      </c>
      <c r="M398" t="s">
        <v>81</v>
      </c>
      <c r="N398" t="s">
        <v>57</v>
      </c>
      <c r="O398" s="4">
        <v>3</v>
      </c>
      <c r="P398" s="4">
        <v>11</v>
      </c>
      <c r="Q398" t="s">
        <v>138</v>
      </c>
      <c r="R398" s="2">
        <v>46175</v>
      </c>
      <c r="S398" s="4">
        <v>28</v>
      </c>
      <c r="T398" s="3">
        <v>145000000</v>
      </c>
      <c r="U398" t="s">
        <v>42</v>
      </c>
      <c r="V398" t="s">
        <v>59</v>
      </c>
      <c r="W398" t="s">
        <v>157</v>
      </c>
      <c r="Y398" t="s">
        <v>165</v>
      </c>
      <c r="Z398" t="s">
        <v>3177</v>
      </c>
      <c r="AA398" t="s">
        <v>86</v>
      </c>
      <c r="AB398" t="s">
        <v>63</v>
      </c>
      <c r="AC398" t="s">
        <v>86</v>
      </c>
    </row>
    <row r="399" spans="1:29">
      <c r="A399" t="s">
        <v>796</v>
      </c>
      <c r="B399" s="2">
        <v>46182</v>
      </c>
      <c r="C399" t="s">
        <v>30</v>
      </c>
      <c r="D399" t="s">
        <v>99</v>
      </c>
      <c r="E399" t="s">
        <v>32</v>
      </c>
      <c r="F399" t="s">
        <v>273</v>
      </c>
      <c r="G399" t="s">
        <v>257</v>
      </c>
      <c r="H399" t="s">
        <v>35</v>
      </c>
      <c r="I399" t="s">
        <v>323</v>
      </c>
      <c r="J399" t="s">
        <v>3052</v>
      </c>
      <c r="K399" t="s">
        <v>92</v>
      </c>
      <c r="L399" t="s">
        <v>55</v>
      </c>
      <c r="M399" t="s">
        <v>164</v>
      </c>
      <c r="N399" t="s">
        <v>130</v>
      </c>
      <c r="O399" s="4">
        <v>5</v>
      </c>
      <c r="P399" s="4">
        <v>6</v>
      </c>
      <c r="Q399" t="s">
        <v>58</v>
      </c>
      <c r="R399" s="2">
        <v>46180</v>
      </c>
      <c r="S399" s="4">
        <v>23</v>
      </c>
      <c r="T399" s="3">
        <v>131000000</v>
      </c>
      <c r="U399" t="s">
        <v>42</v>
      </c>
      <c r="V399" t="s">
        <v>143</v>
      </c>
      <c r="W399" t="s">
        <v>252</v>
      </c>
      <c r="Y399" t="s">
        <v>132</v>
      </c>
      <c r="Z399" t="s">
        <v>3179</v>
      </c>
      <c r="AA399" t="s">
        <v>46</v>
      </c>
      <c r="AB399" t="s">
        <v>97</v>
      </c>
      <c r="AC399" t="s">
        <v>46</v>
      </c>
    </row>
    <row r="400" spans="1:29">
      <c r="A400" t="s">
        <v>797</v>
      </c>
      <c r="B400" s="2">
        <v>46181</v>
      </c>
      <c r="C400" t="s">
        <v>30</v>
      </c>
      <c r="D400" t="s">
        <v>99</v>
      </c>
      <c r="E400" t="s">
        <v>111</v>
      </c>
      <c r="F400" t="s">
        <v>112</v>
      </c>
      <c r="G400" t="s">
        <v>251</v>
      </c>
      <c r="H400" t="s">
        <v>127</v>
      </c>
      <c r="I400" t="s">
        <v>311</v>
      </c>
      <c r="J400" t="s">
        <v>3048</v>
      </c>
      <c r="K400" t="s">
        <v>92</v>
      </c>
      <c r="L400" t="s">
        <v>55</v>
      </c>
      <c r="M400" t="s">
        <v>56</v>
      </c>
      <c r="N400" t="s">
        <v>94</v>
      </c>
      <c r="O400" s="4">
        <v>4</v>
      </c>
      <c r="P400" s="4">
        <v>9</v>
      </c>
      <c r="Q400" t="s">
        <v>83</v>
      </c>
      <c r="R400" s="2">
        <v>46176</v>
      </c>
      <c r="S400" s="4">
        <v>27</v>
      </c>
      <c r="T400" s="3">
        <v>225000000</v>
      </c>
      <c r="U400" t="s">
        <v>42</v>
      </c>
      <c r="V400" t="s">
        <v>70</v>
      </c>
      <c r="W400" t="s">
        <v>267</v>
      </c>
      <c r="Y400" t="s">
        <v>108</v>
      </c>
      <c r="Z400" t="s">
        <v>3179</v>
      </c>
      <c r="AA400" t="s">
        <v>118</v>
      </c>
      <c r="AB400" t="s">
        <v>97</v>
      </c>
      <c r="AC400" t="s">
        <v>118</v>
      </c>
    </row>
    <row r="401" spans="1:29">
      <c r="A401" t="s">
        <v>798</v>
      </c>
      <c r="B401" s="2">
        <v>46179</v>
      </c>
      <c r="C401" t="s">
        <v>30</v>
      </c>
      <c r="D401" t="s">
        <v>134</v>
      </c>
      <c r="E401" t="s">
        <v>172</v>
      </c>
      <c r="F401" t="s">
        <v>277</v>
      </c>
      <c r="G401" t="s">
        <v>289</v>
      </c>
      <c r="H401" t="s">
        <v>317</v>
      </c>
      <c r="I401" t="s">
        <v>478</v>
      </c>
      <c r="J401" t="s">
        <v>3099</v>
      </c>
      <c r="K401" t="s">
        <v>37</v>
      </c>
      <c r="L401" t="s">
        <v>187</v>
      </c>
      <c r="M401" t="s">
        <v>39</v>
      </c>
      <c r="N401" t="s">
        <v>82</v>
      </c>
      <c r="O401" s="4">
        <v>1</v>
      </c>
      <c r="P401" s="4">
        <v>6</v>
      </c>
      <c r="Q401" t="s">
        <v>107</v>
      </c>
      <c r="R401" s="2">
        <v>46173</v>
      </c>
      <c r="S401" s="4">
        <v>30</v>
      </c>
      <c r="T401" s="3">
        <v>79000000</v>
      </c>
      <c r="U401" t="s">
        <v>42</v>
      </c>
      <c r="V401" t="s">
        <v>43</v>
      </c>
      <c r="W401" t="s">
        <v>84</v>
      </c>
      <c r="Y401" t="s">
        <v>305</v>
      </c>
      <c r="Z401" t="s">
        <v>3178</v>
      </c>
      <c r="AA401" t="s">
        <v>181</v>
      </c>
      <c r="AB401" t="s">
        <v>87</v>
      </c>
      <c r="AC401" t="s">
        <v>181</v>
      </c>
    </row>
    <row r="402" spans="1:29">
      <c r="A402" t="s">
        <v>799</v>
      </c>
      <c r="B402" s="2">
        <v>46194</v>
      </c>
      <c r="C402" t="s">
        <v>30</v>
      </c>
      <c r="D402" t="s">
        <v>74</v>
      </c>
      <c r="E402" t="s">
        <v>100</v>
      </c>
      <c r="F402" t="s">
        <v>101</v>
      </c>
      <c r="G402" t="s">
        <v>237</v>
      </c>
      <c r="H402" t="s">
        <v>148</v>
      </c>
      <c r="I402" t="s">
        <v>800</v>
      </c>
      <c r="J402" t="s">
        <v>3156</v>
      </c>
      <c r="K402" t="s">
        <v>37</v>
      </c>
      <c r="L402" t="s">
        <v>150</v>
      </c>
      <c r="M402" t="s">
        <v>56</v>
      </c>
      <c r="N402" t="s">
        <v>213</v>
      </c>
      <c r="O402" s="4">
        <v>6</v>
      </c>
      <c r="P402" s="4">
        <v>10</v>
      </c>
      <c r="Q402" t="s">
        <v>142</v>
      </c>
      <c r="R402" s="2">
        <v>46185</v>
      </c>
      <c r="S402" s="4">
        <v>18</v>
      </c>
      <c r="T402" s="3">
        <v>100000000</v>
      </c>
      <c r="U402" t="s">
        <v>214</v>
      </c>
      <c r="V402" t="s">
        <v>143</v>
      </c>
      <c r="W402" t="s">
        <v>390</v>
      </c>
      <c r="Y402" t="s">
        <v>216</v>
      </c>
      <c r="Z402" t="s">
        <v>3179</v>
      </c>
      <c r="AA402" t="s">
        <v>109</v>
      </c>
      <c r="AB402" t="s">
        <v>97</v>
      </c>
      <c r="AC402" t="s">
        <v>109</v>
      </c>
    </row>
    <row r="403" spans="1:29">
      <c r="A403" t="s">
        <v>801</v>
      </c>
      <c r="B403" s="2">
        <v>46177</v>
      </c>
      <c r="C403" t="s">
        <v>30</v>
      </c>
      <c r="D403" t="s">
        <v>134</v>
      </c>
      <c r="E403" t="s">
        <v>120</v>
      </c>
      <c r="F403" t="s">
        <v>121</v>
      </c>
      <c r="G403" t="s">
        <v>224</v>
      </c>
      <c r="H403" t="s">
        <v>300</v>
      </c>
      <c r="I403" t="s">
        <v>445</v>
      </c>
      <c r="J403" t="s">
        <v>3087</v>
      </c>
      <c r="K403" t="s">
        <v>92</v>
      </c>
      <c r="L403" t="s">
        <v>80</v>
      </c>
      <c r="M403" t="s">
        <v>39</v>
      </c>
      <c r="N403" t="s">
        <v>40</v>
      </c>
      <c r="O403" s="4">
        <v>2</v>
      </c>
      <c r="P403" s="4">
        <v>8</v>
      </c>
      <c r="Q403" t="s">
        <v>107</v>
      </c>
      <c r="R403" s="2">
        <v>46169</v>
      </c>
      <c r="S403" s="4">
        <v>34</v>
      </c>
      <c r="T403" s="3">
        <v>155000000</v>
      </c>
      <c r="U403" t="s">
        <v>42</v>
      </c>
      <c r="V403" t="s">
        <v>43</v>
      </c>
      <c r="W403" t="s">
        <v>298</v>
      </c>
      <c r="Y403" t="s">
        <v>281</v>
      </c>
      <c r="Z403" t="s">
        <v>3178</v>
      </c>
      <c r="AA403" t="s">
        <v>97</v>
      </c>
      <c r="AB403" t="s">
        <v>87</v>
      </c>
      <c r="AC403" t="s">
        <v>97</v>
      </c>
    </row>
    <row r="404" spans="1:29">
      <c r="A404" t="s">
        <v>802</v>
      </c>
      <c r="B404" s="2">
        <v>46203</v>
      </c>
      <c r="C404" t="s">
        <v>30</v>
      </c>
      <c r="D404" t="s">
        <v>31</v>
      </c>
      <c r="E404" t="s">
        <v>172</v>
      </c>
      <c r="F404" t="s">
        <v>277</v>
      </c>
      <c r="G404" t="s">
        <v>338</v>
      </c>
      <c r="H404" t="s">
        <v>317</v>
      </c>
      <c r="I404" t="s">
        <v>756</v>
      </c>
      <c r="J404" t="s">
        <v>3152</v>
      </c>
      <c r="K404" t="s">
        <v>56</v>
      </c>
      <c r="L404" t="s">
        <v>187</v>
      </c>
      <c r="M404" t="s">
        <v>164</v>
      </c>
      <c r="N404" t="s">
        <v>57</v>
      </c>
      <c r="O404" s="4">
        <v>3</v>
      </c>
      <c r="P404" s="4">
        <v>3</v>
      </c>
      <c r="Q404" t="s">
        <v>41</v>
      </c>
      <c r="R404" s="2">
        <v>46202</v>
      </c>
      <c r="S404" s="4">
        <v>1</v>
      </c>
      <c r="T404" s="3">
        <v>184000000</v>
      </c>
      <c r="U404" t="s">
        <v>42</v>
      </c>
      <c r="V404" t="s">
        <v>59</v>
      </c>
      <c r="W404" t="s">
        <v>71</v>
      </c>
      <c r="Y404" t="s">
        <v>158</v>
      </c>
      <c r="Z404" t="s">
        <v>3177</v>
      </c>
      <c r="AA404" t="s">
        <v>181</v>
      </c>
      <c r="AB404" t="s">
        <v>63</v>
      </c>
      <c r="AC404" t="s">
        <v>181</v>
      </c>
    </row>
    <row r="405" spans="1:29">
      <c r="A405" t="s">
        <v>803</v>
      </c>
      <c r="B405" s="2">
        <v>46178</v>
      </c>
      <c r="C405" t="s">
        <v>30</v>
      </c>
      <c r="D405" t="s">
        <v>134</v>
      </c>
      <c r="E405" t="s">
        <v>75</v>
      </c>
      <c r="F405" t="s">
        <v>161</v>
      </c>
      <c r="G405" t="s">
        <v>184</v>
      </c>
      <c r="H405" t="s">
        <v>388</v>
      </c>
      <c r="I405" t="s">
        <v>576</v>
      </c>
      <c r="J405" t="s">
        <v>3123</v>
      </c>
      <c r="K405" t="s">
        <v>92</v>
      </c>
      <c r="L405" t="s">
        <v>55</v>
      </c>
      <c r="M405" t="s">
        <v>129</v>
      </c>
      <c r="N405" t="s">
        <v>130</v>
      </c>
      <c r="O405" s="4">
        <v>5</v>
      </c>
      <c r="P405" s="4">
        <v>8</v>
      </c>
      <c r="Q405" t="s">
        <v>83</v>
      </c>
      <c r="R405" s="2">
        <v>46168</v>
      </c>
      <c r="S405" s="4">
        <v>35</v>
      </c>
      <c r="T405" s="3">
        <v>159000000</v>
      </c>
      <c r="U405" t="s">
        <v>42</v>
      </c>
      <c r="V405" t="s">
        <v>70</v>
      </c>
      <c r="W405" t="s">
        <v>144</v>
      </c>
      <c r="Y405" t="s">
        <v>262</v>
      </c>
      <c r="Z405" t="s">
        <v>3179</v>
      </c>
      <c r="AA405" t="s">
        <v>86</v>
      </c>
      <c r="AB405" t="s">
        <v>97</v>
      </c>
      <c r="AC405" t="s">
        <v>86</v>
      </c>
    </row>
    <row r="406" spans="1:29">
      <c r="A406" t="s">
        <v>804</v>
      </c>
      <c r="B406" s="2">
        <v>46178</v>
      </c>
      <c r="C406" t="s">
        <v>30</v>
      </c>
      <c r="D406" t="s">
        <v>134</v>
      </c>
      <c r="E406" t="s">
        <v>32</v>
      </c>
      <c r="F406" t="s">
        <v>33</v>
      </c>
      <c r="G406" t="s">
        <v>218</v>
      </c>
      <c r="H406" t="s">
        <v>258</v>
      </c>
      <c r="I406" t="s">
        <v>568</v>
      </c>
      <c r="J406" t="s">
        <v>3121</v>
      </c>
      <c r="K406" t="s">
        <v>105</v>
      </c>
      <c r="L406" t="s">
        <v>187</v>
      </c>
      <c r="M406" t="s">
        <v>56</v>
      </c>
      <c r="N406" t="s">
        <v>57</v>
      </c>
      <c r="O406" s="4">
        <v>3</v>
      </c>
      <c r="P406" s="4">
        <v>2</v>
      </c>
      <c r="Q406" t="s">
        <v>83</v>
      </c>
      <c r="R406" s="2">
        <v>46168</v>
      </c>
      <c r="S406" s="4">
        <v>35</v>
      </c>
      <c r="T406" s="3">
        <v>362000000</v>
      </c>
      <c r="U406" t="s">
        <v>42</v>
      </c>
      <c r="V406" t="s">
        <v>59</v>
      </c>
      <c r="W406" t="s">
        <v>157</v>
      </c>
      <c r="Y406" t="s">
        <v>72</v>
      </c>
      <c r="Z406" t="s">
        <v>3177</v>
      </c>
      <c r="AA406" t="s">
        <v>46</v>
      </c>
      <c r="AB406" t="s">
        <v>63</v>
      </c>
      <c r="AC406" t="s">
        <v>46</v>
      </c>
    </row>
    <row r="407" spans="1:29">
      <c r="A407" t="s">
        <v>805</v>
      </c>
      <c r="B407" s="2">
        <v>46175</v>
      </c>
      <c r="C407" t="s">
        <v>30</v>
      </c>
      <c r="D407" t="s">
        <v>134</v>
      </c>
      <c r="E407" t="s">
        <v>111</v>
      </c>
      <c r="F407" t="s">
        <v>112</v>
      </c>
      <c r="G407" t="s">
        <v>113</v>
      </c>
      <c r="H407" t="s">
        <v>114</v>
      </c>
      <c r="I407" t="s">
        <v>266</v>
      </c>
      <c r="J407" t="s">
        <v>3037</v>
      </c>
      <c r="K407" t="s">
        <v>116</v>
      </c>
      <c r="L407" t="s">
        <v>80</v>
      </c>
      <c r="M407" t="s">
        <v>56</v>
      </c>
      <c r="N407" t="s">
        <v>196</v>
      </c>
      <c r="O407" s="4">
        <v>7</v>
      </c>
      <c r="P407" s="4">
        <v>13</v>
      </c>
      <c r="Q407" t="s">
        <v>83</v>
      </c>
      <c r="R407" s="2">
        <v>46170</v>
      </c>
      <c r="S407" s="4">
        <v>33</v>
      </c>
      <c r="T407" s="3">
        <v>78000000</v>
      </c>
      <c r="U407" t="s">
        <v>196</v>
      </c>
      <c r="V407" t="s">
        <v>70</v>
      </c>
      <c r="W407" t="s">
        <v>209</v>
      </c>
      <c r="Y407" t="s">
        <v>244</v>
      </c>
      <c r="Z407" t="s">
        <v>3181</v>
      </c>
      <c r="AA407" t="s">
        <v>118</v>
      </c>
      <c r="AB407" t="s">
        <v>199</v>
      </c>
      <c r="AC407" t="s">
        <v>118</v>
      </c>
    </row>
    <row r="408" spans="1:29">
      <c r="A408" t="s">
        <v>806</v>
      </c>
      <c r="B408" s="2">
        <v>46187</v>
      </c>
      <c r="C408" t="s">
        <v>30</v>
      </c>
      <c r="D408" t="s">
        <v>99</v>
      </c>
      <c r="E408" t="s">
        <v>120</v>
      </c>
      <c r="F408" t="s">
        <v>121</v>
      </c>
      <c r="G408" t="s">
        <v>420</v>
      </c>
      <c r="H408" t="s">
        <v>136</v>
      </c>
      <c r="I408" t="s">
        <v>275</v>
      </c>
      <c r="J408" t="s">
        <v>3039</v>
      </c>
      <c r="K408" t="s">
        <v>37</v>
      </c>
      <c r="L408" t="s">
        <v>55</v>
      </c>
      <c r="M408" t="s">
        <v>164</v>
      </c>
      <c r="N408" t="s">
        <v>57</v>
      </c>
      <c r="O408" s="4">
        <v>3</v>
      </c>
      <c r="P408" s="4">
        <v>4</v>
      </c>
      <c r="Q408" t="s">
        <v>83</v>
      </c>
      <c r="R408" s="2">
        <v>46182</v>
      </c>
      <c r="S408" s="4">
        <v>21</v>
      </c>
      <c r="T408" s="3">
        <v>250000000</v>
      </c>
      <c r="U408" t="s">
        <v>42</v>
      </c>
      <c r="V408" t="s">
        <v>43</v>
      </c>
      <c r="W408" t="s">
        <v>203</v>
      </c>
      <c r="Y408" t="s">
        <v>61</v>
      </c>
      <c r="Z408" t="s">
        <v>3177</v>
      </c>
      <c r="AA408" t="s">
        <v>97</v>
      </c>
      <c r="AB408" t="s">
        <v>63</v>
      </c>
      <c r="AC408" t="s">
        <v>97</v>
      </c>
    </row>
    <row r="409" spans="1:29">
      <c r="A409" t="s">
        <v>807</v>
      </c>
      <c r="B409" s="2">
        <v>46188</v>
      </c>
      <c r="C409" t="s">
        <v>30</v>
      </c>
      <c r="D409" t="s">
        <v>74</v>
      </c>
      <c r="E409" t="s">
        <v>75</v>
      </c>
      <c r="F409" t="s">
        <v>161</v>
      </c>
      <c r="G409" t="s">
        <v>230</v>
      </c>
      <c r="H409" t="s">
        <v>185</v>
      </c>
      <c r="I409" t="s">
        <v>428</v>
      </c>
      <c r="J409" t="s">
        <v>3081</v>
      </c>
      <c r="K409" t="s">
        <v>105</v>
      </c>
      <c r="L409" t="s">
        <v>150</v>
      </c>
      <c r="M409" t="s">
        <v>81</v>
      </c>
      <c r="N409" t="s">
        <v>57</v>
      </c>
      <c r="O409" s="4">
        <v>3</v>
      </c>
      <c r="P409" s="4">
        <v>4</v>
      </c>
      <c r="Q409" t="s">
        <v>138</v>
      </c>
      <c r="R409" s="2">
        <v>46178</v>
      </c>
      <c r="S409" s="4">
        <v>25</v>
      </c>
      <c r="T409" s="3">
        <v>140000000</v>
      </c>
      <c r="U409" t="s">
        <v>42</v>
      </c>
      <c r="V409" t="s">
        <v>43</v>
      </c>
      <c r="W409" t="s">
        <v>60</v>
      </c>
      <c r="Y409" t="s">
        <v>158</v>
      </c>
      <c r="Z409" t="s">
        <v>3177</v>
      </c>
      <c r="AA409" t="s">
        <v>86</v>
      </c>
      <c r="AB409" t="s">
        <v>63</v>
      </c>
      <c r="AC409" t="s">
        <v>86</v>
      </c>
    </row>
    <row r="410" spans="1:29">
      <c r="A410" t="s">
        <v>808</v>
      </c>
      <c r="B410" s="2">
        <v>46197</v>
      </c>
      <c r="C410" t="s">
        <v>30</v>
      </c>
      <c r="D410" t="s">
        <v>49</v>
      </c>
      <c r="E410" t="s">
        <v>172</v>
      </c>
      <c r="F410" t="s">
        <v>277</v>
      </c>
      <c r="G410" t="s">
        <v>338</v>
      </c>
      <c r="H410" t="s">
        <v>241</v>
      </c>
      <c r="I410" t="s">
        <v>457</v>
      </c>
      <c r="J410" t="s">
        <v>3092</v>
      </c>
      <c r="K410" t="s">
        <v>116</v>
      </c>
      <c r="L410" t="s">
        <v>80</v>
      </c>
      <c r="M410" t="s">
        <v>129</v>
      </c>
      <c r="N410" t="s">
        <v>57</v>
      </c>
      <c r="O410" s="4">
        <v>3</v>
      </c>
      <c r="P410" s="4">
        <v>9</v>
      </c>
      <c r="Q410" t="s">
        <v>83</v>
      </c>
      <c r="R410" s="2">
        <v>46194</v>
      </c>
      <c r="S410" s="4">
        <v>9</v>
      </c>
      <c r="T410" s="3">
        <v>93000000</v>
      </c>
      <c r="U410" t="s">
        <v>42</v>
      </c>
      <c r="V410" t="s">
        <v>59</v>
      </c>
      <c r="W410" t="s">
        <v>60</v>
      </c>
      <c r="Y410" t="s">
        <v>61</v>
      </c>
      <c r="Z410" t="s">
        <v>3177</v>
      </c>
      <c r="AA410" t="s">
        <v>181</v>
      </c>
      <c r="AB410" t="s">
        <v>63</v>
      </c>
      <c r="AC410" t="s">
        <v>181</v>
      </c>
    </row>
    <row r="411" spans="1:29">
      <c r="A411" t="s">
        <v>809</v>
      </c>
      <c r="B411" s="2">
        <v>46201</v>
      </c>
      <c r="C411" t="s">
        <v>30</v>
      </c>
      <c r="D411" t="s">
        <v>49</v>
      </c>
      <c r="E411" t="s">
        <v>75</v>
      </c>
      <c r="F411" t="s">
        <v>76</v>
      </c>
      <c r="G411" t="s">
        <v>184</v>
      </c>
      <c r="H411" t="s">
        <v>78</v>
      </c>
      <c r="I411" t="s">
        <v>810</v>
      </c>
      <c r="J411" t="s">
        <v>3157</v>
      </c>
      <c r="K411" t="s">
        <v>105</v>
      </c>
      <c r="L411" t="s">
        <v>80</v>
      </c>
      <c r="M411" t="s">
        <v>106</v>
      </c>
      <c r="N411" t="s">
        <v>82</v>
      </c>
      <c r="O411" s="4">
        <v>1</v>
      </c>
      <c r="P411" s="4">
        <v>4</v>
      </c>
      <c r="Q411" t="s">
        <v>142</v>
      </c>
      <c r="R411" s="2">
        <v>46196</v>
      </c>
      <c r="S411" s="4">
        <v>7</v>
      </c>
      <c r="T411" s="3">
        <v>137000000</v>
      </c>
      <c r="U411" t="s">
        <v>42</v>
      </c>
      <c r="V411" t="s">
        <v>43</v>
      </c>
      <c r="W411" t="s">
        <v>84</v>
      </c>
      <c r="Y411" t="s">
        <v>330</v>
      </c>
      <c r="Z411" t="s">
        <v>3176</v>
      </c>
      <c r="AA411" t="s">
        <v>86</v>
      </c>
      <c r="AB411" t="s">
        <v>47</v>
      </c>
      <c r="AC411" t="s">
        <v>86</v>
      </c>
    </row>
    <row r="412" spans="1:29">
      <c r="A412" t="s">
        <v>811</v>
      </c>
      <c r="B412" s="2">
        <v>46183</v>
      </c>
      <c r="C412" t="s">
        <v>30</v>
      </c>
      <c r="D412" t="s">
        <v>99</v>
      </c>
      <c r="E412" t="s">
        <v>50</v>
      </c>
      <c r="F412" t="s">
        <v>351</v>
      </c>
      <c r="G412" t="s">
        <v>65</v>
      </c>
      <c r="H412" t="s">
        <v>53</v>
      </c>
      <c r="I412" t="s">
        <v>787</v>
      </c>
      <c r="J412" t="s">
        <v>3154</v>
      </c>
      <c r="K412" t="s">
        <v>37</v>
      </c>
      <c r="L412" t="s">
        <v>169</v>
      </c>
      <c r="M412" t="s">
        <v>164</v>
      </c>
      <c r="N412" t="s">
        <v>82</v>
      </c>
      <c r="O412" s="4">
        <v>1</v>
      </c>
      <c r="P412" s="4">
        <v>10</v>
      </c>
      <c r="Q412" t="s">
        <v>41</v>
      </c>
      <c r="R412" s="2">
        <v>46183</v>
      </c>
      <c r="S412" s="4">
        <v>20</v>
      </c>
      <c r="T412" s="3">
        <v>167000000</v>
      </c>
      <c r="U412" t="s">
        <v>42</v>
      </c>
      <c r="V412" t="s">
        <v>43</v>
      </c>
      <c r="W412" t="s">
        <v>84</v>
      </c>
      <c r="Y412" t="s">
        <v>330</v>
      </c>
      <c r="Z412" t="s">
        <v>3178</v>
      </c>
      <c r="AA412" t="s">
        <v>62</v>
      </c>
      <c r="AB412" t="s">
        <v>87</v>
      </c>
      <c r="AC412" t="s">
        <v>62</v>
      </c>
    </row>
    <row r="413" spans="1:29">
      <c r="A413" t="s">
        <v>812</v>
      </c>
      <c r="B413" s="2">
        <v>46194</v>
      </c>
      <c r="C413" t="s">
        <v>30</v>
      </c>
      <c r="D413" t="s">
        <v>74</v>
      </c>
      <c r="E413" t="s">
        <v>152</v>
      </c>
      <c r="F413" t="s">
        <v>205</v>
      </c>
      <c r="G413" t="s">
        <v>154</v>
      </c>
      <c r="H413" t="s">
        <v>155</v>
      </c>
      <c r="I413" t="s">
        <v>375</v>
      </c>
      <c r="J413" t="s">
        <v>3067</v>
      </c>
      <c r="K413" t="s">
        <v>37</v>
      </c>
      <c r="L413" t="s">
        <v>187</v>
      </c>
      <c r="M413" t="s">
        <v>106</v>
      </c>
      <c r="N413" t="s">
        <v>94</v>
      </c>
      <c r="O413" s="4">
        <v>4</v>
      </c>
      <c r="P413" s="4">
        <v>10</v>
      </c>
      <c r="Q413" t="s">
        <v>142</v>
      </c>
      <c r="R413" s="2">
        <v>46193</v>
      </c>
      <c r="S413" s="4">
        <v>10</v>
      </c>
      <c r="T413" s="3">
        <v>261000000</v>
      </c>
      <c r="U413" t="s">
        <v>42</v>
      </c>
      <c r="V413" t="s">
        <v>59</v>
      </c>
      <c r="W413" t="s">
        <v>188</v>
      </c>
      <c r="Y413" t="s">
        <v>96</v>
      </c>
      <c r="Z413" t="s">
        <v>3179</v>
      </c>
      <c r="AA413" t="s">
        <v>159</v>
      </c>
      <c r="AB413" t="s">
        <v>97</v>
      </c>
      <c r="AC413" t="s">
        <v>159</v>
      </c>
    </row>
    <row r="414" spans="1:29">
      <c r="A414" t="s">
        <v>813</v>
      </c>
      <c r="B414" s="2">
        <v>46193</v>
      </c>
      <c r="C414" t="s">
        <v>30</v>
      </c>
      <c r="D414" t="s">
        <v>74</v>
      </c>
      <c r="E414" t="s">
        <v>100</v>
      </c>
      <c r="F414" t="s">
        <v>146</v>
      </c>
      <c r="G414" t="s">
        <v>147</v>
      </c>
      <c r="H414" t="s">
        <v>103</v>
      </c>
      <c r="I414" t="s">
        <v>141</v>
      </c>
      <c r="J414" t="s">
        <v>3018</v>
      </c>
      <c r="K414" t="s">
        <v>116</v>
      </c>
      <c r="L414" t="s">
        <v>187</v>
      </c>
      <c r="M414" t="s">
        <v>129</v>
      </c>
      <c r="N414" t="s">
        <v>57</v>
      </c>
      <c r="O414" s="4">
        <v>3</v>
      </c>
      <c r="P414" s="4">
        <v>8</v>
      </c>
      <c r="Q414" t="s">
        <v>107</v>
      </c>
      <c r="R414" s="2">
        <v>46192</v>
      </c>
      <c r="S414" s="4">
        <v>11</v>
      </c>
      <c r="T414" s="3">
        <v>172000000</v>
      </c>
      <c r="U414" t="s">
        <v>42</v>
      </c>
      <c r="V414" t="s">
        <v>43</v>
      </c>
      <c r="W414" t="s">
        <v>60</v>
      </c>
      <c r="Y414" t="s">
        <v>72</v>
      </c>
      <c r="Z414" t="s">
        <v>3177</v>
      </c>
      <c r="AA414" t="s">
        <v>109</v>
      </c>
      <c r="AB414" t="s">
        <v>63</v>
      </c>
      <c r="AC414" t="s">
        <v>109</v>
      </c>
    </row>
    <row r="415" spans="1:29">
      <c r="A415" t="s">
        <v>814</v>
      </c>
      <c r="B415" s="2">
        <v>46198</v>
      </c>
      <c r="C415" t="s">
        <v>30</v>
      </c>
      <c r="D415" t="s">
        <v>49</v>
      </c>
      <c r="E415" t="s">
        <v>172</v>
      </c>
      <c r="F415" t="s">
        <v>173</v>
      </c>
      <c r="G415" t="s">
        <v>289</v>
      </c>
      <c r="H415" t="s">
        <v>317</v>
      </c>
      <c r="I415" t="s">
        <v>815</v>
      </c>
      <c r="J415" t="s">
        <v>3158</v>
      </c>
      <c r="K415" t="s">
        <v>37</v>
      </c>
      <c r="L415" t="s">
        <v>55</v>
      </c>
      <c r="M415" t="s">
        <v>81</v>
      </c>
      <c r="N415" t="s">
        <v>82</v>
      </c>
      <c r="O415" s="4">
        <v>1</v>
      </c>
      <c r="P415" s="4">
        <v>7</v>
      </c>
      <c r="Q415" t="s">
        <v>107</v>
      </c>
      <c r="R415" s="2">
        <v>46191</v>
      </c>
      <c r="S415" s="4">
        <v>12</v>
      </c>
      <c r="T415" s="3">
        <v>129000000</v>
      </c>
      <c r="U415" t="s">
        <v>42</v>
      </c>
      <c r="V415" t="s">
        <v>43</v>
      </c>
      <c r="W415" t="s">
        <v>404</v>
      </c>
      <c r="Y415" t="s">
        <v>85</v>
      </c>
      <c r="Z415" t="s">
        <v>3178</v>
      </c>
      <c r="AA415" t="s">
        <v>181</v>
      </c>
      <c r="AB415" t="s">
        <v>87</v>
      </c>
      <c r="AC415" t="s">
        <v>181</v>
      </c>
    </row>
    <row r="416" spans="1:29">
      <c r="A416" t="s">
        <v>816</v>
      </c>
      <c r="B416" s="2">
        <v>46190</v>
      </c>
      <c r="C416" t="s">
        <v>30</v>
      </c>
      <c r="D416" t="s">
        <v>74</v>
      </c>
      <c r="E416" t="s">
        <v>172</v>
      </c>
      <c r="F416" t="s">
        <v>195</v>
      </c>
      <c r="G416" t="s">
        <v>289</v>
      </c>
      <c r="H416" t="s">
        <v>317</v>
      </c>
      <c r="I416" t="s">
        <v>815</v>
      </c>
      <c r="J416" t="s">
        <v>3158</v>
      </c>
      <c r="K416" t="s">
        <v>105</v>
      </c>
      <c r="L416" t="s">
        <v>169</v>
      </c>
      <c r="M416" t="s">
        <v>93</v>
      </c>
      <c r="N416" t="s">
        <v>57</v>
      </c>
      <c r="O416" s="4">
        <v>3</v>
      </c>
      <c r="P416" s="4">
        <v>7</v>
      </c>
      <c r="Q416" t="s">
        <v>83</v>
      </c>
      <c r="R416" s="2">
        <v>46183</v>
      </c>
      <c r="S416" s="4">
        <v>20</v>
      </c>
      <c r="T416" s="3">
        <v>77000000</v>
      </c>
      <c r="U416" t="s">
        <v>42</v>
      </c>
      <c r="V416" t="s">
        <v>43</v>
      </c>
      <c r="W416" t="s">
        <v>71</v>
      </c>
      <c r="Y416" t="s">
        <v>61</v>
      </c>
      <c r="Z416" t="s">
        <v>3177</v>
      </c>
      <c r="AA416" t="s">
        <v>181</v>
      </c>
      <c r="AB416" t="s">
        <v>63</v>
      </c>
      <c r="AC416" t="s">
        <v>181</v>
      </c>
    </row>
    <row r="417" spans="1:29">
      <c r="A417" t="s">
        <v>817</v>
      </c>
      <c r="B417" s="2">
        <v>46191</v>
      </c>
      <c r="C417" t="s">
        <v>30</v>
      </c>
      <c r="D417" t="s">
        <v>74</v>
      </c>
      <c r="E417" t="s">
        <v>120</v>
      </c>
      <c r="F417" t="s">
        <v>167</v>
      </c>
      <c r="G417" t="s">
        <v>122</v>
      </c>
      <c r="H417" t="s">
        <v>123</v>
      </c>
      <c r="I417" t="s">
        <v>225</v>
      </c>
      <c r="J417" t="s">
        <v>3030</v>
      </c>
      <c r="K417" t="s">
        <v>56</v>
      </c>
      <c r="L417" t="s">
        <v>187</v>
      </c>
      <c r="M417" t="s">
        <v>39</v>
      </c>
      <c r="N417" t="s">
        <v>57</v>
      </c>
      <c r="O417" s="4">
        <v>3</v>
      </c>
      <c r="P417" s="4">
        <v>5</v>
      </c>
      <c r="Q417" t="s">
        <v>41</v>
      </c>
      <c r="R417" s="2">
        <v>46184</v>
      </c>
      <c r="S417" s="4">
        <v>19</v>
      </c>
      <c r="T417" s="3">
        <v>145000000</v>
      </c>
      <c r="U417" t="s">
        <v>177</v>
      </c>
      <c r="V417" t="s">
        <v>43</v>
      </c>
      <c r="W417" t="s">
        <v>60</v>
      </c>
      <c r="X417" t="s">
        <v>381</v>
      </c>
      <c r="Y417" t="s">
        <v>61</v>
      </c>
      <c r="Z417" t="s">
        <v>3177</v>
      </c>
      <c r="AA417" t="s">
        <v>97</v>
      </c>
      <c r="AB417" t="s">
        <v>63</v>
      </c>
      <c r="AC417" t="s">
        <v>97</v>
      </c>
    </row>
    <row r="418" spans="1:29">
      <c r="A418" t="s">
        <v>818</v>
      </c>
      <c r="B418" s="2">
        <v>46193</v>
      </c>
      <c r="C418" t="s">
        <v>30</v>
      </c>
      <c r="D418" t="s">
        <v>74</v>
      </c>
      <c r="E418" t="s">
        <v>50</v>
      </c>
      <c r="F418" t="s">
        <v>51</v>
      </c>
      <c r="G418" t="s">
        <v>52</v>
      </c>
      <c r="H418" t="s">
        <v>66</v>
      </c>
      <c r="I418" t="s">
        <v>346</v>
      </c>
      <c r="J418" t="s">
        <v>3058</v>
      </c>
      <c r="K418" t="s">
        <v>37</v>
      </c>
      <c r="L418" t="s">
        <v>80</v>
      </c>
      <c r="M418" t="s">
        <v>129</v>
      </c>
      <c r="N418" t="s">
        <v>57</v>
      </c>
      <c r="O418" s="4">
        <v>3</v>
      </c>
      <c r="P418" s="4">
        <v>5</v>
      </c>
      <c r="Q418" t="s">
        <v>41</v>
      </c>
      <c r="R418" s="2">
        <v>46187</v>
      </c>
      <c r="S418" s="4">
        <v>16</v>
      </c>
      <c r="T418" s="3">
        <v>165000000</v>
      </c>
      <c r="U418" t="s">
        <v>42</v>
      </c>
      <c r="V418" t="s">
        <v>43</v>
      </c>
      <c r="W418" t="s">
        <v>71</v>
      </c>
      <c r="Y418" t="s">
        <v>165</v>
      </c>
      <c r="Z418" t="s">
        <v>3177</v>
      </c>
      <c r="AA418" t="s">
        <v>62</v>
      </c>
      <c r="AB418" t="s">
        <v>63</v>
      </c>
      <c r="AC418" t="s">
        <v>62</v>
      </c>
    </row>
    <row r="419" spans="1:29">
      <c r="A419" t="s">
        <v>819</v>
      </c>
      <c r="B419" s="2">
        <v>46195</v>
      </c>
      <c r="C419" t="s">
        <v>30</v>
      </c>
      <c r="D419" t="s">
        <v>49</v>
      </c>
      <c r="E419" t="s">
        <v>152</v>
      </c>
      <c r="F419" t="s">
        <v>221</v>
      </c>
      <c r="G419" t="s">
        <v>286</v>
      </c>
      <c r="H419" t="s">
        <v>283</v>
      </c>
      <c r="I419" t="s">
        <v>295</v>
      </c>
      <c r="J419" t="s">
        <v>3043</v>
      </c>
      <c r="K419" t="s">
        <v>105</v>
      </c>
      <c r="L419" t="s">
        <v>68</v>
      </c>
      <c r="M419" t="s">
        <v>106</v>
      </c>
      <c r="N419" t="s">
        <v>130</v>
      </c>
      <c r="O419" s="4">
        <v>5</v>
      </c>
      <c r="P419" s="4">
        <v>10</v>
      </c>
      <c r="Q419" t="s">
        <v>142</v>
      </c>
      <c r="R419" s="2">
        <v>46191</v>
      </c>
      <c r="S419" s="4">
        <v>12</v>
      </c>
      <c r="T419" s="3">
        <v>110000000</v>
      </c>
      <c r="U419" t="s">
        <v>426</v>
      </c>
      <c r="V419" t="s">
        <v>143</v>
      </c>
      <c r="W419" t="s">
        <v>144</v>
      </c>
      <c r="X419" t="s">
        <v>308</v>
      </c>
      <c r="Y419" t="s">
        <v>334</v>
      </c>
      <c r="Z419" t="s">
        <v>3179</v>
      </c>
      <c r="AA419" t="s">
        <v>159</v>
      </c>
      <c r="AB419" t="s">
        <v>97</v>
      </c>
      <c r="AC419" t="s">
        <v>159</v>
      </c>
    </row>
    <row r="420" spans="1:29">
      <c r="A420" t="s">
        <v>820</v>
      </c>
      <c r="B420" s="2">
        <v>46193</v>
      </c>
      <c r="C420" t="s">
        <v>30</v>
      </c>
      <c r="D420" t="s">
        <v>74</v>
      </c>
      <c r="E420" t="s">
        <v>152</v>
      </c>
      <c r="F420" t="s">
        <v>221</v>
      </c>
      <c r="G420" t="s">
        <v>154</v>
      </c>
      <c r="H420" t="s">
        <v>155</v>
      </c>
      <c r="I420" t="s">
        <v>418</v>
      </c>
      <c r="J420" t="s">
        <v>3079</v>
      </c>
      <c r="K420" t="s">
        <v>105</v>
      </c>
      <c r="L420" t="s">
        <v>68</v>
      </c>
      <c r="M420" t="s">
        <v>93</v>
      </c>
      <c r="N420" t="s">
        <v>82</v>
      </c>
      <c r="O420" s="4">
        <v>1</v>
      </c>
      <c r="P420" s="4">
        <v>11</v>
      </c>
      <c r="Q420" t="s">
        <v>107</v>
      </c>
      <c r="R420" s="2">
        <v>46191</v>
      </c>
      <c r="S420" s="4">
        <v>12</v>
      </c>
      <c r="T420" s="3">
        <v>220000000</v>
      </c>
      <c r="U420" t="s">
        <v>42</v>
      </c>
      <c r="V420" t="s">
        <v>59</v>
      </c>
      <c r="W420" t="s">
        <v>404</v>
      </c>
      <c r="Y420" t="s">
        <v>305</v>
      </c>
      <c r="Z420" t="s">
        <v>3178</v>
      </c>
      <c r="AA420" t="s">
        <v>159</v>
      </c>
      <c r="AB420" t="s">
        <v>87</v>
      </c>
      <c r="AC420" t="s">
        <v>159</v>
      </c>
    </row>
    <row r="421" spans="1:29">
      <c r="A421" t="s">
        <v>821</v>
      </c>
      <c r="B421" s="2">
        <v>46180</v>
      </c>
      <c r="C421" t="s">
        <v>30</v>
      </c>
      <c r="D421" t="s">
        <v>134</v>
      </c>
      <c r="E421" t="s">
        <v>172</v>
      </c>
      <c r="F421" t="s">
        <v>195</v>
      </c>
      <c r="G421" t="s">
        <v>278</v>
      </c>
      <c r="H421" t="s">
        <v>317</v>
      </c>
      <c r="I421" t="s">
        <v>478</v>
      </c>
      <c r="J421" t="s">
        <v>3099</v>
      </c>
      <c r="K421" t="s">
        <v>105</v>
      </c>
      <c r="L421" t="s">
        <v>150</v>
      </c>
      <c r="M421" t="s">
        <v>164</v>
      </c>
      <c r="N421" t="s">
        <v>82</v>
      </c>
      <c r="O421" s="4">
        <v>1</v>
      </c>
      <c r="P421" s="4">
        <v>5</v>
      </c>
      <c r="Q421" t="s">
        <v>58</v>
      </c>
      <c r="R421" s="2">
        <v>46174</v>
      </c>
      <c r="S421" s="4">
        <v>29</v>
      </c>
      <c r="T421" s="3">
        <v>166000000</v>
      </c>
      <c r="U421" t="s">
        <v>42</v>
      </c>
      <c r="V421" t="s">
        <v>59</v>
      </c>
      <c r="W421" t="s">
        <v>404</v>
      </c>
      <c r="Y421" t="s">
        <v>305</v>
      </c>
      <c r="Z421" t="s">
        <v>3178</v>
      </c>
      <c r="AA421" t="s">
        <v>181</v>
      </c>
      <c r="AB421" t="s">
        <v>87</v>
      </c>
      <c r="AC421" t="s">
        <v>181</v>
      </c>
    </row>
    <row r="422" spans="1:29">
      <c r="A422" t="s">
        <v>822</v>
      </c>
      <c r="B422" s="2">
        <v>46177</v>
      </c>
      <c r="C422" t="s">
        <v>30</v>
      </c>
      <c r="D422" t="s">
        <v>134</v>
      </c>
      <c r="E422" t="s">
        <v>152</v>
      </c>
      <c r="F422" t="s">
        <v>221</v>
      </c>
      <c r="G422" t="s">
        <v>286</v>
      </c>
      <c r="H422" t="s">
        <v>283</v>
      </c>
      <c r="I422" t="s">
        <v>472</v>
      </c>
      <c r="J422" t="s">
        <v>3097</v>
      </c>
      <c r="K422" t="s">
        <v>92</v>
      </c>
      <c r="L422" t="s">
        <v>55</v>
      </c>
      <c r="M422" t="s">
        <v>39</v>
      </c>
      <c r="N422" t="s">
        <v>57</v>
      </c>
      <c r="O422" s="4">
        <v>3</v>
      </c>
      <c r="P422" s="4">
        <v>13</v>
      </c>
      <c r="Q422" t="s">
        <v>69</v>
      </c>
      <c r="R422" s="2">
        <v>46175</v>
      </c>
      <c r="S422" s="4">
        <v>28</v>
      </c>
      <c r="T422" s="3">
        <v>92000000</v>
      </c>
      <c r="U422" t="s">
        <v>42</v>
      </c>
      <c r="V422" t="s">
        <v>43</v>
      </c>
      <c r="W422" t="s">
        <v>203</v>
      </c>
      <c r="Y422" t="s">
        <v>72</v>
      </c>
      <c r="Z422" t="s">
        <v>3180</v>
      </c>
      <c r="AA422" t="s">
        <v>159</v>
      </c>
      <c r="AB422" t="s">
        <v>193</v>
      </c>
      <c r="AC422" t="s">
        <v>159</v>
      </c>
    </row>
    <row r="423" spans="1:29">
      <c r="A423" t="s">
        <v>823</v>
      </c>
      <c r="B423" s="2">
        <v>46191</v>
      </c>
      <c r="C423" t="s">
        <v>30</v>
      </c>
      <c r="D423" t="s">
        <v>74</v>
      </c>
      <c r="E423" t="s">
        <v>75</v>
      </c>
      <c r="F423" t="s">
        <v>76</v>
      </c>
      <c r="G423" t="s">
        <v>162</v>
      </c>
      <c r="H423" t="s">
        <v>185</v>
      </c>
      <c r="I423" t="s">
        <v>354</v>
      </c>
      <c r="J423" t="s">
        <v>3061</v>
      </c>
      <c r="K423" t="s">
        <v>105</v>
      </c>
      <c r="L423" t="s">
        <v>68</v>
      </c>
      <c r="M423" t="s">
        <v>81</v>
      </c>
      <c r="N423" t="s">
        <v>130</v>
      </c>
      <c r="O423" s="4">
        <v>5</v>
      </c>
      <c r="P423" s="4">
        <v>13</v>
      </c>
      <c r="Q423" t="s">
        <v>107</v>
      </c>
      <c r="R423" s="2">
        <v>46190</v>
      </c>
      <c r="S423" s="4">
        <v>13</v>
      </c>
      <c r="T423" s="3">
        <v>74000000</v>
      </c>
      <c r="U423" t="s">
        <v>42</v>
      </c>
      <c r="V423" t="s">
        <v>59</v>
      </c>
      <c r="W423" t="s">
        <v>252</v>
      </c>
      <c r="Y423" t="s">
        <v>334</v>
      </c>
      <c r="Z423" t="s">
        <v>3179</v>
      </c>
      <c r="AA423" t="s">
        <v>86</v>
      </c>
      <c r="AB423" t="s">
        <v>97</v>
      </c>
      <c r="AC423" t="s">
        <v>86</v>
      </c>
    </row>
    <row r="424" spans="1:29">
      <c r="A424" t="s">
        <v>824</v>
      </c>
      <c r="B424" s="2">
        <v>46182</v>
      </c>
      <c r="C424" t="s">
        <v>30</v>
      </c>
      <c r="D424" t="s">
        <v>99</v>
      </c>
      <c r="E424" t="s">
        <v>75</v>
      </c>
      <c r="F424" t="s">
        <v>76</v>
      </c>
      <c r="G424" t="s">
        <v>230</v>
      </c>
      <c r="H424" t="s">
        <v>185</v>
      </c>
      <c r="I424" t="s">
        <v>354</v>
      </c>
      <c r="J424" t="s">
        <v>3061</v>
      </c>
      <c r="K424" t="s">
        <v>56</v>
      </c>
      <c r="L424" t="s">
        <v>169</v>
      </c>
      <c r="M424" t="s">
        <v>164</v>
      </c>
      <c r="N424" t="s">
        <v>130</v>
      </c>
      <c r="O424" s="4">
        <v>5</v>
      </c>
      <c r="P424" s="4">
        <v>10</v>
      </c>
      <c r="Q424" t="s">
        <v>83</v>
      </c>
      <c r="R424" s="2">
        <v>46172</v>
      </c>
      <c r="S424" s="4">
        <v>31</v>
      </c>
      <c r="T424" s="3">
        <v>333000000</v>
      </c>
      <c r="U424" t="s">
        <v>42</v>
      </c>
      <c r="V424" t="s">
        <v>143</v>
      </c>
      <c r="W424" t="s">
        <v>131</v>
      </c>
      <c r="Y424" t="s">
        <v>334</v>
      </c>
      <c r="Z424" t="s">
        <v>3179</v>
      </c>
      <c r="AA424" t="s">
        <v>86</v>
      </c>
      <c r="AB424" t="s">
        <v>97</v>
      </c>
      <c r="AC424" t="s">
        <v>86</v>
      </c>
    </row>
    <row r="425" spans="1:29">
      <c r="A425" t="s">
        <v>825</v>
      </c>
      <c r="B425" s="2">
        <v>46186</v>
      </c>
      <c r="C425" t="s">
        <v>30</v>
      </c>
      <c r="D425" t="s">
        <v>99</v>
      </c>
      <c r="E425" t="s">
        <v>172</v>
      </c>
      <c r="F425" t="s">
        <v>277</v>
      </c>
      <c r="G425" t="s">
        <v>338</v>
      </c>
      <c r="H425" t="s">
        <v>175</v>
      </c>
      <c r="I425" t="s">
        <v>176</v>
      </c>
      <c r="J425" t="s">
        <v>3023</v>
      </c>
      <c r="K425" t="s">
        <v>116</v>
      </c>
      <c r="L425" t="s">
        <v>80</v>
      </c>
      <c r="M425" t="s">
        <v>39</v>
      </c>
      <c r="N425" t="s">
        <v>57</v>
      </c>
      <c r="O425" s="4">
        <v>3</v>
      </c>
      <c r="P425" s="4">
        <v>9</v>
      </c>
      <c r="Q425" t="s">
        <v>142</v>
      </c>
      <c r="R425" s="2">
        <v>46184</v>
      </c>
      <c r="S425" s="4">
        <v>19</v>
      </c>
      <c r="T425" s="3">
        <v>177000000</v>
      </c>
      <c r="U425" t="s">
        <v>42</v>
      </c>
      <c r="V425" t="s">
        <v>43</v>
      </c>
      <c r="W425" t="s">
        <v>71</v>
      </c>
      <c r="Y425" t="s">
        <v>165</v>
      </c>
      <c r="Z425" t="s">
        <v>3177</v>
      </c>
      <c r="AA425" t="s">
        <v>181</v>
      </c>
      <c r="AB425" t="s">
        <v>63</v>
      </c>
      <c r="AC425" t="s">
        <v>181</v>
      </c>
    </row>
    <row r="426" spans="1:29">
      <c r="A426" t="s">
        <v>826</v>
      </c>
      <c r="B426" s="2">
        <v>46203</v>
      </c>
      <c r="C426" t="s">
        <v>30</v>
      </c>
      <c r="D426" t="s">
        <v>31</v>
      </c>
      <c r="E426" t="s">
        <v>120</v>
      </c>
      <c r="F426" t="s">
        <v>121</v>
      </c>
      <c r="G426" t="s">
        <v>420</v>
      </c>
      <c r="H426" t="s">
        <v>136</v>
      </c>
      <c r="I426" t="s">
        <v>581</v>
      </c>
      <c r="J426" t="s">
        <v>3125</v>
      </c>
      <c r="K426" t="s">
        <v>105</v>
      </c>
      <c r="L426" t="s">
        <v>187</v>
      </c>
      <c r="M426" t="s">
        <v>39</v>
      </c>
      <c r="N426" t="s">
        <v>82</v>
      </c>
      <c r="O426" s="4">
        <v>1</v>
      </c>
      <c r="P426" s="4">
        <v>18</v>
      </c>
      <c r="Q426" t="s">
        <v>69</v>
      </c>
      <c r="R426" s="2">
        <v>46202</v>
      </c>
      <c r="S426" s="4">
        <v>1</v>
      </c>
      <c r="T426" s="3">
        <v>120000000</v>
      </c>
      <c r="U426" t="s">
        <v>260</v>
      </c>
      <c r="V426" t="s">
        <v>43</v>
      </c>
      <c r="W426" t="s">
        <v>290</v>
      </c>
      <c r="X426" t="s">
        <v>261</v>
      </c>
      <c r="Y426" t="s">
        <v>85</v>
      </c>
      <c r="Z426" t="s">
        <v>3180</v>
      </c>
      <c r="AA426" t="s">
        <v>97</v>
      </c>
      <c r="AB426" t="s">
        <v>193</v>
      </c>
      <c r="AC426" t="s">
        <v>97</v>
      </c>
    </row>
    <row r="427" spans="1:29">
      <c r="A427" t="s">
        <v>827</v>
      </c>
      <c r="B427" s="2">
        <v>46203</v>
      </c>
      <c r="C427" t="s">
        <v>30</v>
      </c>
      <c r="D427" t="s">
        <v>31</v>
      </c>
      <c r="E427" t="s">
        <v>32</v>
      </c>
      <c r="F427" t="s">
        <v>256</v>
      </c>
      <c r="G427" t="s">
        <v>34</v>
      </c>
      <c r="H427" t="s">
        <v>303</v>
      </c>
      <c r="I427" t="s">
        <v>304</v>
      </c>
      <c r="J427" t="s">
        <v>3046</v>
      </c>
      <c r="K427" t="s">
        <v>37</v>
      </c>
      <c r="L427" t="s">
        <v>80</v>
      </c>
      <c r="M427" t="s">
        <v>81</v>
      </c>
      <c r="N427" t="s">
        <v>94</v>
      </c>
      <c r="O427" s="4">
        <v>4</v>
      </c>
      <c r="P427" s="4">
        <v>2</v>
      </c>
      <c r="Q427" t="s">
        <v>58</v>
      </c>
      <c r="R427" s="2">
        <v>46194</v>
      </c>
      <c r="S427" s="4">
        <v>9</v>
      </c>
      <c r="T427" s="3">
        <v>146000000</v>
      </c>
      <c r="U427" t="s">
        <v>42</v>
      </c>
      <c r="V427" t="s">
        <v>143</v>
      </c>
      <c r="W427" t="s">
        <v>267</v>
      </c>
      <c r="Y427" t="s">
        <v>108</v>
      </c>
      <c r="Z427" t="s">
        <v>3179</v>
      </c>
      <c r="AA427" t="s">
        <v>46</v>
      </c>
      <c r="AB427" t="s">
        <v>97</v>
      </c>
      <c r="AC427" t="s">
        <v>46</v>
      </c>
    </row>
    <row r="428" spans="1:29">
      <c r="A428" t="s">
        <v>828</v>
      </c>
      <c r="B428" s="2">
        <v>46179</v>
      </c>
      <c r="C428" t="s">
        <v>30</v>
      </c>
      <c r="D428" t="s">
        <v>134</v>
      </c>
      <c r="E428" t="s">
        <v>152</v>
      </c>
      <c r="F428" t="s">
        <v>153</v>
      </c>
      <c r="G428" t="s">
        <v>154</v>
      </c>
      <c r="H428" t="s">
        <v>283</v>
      </c>
      <c r="I428" t="s">
        <v>474</v>
      </c>
      <c r="J428" t="s">
        <v>3098</v>
      </c>
      <c r="K428" t="s">
        <v>37</v>
      </c>
      <c r="L428" t="s">
        <v>169</v>
      </c>
      <c r="M428" t="s">
        <v>106</v>
      </c>
      <c r="N428" t="s">
        <v>82</v>
      </c>
      <c r="O428" s="4">
        <v>1</v>
      </c>
      <c r="P428" s="4">
        <v>15</v>
      </c>
      <c r="Q428" t="s">
        <v>83</v>
      </c>
      <c r="R428" s="2">
        <v>46169</v>
      </c>
      <c r="S428" s="4">
        <v>34</v>
      </c>
      <c r="T428" s="3">
        <v>68000000</v>
      </c>
      <c r="U428" t="s">
        <v>42</v>
      </c>
      <c r="V428" t="s">
        <v>43</v>
      </c>
      <c r="W428" t="s">
        <v>404</v>
      </c>
      <c r="Y428" t="s">
        <v>305</v>
      </c>
      <c r="Z428" t="s">
        <v>3180</v>
      </c>
      <c r="AA428" t="s">
        <v>159</v>
      </c>
      <c r="AB428" t="s">
        <v>193</v>
      </c>
      <c r="AC428" t="s">
        <v>159</v>
      </c>
    </row>
    <row r="429" spans="1:29">
      <c r="A429" t="s">
        <v>829</v>
      </c>
      <c r="B429" s="2">
        <v>46180</v>
      </c>
      <c r="C429" t="s">
        <v>30</v>
      </c>
      <c r="D429" t="s">
        <v>134</v>
      </c>
      <c r="E429" t="s">
        <v>120</v>
      </c>
      <c r="F429" t="s">
        <v>246</v>
      </c>
      <c r="G429" t="s">
        <v>420</v>
      </c>
      <c r="H429" t="s">
        <v>300</v>
      </c>
      <c r="I429" t="s">
        <v>830</v>
      </c>
      <c r="J429" t="s">
        <v>3159</v>
      </c>
      <c r="K429" t="s">
        <v>37</v>
      </c>
      <c r="L429" t="s">
        <v>150</v>
      </c>
      <c r="M429" t="s">
        <v>164</v>
      </c>
      <c r="N429" t="s">
        <v>130</v>
      </c>
      <c r="O429" s="4">
        <v>5</v>
      </c>
      <c r="P429" s="4">
        <v>11</v>
      </c>
      <c r="Q429" t="s">
        <v>107</v>
      </c>
      <c r="R429" s="2">
        <v>46180</v>
      </c>
      <c r="S429" s="4">
        <v>23</v>
      </c>
      <c r="T429" s="3">
        <v>91000000</v>
      </c>
      <c r="U429" t="s">
        <v>42</v>
      </c>
      <c r="V429" t="s">
        <v>70</v>
      </c>
      <c r="W429" t="s">
        <v>131</v>
      </c>
      <c r="Y429" t="s">
        <v>334</v>
      </c>
      <c r="Z429" t="s">
        <v>3179</v>
      </c>
      <c r="AA429" t="s">
        <v>97</v>
      </c>
      <c r="AB429" t="s">
        <v>97</v>
      </c>
      <c r="AC429" t="s">
        <v>97</v>
      </c>
    </row>
    <row r="430" spans="1:29">
      <c r="A430" t="s">
        <v>831</v>
      </c>
      <c r="B430" s="2">
        <v>46199</v>
      </c>
      <c r="C430" t="s">
        <v>30</v>
      </c>
      <c r="D430" t="s">
        <v>49</v>
      </c>
      <c r="E430" t="s">
        <v>111</v>
      </c>
      <c r="F430" t="s">
        <v>264</v>
      </c>
      <c r="G430" t="s">
        <v>348</v>
      </c>
      <c r="H430" t="s">
        <v>127</v>
      </c>
      <c r="I430" t="s">
        <v>128</v>
      </c>
      <c r="J430" t="s">
        <v>3016</v>
      </c>
      <c r="K430" t="s">
        <v>37</v>
      </c>
      <c r="L430" t="s">
        <v>150</v>
      </c>
      <c r="M430" t="s">
        <v>81</v>
      </c>
      <c r="N430" t="s">
        <v>196</v>
      </c>
      <c r="O430" s="4">
        <v>7</v>
      </c>
      <c r="P430" s="4">
        <v>12</v>
      </c>
      <c r="Q430" t="s">
        <v>107</v>
      </c>
      <c r="R430" s="2">
        <v>46190</v>
      </c>
      <c r="S430" s="4">
        <v>13</v>
      </c>
      <c r="T430" s="3">
        <v>133000000</v>
      </c>
      <c r="U430" t="s">
        <v>232</v>
      </c>
      <c r="V430" t="s">
        <v>70</v>
      </c>
      <c r="W430" t="s">
        <v>197</v>
      </c>
      <c r="Y430" t="s">
        <v>244</v>
      </c>
      <c r="Z430" t="s">
        <v>3181</v>
      </c>
      <c r="AA430" t="s">
        <v>118</v>
      </c>
      <c r="AB430" t="s">
        <v>199</v>
      </c>
      <c r="AC430" t="s">
        <v>118</v>
      </c>
    </row>
    <row r="431" spans="1:29">
      <c r="A431" t="s">
        <v>832</v>
      </c>
      <c r="B431" s="2">
        <v>46185</v>
      </c>
      <c r="C431" t="s">
        <v>30</v>
      </c>
      <c r="D431" t="s">
        <v>99</v>
      </c>
      <c r="E431" t="s">
        <v>32</v>
      </c>
      <c r="F431" t="s">
        <v>256</v>
      </c>
      <c r="G431" t="s">
        <v>34</v>
      </c>
      <c r="H431" t="s">
        <v>258</v>
      </c>
      <c r="I431" t="s">
        <v>297</v>
      </c>
      <c r="J431" t="s">
        <v>3044</v>
      </c>
      <c r="K431" t="s">
        <v>37</v>
      </c>
      <c r="L431" t="s">
        <v>187</v>
      </c>
      <c r="M431" t="s">
        <v>93</v>
      </c>
      <c r="N431" t="s">
        <v>40</v>
      </c>
      <c r="O431" s="4">
        <v>2</v>
      </c>
      <c r="P431" s="4">
        <v>1</v>
      </c>
      <c r="Q431" t="s">
        <v>69</v>
      </c>
      <c r="R431" s="2">
        <v>46180</v>
      </c>
      <c r="S431" s="4">
        <v>23</v>
      </c>
      <c r="T431" s="3">
        <v>71000000</v>
      </c>
      <c r="U431" t="s">
        <v>260</v>
      </c>
      <c r="V431" t="s">
        <v>43</v>
      </c>
      <c r="W431" t="s">
        <v>298</v>
      </c>
      <c r="X431" t="s">
        <v>381</v>
      </c>
      <c r="Y431" t="s">
        <v>309</v>
      </c>
      <c r="Z431" t="s">
        <v>3176</v>
      </c>
      <c r="AA431" t="s">
        <v>46</v>
      </c>
      <c r="AB431" t="s">
        <v>47</v>
      </c>
      <c r="AC431" t="s">
        <v>46</v>
      </c>
    </row>
    <row r="432" spans="1:29">
      <c r="A432" t="s">
        <v>833</v>
      </c>
      <c r="B432" s="2">
        <v>46177</v>
      </c>
      <c r="C432" t="s">
        <v>30</v>
      </c>
      <c r="D432" t="s">
        <v>134</v>
      </c>
      <c r="E432" t="s">
        <v>172</v>
      </c>
      <c r="F432" t="s">
        <v>277</v>
      </c>
      <c r="G432" t="s">
        <v>289</v>
      </c>
      <c r="H432" t="s">
        <v>241</v>
      </c>
      <c r="I432" t="s">
        <v>512</v>
      </c>
      <c r="J432" t="s">
        <v>3107</v>
      </c>
      <c r="K432" t="s">
        <v>92</v>
      </c>
      <c r="L432" t="s">
        <v>187</v>
      </c>
      <c r="M432" t="s">
        <v>106</v>
      </c>
      <c r="N432" t="s">
        <v>57</v>
      </c>
      <c r="O432" s="4">
        <v>3</v>
      </c>
      <c r="P432" s="4">
        <v>8</v>
      </c>
      <c r="Q432" t="s">
        <v>138</v>
      </c>
      <c r="R432" s="2">
        <v>46177</v>
      </c>
      <c r="S432" s="4">
        <v>26</v>
      </c>
      <c r="T432" s="3">
        <v>135000000</v>
      </c>
      <c r="U432" t="s">
        <v>42</v>
      </c>
      <c r="V432" t="s">
        <v>43</v>
      </c>
      <c r="W432" t="s">
        <v>157</v>
      </c>
      <c r="Y432" t="s">
        <v>72</v>
      </c>
      <c r="Z432" t="s">
        <v>3177</v>
      </c>
      <c r="AA432" t="s">
        <v>181</v>
      </c>
      <c r="AB432" t="s">
        <v>63</v>
      </c>
      <c r="AC432" t="s">
        <v>181</v>
      </c>
    </row>
    <row r="433" spans="1:29">
      <c r="A433" t="s">
        <v>834</v>
      </c>
      <c r="B433" s="2">
        <v>46200</v>
      </c>
      <c r="C433" t="s">
        <v>30</v>
      </c>
      <c r="D433" t="s">
        <v>49</v>
      </c>
      <c r="E433" t="s">
        <v>111</v>
      </c>
      <c r="F433" t="s">
        <v>112</v>
      </c>
      <c r="G433" t="s">
        <v>113</v>
      </c>
      <c r="H433" t="s">
        <v>191</v>
      </c>
      <c r="I433" t="s">
        <v>467</v>
      </c>
      <c r="J433" t="s">
        <v>3096</v>
      </c>
      <c r="K433" t="s">
        <v>56</v>
      </c>
      <c r="L433" t="s">
        <v>187</v>
      </c>
      <c r="M433" t="s">
        <v>93</v>
      </c>
      <c r="N433" t="s">
        <v>130</v>
      </c>
      <c r="O433" s="4">
        <v>5</v>
      </c>
      <c r="P433" s="4">
        <v>9</v>
      </c>
      <c r="Q433" t="s">
        <v>107</v>
      </c>
      <c r="R433" s="2">
        <v>46195</v>
      </c>
      <c r="S433" s="4">
        <v>8</v>
      </c>
      <c r="T433" s="3">
        <v>380000000</v>
      </c>
      <c r="U433" t="s">
        <v>42</v>
      </c>
      <c r="V433" t="s">
        <v>70</v>
      </c>
      <c r="W433" t="s">
        <v>252</v>
      </c>
      <c r="Y433" t="s">
        <v>132</v>
      </c>
      <c r="Z433" t="s">
        <v>3179</v>
      </c>
      <c r="AA433" t="s">
        <v>118</v>
      </c>
      <c r="AB433" t="s">
        <v>97</v>
      </c>
      <c r="AC433" t="s">
        <v>118</v>
      </c>
    </row>
    <row r="434" spans="1:29">
      <c r="A434" t="s">
        <v>835</v>
      </c>
      <c r="B434" s="2">
        <v>46189</v>
      </c>
      <c r="C434" t="s">
        <v>30</v>
      </c>
      <c r="D434" t="s">
        <v>74</v>
      </c>
      <c r="E434" t="s">
        <v>111</v>
      </c>
      <c r="F434" t="s">
        <v>112</v>
      </c>
      <c r="G434" t="s">
        <v>126</v>
      </c>
      <c r="H434" t="s">
        <v>114</v>
      </c>
      <c r="I434" t="s">
        <v>383</v>
      </c>
      <c r="J434" t="s">
        <v>3070</v>
      </c>
      <c r="K434" t="s">
        <v>37</v>
      </c>
      <c r="L434" t="s">
        <v>38</v>
      </c>
      <c r="M434" t="s">
        <v>39</v>
      </c>
      <c r="N434" t="s">
        <v>57</v>
      </c>
      <c r="O434" s="4">
        <v>3</v>
      </c>
      <c r="P434" s="4">
        <v>10</v>
      </c>
      <c r="Q434" t="s">
        <v>69</v>
      </c>
      <c r="R434" s="2">
        <v>46188</v>
      </c>
      <c r="S434" s="4">
        <v>15</v>
      </c>
      <c r="T434" s="3">
        <v>140000000</v>
      </c>
      <c r="U434" t="s">
        <v>42</v>
      </c>
      <c r="V434" t="s">
        <v>59</v>
      </c>
      <c r="W434" t="s">
        <v>60</v>
      </c>
      <c r="Y434" t="s">
        <v>61</v>
      </c>
      <c r="Z434" t="s">
        <v>3177</v>
      </c>
      <c r="AA434" t="s">
        <v>118</v>
      </c>
      <c r="AB434" t="s">
        <v>63</v>
      </c>
      <c r="AC434" t="s">
        <v>118</v>
      </c>
    </row>
    <row r="435" spans="1:29">
      <c r="A435" t="s">
        <v>836</v>
      </c>
      <c r="B435" s="2">
        <v>46177</v>
      </c>
      <c r="C435" t="s">
        <v>30</v>
      </c>
      <c r="D435" t="s">
        <v>134</v>
      </c>
      <c r="E435" t="s">
        <v>100</v>
      </c>
      <c r="F435" t="s">
        <v>101</v>
      </c>
      <c r="G435" t="s">
        <v>237</v>
      </c>
      <c r="H435" t="s">
        <v>148</v>
      </c>
      <c r="I435" t="s">
        <v>800</v>
      </c>
      <c r="J435" t="s">
        <v>3156</v>
      </c>
      <c r="K435" t="s">
        <v>37</v>
      </c>
      <c r="L435" t="s">
        <v>80</v>
      </c>
      <c r="M435" t="s">
        <v>129</v>
      </c>
      <c r="N435" t="s">
        <v>82</v>
      </c>
      <c r="O435" s="4">
        <v>1</v>
      </c>
      <c r="P435" s="4">
        <v>12</v>
      </c>
      <c r="Q435" t="s">
        <v>41</v>
      </c>
      <c r="R435" s="2">
        <v>46172</v>
      </c>
      <c r="S435" s="4">
        <v>31</v>
      </c>
      <c r="T435" s="3">
        <v>84000000</v>
      </c>
      <c r="U435" t="s">
        <v>42</v>
      </c>
      <c r="V435" t="s">
        <v>59</v>
      </c>
      <c r="W435" t="s">
        <v>404</v>
      </c>
      <c r="Y435" t="s">
        <v>305</v>
      </c>
      <c r="Z435" t="s">
        <v>3180</v>
      </c>
      <c r="AA435" t="s">
        <v>109</v>
      </c>
      <c r="AB435" t="s">
        <v>193</v>
      </c>
      <c r="AC435" t="s">
        <v>109</v>
      </c>
    </row>
    <row r="436" spans="1:29">
      <c r="A436" t="s">
        <v>837</v>
      </c>
      <c r="B436" s="2">
        <v>46178</v>
      </c>
      <c r="C436" t="s">
        <v>30</v>
      </c>
      <c r="D436" t="s">
        <v>134</v>
      </c>
      <c r="E436" t="s">
        <v>120</v>
      </c>
      <c r="F436" t="s">
        <v>121</v>
      </c>
      <c r="G436" t="s">
        <v>135</v>
      </c>
      <c r="H436" t="s">
        <v>123</v>
      </c>
      <c r="I436" t="s">
        <v>838</v>
      </c>
      <c r="J436" t="s">
        <v>3160</v>
      </c>
      <c r="K436" t="s">
        <v>37</v>
      </c>
      <c r="L436" t="s">
        <v>150</v>
      </c>
      <c r="M436" t="s">
        <v>129</v>
      </c>
      <c r="N436" t="s">
        <v>57</v>
      </c>
      <c r="O436" s="4">
        <v>3</v>
      </c>
      <c r="P436" s="4">
        <v>11</v>
      </c>
      <c r="Q436" t="s">
        <v>58</v>
      </c>
      <c r="R436" s="2">
        <v>46169</v>
      </c>
      <c r="S436" s="4">
        <v>34</v>
      </c>
      <c r="T436" s="3">
        <v>153000000</v>
      </c>
      <c r="U436" t="s">
        <v>42</v>
      </c>
      <c r="V436" t="s">
        <v>70</v>
      </c>
      <c r="W436" t="s">
        <v>157</v>
      </c>
      <c r="Y436" t="s">
        <v>61</v>
      </c>
      <c r="Z436" t="s">
        <v>3177</v>
      </c>
      <c r="AA436" t="s">
        <v>97</v>
      </c>
      <c r="AB436" t="s">
        <v>63</v>
      </c>
      <c r="AC436" t="s">
        <v>97</v>
      </c>
    </row>
    <row r="437" spans="1:29">
      <c r="A437" t="s">
        <v>839</v>
      </c>
      <c r="B437" s="2">
        <v>46176</v>
      </c>
      <c r="C437" t="s">
        <v>30</v>
      </c>
      <c r="D437" t="s">
        <v>134</v>
      </c>
      <c r="E437" t="s">
        <v>32</v>
      </c>
      <c r="F437" t="s">
        <v>256</v>
      </c>
      <c r="G437" t="s">
        <v>257</v>
      </c>
      <c r="H437" t="s">
        <v>35</v>
      </c>
      <c r="I437" t="s">
        <v>36</v>
      </c>
      <c r="J437" t="s">
        <v>3008</v>
      </c>
      <c r="K437" t="s">
        <v>37</v>
      </c>
      <c r="L437" t="s">
        <v>187</v>
      </c>
      <c r="M437" t="s">
        <v>164</v>
      </c>
      <c r="N437" t="s">
        <v>82</v>
      </c>
      <c r="O437" s="4">
        <v>1</v>
      </c>
      <c r="P437" s="4">
        <v>5</v>
      </c>
      <c r="Q437" t="s">
        <v>69</v>
      </c>
      <c r="R437" s="2">
        <v>46171</v>
      </c>
      <c r="S437" s="4">
        <v>32</v>
      </c>
      <c r="T437" s="3">
        <v>125000000</v>
      </c>
      <c r="U437" t="s">
        <v>42</v>
      </c>
      <c r="V437" t="s">
        <v>43</v>
      </c>
      <c r="W437" t="s">
        <v>290</v>
      </c>
      <c r="Y437" t="s">
        <v>85</v>
      </c>
      <c r="Z437" t="s">
        <v>3178</v>
      </c>
      <c r="AA437" t="s">
        <v>46</v>
      </c>
      <c r="AB437" t="s">
        <v>87</v>
      </c>
      <c r="AC437" t="s">
        <v>46</v>
      </c>
    </row>
    <row r="438" spans="1:29">
      <c r="A438" t="s">
        <v>840</v>
      </c>
      <c r="B438" s="2">
        <v>46183</v>
      </c>
      <c r="C438" t="s">
        <v>30</v>
      </c>
      <c r="D438" t="s">
        <v>99</v>
      </c>
      <c r="E438" t="s">
        <v>120</v>
      </c>
      <c r="F438" t="s">
        <v>121</v>
      </c>
      <c r="G438" t="s">
        <v>224</v>
      </c>
      <c r="H438" t="s">
        <v>136</v>
      </c>
      <c r="I438" t="s">
        <v>658</v>
      </c>
      <c r="J438" t="s">
        <v>3143</v>
      </c>
      <c r="K438" t="s">
        <v>56</v>
      </c>
      <c r="L438" t="s">
        <v>38</v>
      </c>
      <c r="M438" t="s">
        <v>93</v>
      </c>
      <c r="N438" t="s">
        <v>94</v>
      </c>
      <c r="O438" s="4">
        <v>4</v>
      </c>
      <c r="P438" s="4">
        <v>7</v>
      </c>
      <c r="Q438" t="s">
        <v>83</v>
      </c>
      <c r="R438" s="2">
        <v>46176</v>
      </c>
      <c r="S438" s="4">
        <v>27</v>
      </c>
      <c r="T438" s="3">
        <v>147000000</v>
      </c>
      <c r="U438" t="s">
        <v>426</v>
      </c>
      <c r="V438" t="s">
        <v>70</v>
      </c>
      <c r="W438" t="s">
        <v>170</v>
      </c>
      <c r="X438" t="s">
        <v>381</v>
      </c>
      <c r="Y438" t="s">
        <v>108</v>
      </c>
      <c r="Z438" t="s">
        <v>3179</v>
      </c>
      <c r="AA438" t="s">
        <v>97</v>
      </c>
      <c r="AB438" t="s">
        <v>97</v>
      </c>
      <c r="AC438" t="s">
        <v>97</v>
      </c>
    </row>
    <row r="439" spans="1:29">
      <c r="A439" t="s">
        <v>841</v>
      </c>
      <c r="B439" s="2">
        <v>46202</v>
      </c>
      <c r="C439" t="s">
        <v>30</v>
      </c>
      <c r="D439" t="s">
        <v>31</v>
      </c>
      <c r="E439" t="s">
        <v>50</v>
      </c>
      <c r="F439" t="s">
        <v>351</v>
      </c>
      <c r="G439" t="s">
        <v>65</v>
      </c>
      <c r="H439" t="s">
        <v>90</v>
      </c>
      <c r="I439" t="s">
        <v>842</v>
      </c>
      <c r="J439" t="s">
        <v>3161</v>
      </c>
      <c r="K439" t="s">
        <v>37</v>
      </c>
      <c r="L439" t="s">
        <v>187</v>
      </c>
      <c r="M439" t="s">
        <v>39</v>
      </c>
      <c r="N439" t="s">
        <v>130</v>
      </c>
      <c r="O439" s="4">
        <v>5</v>
      </c>
      <c r="P439" s="4">
        <v>9</v>
      </c>
      <c r="Q439" t="s">
        <v>107</v>
      </c>
      <c r="R439" s="2">
        <v>46195</v>
      </c>
      <c r="S439" s="4">
        <v>8</v>
      </c>
      <c r="T439" s="3">
        <v>207000000</v>
      </c>
      <c r="U439" t="s">
        <v>42</v>
      </c>
      <c r="V439" t="s">
        <v>70</v>
      </c>
      <c r="W439" t="s">
        <v>355</v>
      </c>
      <c r="Y439" t="s">
        <v>132</v>
      </c>
      <c r="Z439" t="s">
        <v>3179</v>
      </c>
      <c r="AA439" t="s">
        <v>62</v>
      </c>
      <c r="AB439" t="s">
        <v>97</v>
      </c>
      <c r="AC439" t="s">
        <v>62</v>
      </c>
    </row>
    <row r="440" spans="1:29">
      <c r="A440" t="s">
        <v>843</v>
      </c>
      <c r="B440" s="2">
        <v>46193</v>
      </c>
      <c r="C440" t="s">
        <v>30</v>
      </c>
      <c r="D440" t="s">
        <v>74</v>
      </c>
      <c r="E440" t="s">
        <v>120</v>
      </c>
      <c r="F440" t="s">
        <v>167</v>
      </c>
      <c r="G440" t="s">
        <v>420</v>
      </c>
      <c r="H440" t="s">
        <v>123</v>
      </c>
      <c r="I440" t="s">
        <v>838</v>
      </c>
      <c r="J440" t="s">
        <v>3160</v>
      </c>
      <c r="K440" t="s">
        <v>56</v>
      </c>
      <c r="L440" t="s">
        <v>150</v>
      </c>
      <c r="M440" t="s">
        <v>129</v>
      </c>
      <c r="N440" t="s">
        <v>57</v>
      </c>
      <c r="O440" s="4">
        <v>3</v>
      </c>
      <c r="P440" s="4">
        <v>12</v>
      </c>
      <c r="Q440" t="s">
        <v>41</v>
      </c>
      <c r="R440" s="2">
        <v>46189</v>
      </c>
      <c r="S440" s="4">
        <v>14</v>
      </c>
      <c r="T440" s="3">
        <v>376000000</v>
      </c>
      <c r="U440" t="s">
        <v>42</v>
      </c>
      <c r="V440" t="s">
        <v>70</v>
      </c>
      <c r="W440" t="s">
        <v>71</v>
      </c>
      <c r="Y440" t="s">
        <v>165</v>
      </c>
      <c r="Z440" t="s">
        <v>3180</v>
      </c>
      <c r="AA440" t="s">
        <v>97</v>
      </c>
      <c r="AB440" t="s">
        <v>193</v>
      </c>
      <c r="AC440" t="s">
        <v>97</v>
      </c>
    </row>
    <row r="441" spans="1:29">
      <c r="A441" t="s">
        <v>844</v>
      </c>
      <c r="B441" s="2">
        <v>46197</v>
      </c>
      <c r="C441" t="s">
        <v>30</v>
      </c>
      <c r="D441" t="s">
        <v>49</v>
      </c>
      <c r="E441" t="s">
        <v>172</v>
      </c>
      <c r="F441" t="s">
        <v>195</v>
      </c>
      <c r="G441" t="s">
        <v>174</v>
      </c>
      <c r="H441" t="s">
        <v>175</v>
      </c>
      <c r="I441" t="s">
        <v>333</v>
      </c>
      <c r="J441" t="s">
        <v>3054</v>
      </c>
      <c r="K441" t="s">
        <v>37</v>
      </c>
      <c r="L441" t="s">
        <v>68</v>
      </c>
      <c r="M441" t="s">
        <v>56</v>
      </c>
      <c r="N441" t="s">
        <v>57</v>
      </c>
      <c r="O441" s="4">
        <v>3</v>
      </c>
      <c r="P441" s="4">
        <v>10</v>
      </c>
      <c r="Q441" t="s">
        <v>69</v>
      </c>
      <c r="R441" s="2">
        <v>46193</v>
      </c>
      <c r="S441" s="4">
        <v>10</v>
      </c>
      <c r="T441" s="3">
        <v>120000000</v>
      </c>
      <c r="U441" t="s">
        <v>42</v>
      </c>
      <c r="V441" t="s">
        <v>59</v>
      </c>
      <c r="W441" t="s">
        <v>60</v>
      </c>
      <c r="Y441" t="s">
        <v>158</v>
      </c>
      <c r="Z441" t="s">
        <v>3177</v>
      </c>
      <c r="AA441" t="s">
        <v>181</v>
      </c>
      <c r="AB441" t="s">
        <v>63</v>
      </c>
      <c r="AC441" t="s">
        <v>181</v>
      </c>
    </row>
    <row r="442" spans="1:29">
      <c r="A442" t="s">
        <v>845</v>
      </c>
      <c r="B442" s="2">
        <v>46174</v>
      </c>
      <c r="C442" t="s">
        <v>30</v>
      </c>
      <c r="D442" t="s">
        <v>134</v>
      </c>
      <c r="E442" t="s">
        <v>172</v>
      </c>
      <c r="F442" t="s">
        <v>277</v>
      </c>
      <c r="G442" t="s">
        <v>476</v>
      </c>
      <c r="H442" t="s">
        <v>175</v>
      </c>
      <c r="I442" t="s">
        <v>485</v>
      </c>
      <c r="J442" t="s">
        <v>3101</v>
      </c>
      <c r="K442" t="s">
        <v>56</v>
      </c>
      <c r="L442" t="s">
        <v>187</v>
      </c>
      <c r="M442" t="s">
        <v>39</v>
      </c>
      <c r="N442" t="s">
        <v>57</v>
      </c>
      <c r="O442" s="4">
        <v>3</v>
      </c>
      <c r="P442" s="4">
        <v>10</v>
      </c>
      <c r="Q442" t="s">
        <v>69</v>
      </c>
      <c r="R442" s="2">
        <v>46164</v>
      </c>
      <c r="S442" s="4">
        <v>39</v>
      </c>
      <c r="T442" s="3">
        <v>96000000</v>
      </c>
      <c r="U442" t="s">
        <v>42</v>
      </c>
      <c r="V442" t="s">
        <v>59</v>
      </c>
      <c r="W442" t="s">
        <v>203</v>
      </c>
      <c r="Y442" t="s">
        <v>61</v>
      </c>
      <c r="Z442" t="s">
        <v>3177</v>
      </c>
      <c r="AA442" t="s">
        <v>181</v>
      </c>
      <c r="AB442" t="s">
        <v>63</v>
      </c>
      <c r="AC442" t="s">
        <v>181</v>
      </c>
    </row>
    <row r="443" spans="1:29">
      <c r="A443" t="s">
        <v>846</v>
      </c>
      <c r="B443" s="2">
        <v>46179</v>
      </c>
      <c r="C443" t="s">
        <v>30</v>
      </c>
      <c r="D443" t="s">
        <v>134</v>
      </c>
      <c r="E443" t="s">
        <v>120</v>
      </c>
      <c r="F443" t="s">
        <v>121</v>
      </c>
      <c r="G443" t="s">
        <v>227</v>
      </c>
      <c r="H443" t="s">
        <v>136</v>
      </c>
      <c r="I443" t="s">
        <v>168</v>
      </c>
      <c r="J443" t="s">
        <v>3022</v>
      </c>
      <c r="K443" t="s">
        <v>105</v>
      </c>
      <c r="L443" t="s">
        <v>55</v>
      </c>
      <c r="M443" t="s">
        <v>93</v>
      </c>
      <c r="N443" t="s">
        <v>130</v>
      </c>
      <c r="O443" s="4">
        <v>5</v>
      </c>
      <c r="P443" s="4">
        <v>7</v>
      </c>
      <c r="Q443" t="s">
        <v>138</v>
      </c>
      <c r="R443" s="2">
        <v>46177</v>
      </c>
      <c r="S443" s="4">
        <v>26</v>
      </c>
      <c r="T443" s="3">
        <v>253000000</v>
      </c>
      <c r="U443" t="s">
        <v>42</v>
      </c>
      <c r="V443" t="s">
        <v>70</v>
      </c>
      <c r="W443" t="s">
        <v>131</v>
      </c>
      <c r="Y443" t="s">
        <v>254</v>
      </c>
      <c r="Z443" t="s">
        <v>3179</v>
      </c>
      <c r="AA443" t="s">
        <v>97</v>
      </c>
      <c r="AB443" t="s">
        <v>97</v>
      </c>
      <c r="AC443" t="s">
        <v>97</v>
      </c>
    </row>
    <row r="444" spans="1:29">
      <c r="A444" t="s">
        <v>847</v>
      </c>
      <c r="B444" s="2">
        <v>46174</v>
      </c>
      <c r="C444" t="s">
        <v>30</v>
      </c>
      <c r="D444" t="s">
        <v>134</v>
      </c>
      <c r="E444" t="s">
        <v>100</v>
      </c>
      <c r="F444" t="s">
        <v>101</v>
      </c>
      <c r="G444" t="s">
        <v>102</v>
      </c>
      <c r="H444" t="s">
        <v>148</v>
      </c>
      <c r="I444" t="s">
        <v>724</v>
      </c>
      <c r="J444" t="s">
        <v>3148</v>
      </c>
      <c r="K444" t="s">
        <v>105</v>
      </c>
      <c r="L444" t="s">
        <v>55</v>
      </c>
      <c r="M444" t="s">
        <v>81</v>
      </c>
      <c r="N444" t="s">
        <v>213</v>
      </c>
      <c r="O444" s="4">
        <v>6</v>
      </c>
      <c r="P444" s="4">
        <v>17</v>
      </c>
      <c r="Q444" t="s">
        <v>142</v>
      </c>
      <c r="R444" s="2">
        <v>46172</v>
      </c>
      <c r="S444" s="4">
        <v>31</v>
      </c>
      <c r="T444" s="3">
        <v>142000000</v>
      </c>
      <c r="U444" t="s">
        <v>214</v>
      </c>
      <c r="V444" t="s">
        <v>70</v>
      </c>
      <c r="W444" t="s">
        <v>438</v>
      </c>
      <c r="Y444" t="s">
        <v>432</v>
      </c>
      <c r="Z444" t="s">
        <v>3179</v>
      </c>
      <c r="AA444" t="s">
        <v>109</v>
      </c>
      <c r="AB444" t="s">
        <v>97</v>
      </c>
      <c r="AC444" t="s">
        <v>109</v>
      </c>
    </row>
    <row r="445" spans="1:29">
      <c r="A445" t="s">
        <v>848</v>
      </c>
      <c r="B445" s="2">
        <v>46184</v>
      </c>
      <c r="C445" t="s">
        <v>30</v>
      </c>
      <c r="D445" t="s">
        <v>99</v>
      </c>
      <c r="E445" t="s">
        <v>50</v>
      </c>
      <c r="F445" t="s">
        <v>89</v>
      </c>
      <c r="G445" t="s">
        <v>343</v>
      </c>
      <c r="H445" t="s">
        <v>66</v>
      </c>
      <c r="I445" t="s">
        <v>849</v>
      </c>
      <c r="J445" t="s">
        <v>3162</v>
      </c>
      <c r="K445" t="s">
        <v>56</v>
      </c>
      <c r="L445" t="s">
        <v>169</v>
      </c>
      <c r="M445" t="s">
        <v>164</v>
      </c>
      <c r="N445" t="s">
        <v>196</v>
      </c>
      <c r="O445" s="4">
        <v>7</v>
      </c>
      <c r="P445" s="4">
        <v>15</v>
      </c>
      <c r="Q445" t="s">
        <v>69</v>
      </c>
      <c r="R445" s="2">
        <v>46178</v>
      </c>
      <c r="S445" s="4">
        <v>25</v>
      </c>
      <c r="T445" s="3">
        <v>263000000</v>
      </c>
      <c r="U445" t="s">
        <v>196</v>
      </c>
      <c r="V445" t="s">
        <v>70</v>
      </c>
      <c r="W445" t="s">
        <v>675</v>
      </c>
      <c r="Y445" t="s">
        <v>198</v>
      </c>
      <c r="Z445" t="s">
        <v>3181</v>
      </c>
      <c r="AA445" t="s">
        <v>62</v>
      </c>
      <c r="AB445" t="s">
        <v>199</v>
      </c>
      <c r="AC445" t="s">
        <v>62</v>
      </c>
    </row>
    <row r="446" spans="1:29">
      <c r="A446" t="s">
        <v>850</v>
      </c>
      <c r="B446" s="2">
        <v>46203</v>
      </c>
      <c r="C446" t="s">
        <v>30</v>
      </c>
      <c r="D446" t="s">
        <v>31</v>
      </c>
      <c r="E446" t="s">
        <v>100</v>
      </c>
      <c r="F446" t="s">
        <v>140</v>
      </c>
      <c r="G446" t="s">
        <v>102</v>
      </c>
      <c r="H446" t="s">
        <v>148</v>
      </c>
      <c r="I446" t="s">
        <v>851</v>
      </c>
      <c r="J446" t="s">
        <v>3163</v>
      </c>
      <c r="K446" t="s">
        <v>37</v>
      </c>
      <c r="L446" t="s">
        <v>187</v>
      </c>
      <c r="M446" t="s">
        <v>106</v>
      </c>
      <c r="N446" t="s">
        <v>40</v>
      </c>
      <c r="O446" s="4">
        <v>2</v>
      </c>
      <c r="P446" s="4">
        <v>8</v>
      </c>
      <c r="Q446" t="s">
        <v>83</v>
      </c>
      <c r="R446" s="2">
        <v>46193</v>
      </c>
      <c r="S446" s="4">
        <v>10</v>
      </c>
      <c r="T446" s="3">
        <v>103000000</v>
      </c>
      <c r="U446" t="s">
        <v>42</v>
      </c>
      <c r="V446" t="s">
        <v>43</v>
      </c>
      <c r="W446" t="s">
        <v>298</v>
      </c>
      <c r="Y446" t="s">
        <v>281</v>
      </c>
      <c r="Z446" t="s">
        <v>3178</v>
      </c>
      <c r="AA446" t="s">
        <v>109</v>
      </c>
      <c r="AB446" t="s">
        <v>87</v>
      </c>
      <c r="AC446" t="s">
        <v>109</v>
      </c>
    </row>
    <row r="447" spans="1:29">
      <c r="A447" t="s">
        <v>852</v>
      </c>
      <c r="B447" s="2">
        <v>46175</v>
      </c>
      <c r="C447" t="s">
        <v>30</v>
      </c>
      <c r="D447" t="s">
        <v>134</v>
      </c>
      <c r="E447" t="s">
        <v>120</v>
      </c>
      <c r="F447" t="s">
        <v>246</v>
      </c>
      <c r="G447" t="s">
        <v>135</v>
      </c>
      <c r="H447" t="s">
        <v>123</v>
      </c>
      <c r="I447" t="s">
        <v>397</v>
      </c>
      <c r="J447" t="s">
        <v>3073</v>
      </c>
      <c r="K447" t="s">
        <v>92</v>
      </c>
      <c r="L447" t="s">
        <v>68</v>
      </c>
      <c r="M447" t="s">
        <v>129</v>
      </c>
      <c r="N447" t="s">
        <v>57</v>
      </c>
      <c r="O447" s="4">
        <v>3</v>
      </c>
      <c r="P447" s="4">
        <v>6</v>
      </c>
      <c r="Q447" t="s">
        <v>138</v>
      </c>
      <c r="R447" s="2">
        <v>46171</v>
      </c>
      <c r="S447" s="4">
        <v>32</v>
      </c>
      <c r="T447" s="3">
        <v>122000000</v>
      </c>
      <c r="U447" t="s">
        <v>42</v>
      </c>
      <c r="V447" t="s">
        <v>59</v>
      </c>
      <c r="W447" t="s">
        <v>157</v>
      </c>
      <c r="Y447" t="s">
        <v>61</v>
      </c>
      <c r="Z447" t="s">
        <v>3177</v>
      </c>
      <c r="AA447" t="s">
        <v>97</v>
      </c>
      <c r="AB447" t="s">
        <v>63</v>
      </c>
      <c r="AC447" t="s">
        <v>97</v>
      </c>
    </row>
    <row r="448" spans="1:29">
      <c r="A448" t="s">
        <v>853</v>
      </c>
      <c r="B448" s="2">
        <v>46177</v>
      </c>
      <c r="C448" t="s">
        <v>30</v>
      </c>
      <c r="D448" t="s">
        <v>134</v>
      </c>
      <c r="E448" t="s">
        <v>172</v>
      </c>
      <c r="F448" t="s">
        <v>277</v>
      </c>
      <c r="G448" t="s">
        <v>174</v>
      </c>
      <c r="H448" t="s">
        <v>317</v>
      </c>
      <c r="I448" t="s">
        <v>756</v>
      </c>
      <c r="J448" t="s">
        <v>3152</v>
      </c>
      <c r="K448" t="s">
        <v>116</v>
      </c>
      <c r="L448" t="s">
        <v>80</v>
      </c>
      <c r="M448" t="s">
        <v>106</v>
      </c>
      <c r="N448" t="s">
        <v>57</v>
      </c>
      <c r="O448" s="4">
        <v>3</v>
      </c>
      <c r="P448" s="4">
        <v>7</v>
      </c>
      <c r="Q448" t="s">
        <v>142</v>
      </c>
      <c r="R448" s="2">
        <v>46173</v>
      </c>
      <c r="S448" s="4">
        <v>30</v>
      </c>
      <c r="T448" s="3">
        <v>80000000</v>
      </c>
      <c r="U448" t="s">
        <v>42</v>
      </c>
      <c r="V448" t="s">
        <v>59</v>
      </c>
      <c r="W448" t="s">
        <v>157</v>
      </c>
      <c r="Y448" t="s">
        <v>158</v>
      </c>
      <c r="Z448" t="s">
        <v>3177</v>
      </c>
      <c r="AA448" t="s">
        <v>181</v>
      </c>
      <c r="AB448" t="s">
        <v>63</v>
      </c>
      <c r="AC448" t="s">
        <v>181</v>
      </c>
    </row>
    <row r="449" spans="1:29">
      <c r="A449" t="s">
        <v>854</v>
      </c>
      <c r="B449" s="2">
        <v>46177</v>
      </c>
      <c r="C449" t="s">
        <v>30</v>
      </c>
      <c r="D449" t="s">
        <v>134</v>
      </c>
      <c r="E449" t="s">
        <v>111</v>
      </c>
      <c r="F449" t="s">
        <v>264</v>
      </c>
      <c r="G449" t="s">
        <v>113</v>
      </c>
      <c r="H449" t="s">
        <v>127</v>
      </c>
      <c r="I449" t="s">
        <v>349</v>
      </c>
      <c r="J449" t="s">
        <v>3059</v>
      </c>
      <c r="K449" t="s">
        <v>92</v>
      </c>
      <c r="L449" t="s">
        <v>55</v>
      </c>
      <c r="M449" t="s">
        <v>106</v>
      </c>
      <c r="N449" t="s">
        <v>130</v>
      </c>
      <c r="O449" s="4">
        <v>5</v>
      </c>
      <c r="P449" s="4">
        <v>14</v>
      </c>
      <c r="Q449" t="s">
        <v>41</v>
      </c>
      <c r="R449" s="2">
        <v>46175</v>
      </c>
      <c r="S449" s="4">
        <v>28</v>
      </c>
      <c r="T449" s="3">
        <v>136000000</v>
      </c>
      <c r="U449" t="s">
        <v>42</v>
      </c>
      <c r="V449" t="s">
        <v>143</v>
      </c>
      <c r="W449" t="s">
        <v>252</v>
      </c>
      <c r="X449" t="s">
        <v>253</v>
      </c>
      <c r="Y449" t="s">
        <v>334</v>
      </c>
      <c r="Z449" t="s">
        <v>3179</v>
      </c>
      <c r="AA449" t="s">
        <v>118</v>
      </c>
      <c r="AB449" t="s">
        <v>97</v>
      </c>
      <c r="AC449" t="s">
        <v>118</v>
      </c>
    </row>
    <row r="450" spans="1:29">
      <c r="A450" t="s">
        <v>855</v>
      </c>
      <c r="B450" s="2">
        <v>46192</v>
      </c>
      <c r="C450" t="s">
        <v>30</v>
      </c>
      <c r="D450" t="s">
        <v>74</v>
      </c>
      <c r="E450" t="s">
        <v>111</v>
      </c>
      <c r="F450" t="s">
        <v>112</v>
      </c>
      <c r="G450" t="s">
        <v>348</v>
      </c>
      <c r="H450" t="s">
        <v>114</v>
      </c>
      <c r="I450" t="s">
        <v>383</v>
      </c>
      <c r="J450" t="s">
        <v>3070</v>
      </c>
      <c r="K450" t="s">
        <v>105</v>
      </c>
      <c r="L450" t="s">
        <v>169</v>
      </c>
      <c r="M450" t="s">
        <v>93</v>
      </c>
      <c r="N450" t="s">
        <v>40</v>
      </c>
      <c r="O450" s="4">
        <v>2</v>
      </c>
      <c r="P450" s="4">
        <v>4</v>
      </c>
      <c r="Q450" t="s">
        <v>142</v>
      </c>
      <c r="R450" s="2">
        <v>46188</v>
      </c>
      <c r="S450" s="4">
        <v>15</v>
      </c>
      <c r="T450" s="3">
        <v>267000000</v>
      </c>
      <c r="U450" t="s">
        <v>42</v>
      </c>
      <c r="V450" t="s">
        <v>43</v>
      </c>
      <c r="W450" t="s">
        <v>239</v>
      </c>
      <c r="Y450" t="s">
        <v>281</v>
      </c>
      <c r="Z450" t="s">
        <v>3176</v>
      </c>
      <c r="AA450" t="s">
        <v>118</v>
      </c>
      <c r="AB450" t="s">
        <v>47</v>
      </c>
      <c r="AC450" t="s">
        <v>118</v>
      </c>
    </row>
    <row r="451" spans="1:29">
      <c r="A451" t="s">
        <v>856</v>
      </c>
      <c r="B451" s="2">
        <v>46190</v>
      </c>
      <c r="C451" t="s">
        <v>30</v>
      </c>
      <c r="D451" t="s">
        <v>74</v>
      </c>
      <c r="E451" t="s">
        <v>32</v>
      </c>
      <c r="F451" t="s">
        <v>273</v>
      </c>
      <c r="G451" t="s">
        <v>257</v>
      </c>
      <c r="H451" t="s">
        <v>258</v>
      </c>
      <c r="I451" t="s">
        <v>593</v>
      </c>
      <c r="J451" t="s">
        <v>3127</v>
      </c>
      <c r="K451" t="s">
        <v>105</v>
      </c>
      <c r="L451" t="s">
        <v>80</v>
      </c>
      <c r="M451" t="s">
        <v>56</v>
      </c>
      <c r="N451" t="s">
        <v>82</v>
      </c>
      <c r="O451" s="4">
        <v>1</v>
      </c>
      <c r="P451" s="4">
        <v>2</v>
      </c>
      <c r="Q451" t="s">
        <v>41</v>
      </c>
      <c r="R451" s="2">
        <v>46190</v>
      </c>
      <c r="S451" s="4">
        <v>13</v>
      </c>
      <c r="T451" s="3">
        <v>316000000</v>
      </c>
      <c r="U451" t="s">
        <v>42</v>
      </c>
      <c r="V451" t="s">
        <v>59</v>
      </c>
      <c r="W451" t="s">
        <v>359</v>
      </c>
      <c r="Y451" t="s">
        <v>330</v>
      </c>
      <c r="Z451" t="s">
        <v>3176</v>
      </c>
      <c r="AA451" t="s">
        <v>46</v>
      </c>
      <c r="AB451" t="s">
        <v>47</v>
      </c>
      <c r="AC451" t="s">
        <v>46</v>
      </c>
    </row>
    <row r="452" spans="1:29">
      <c r="A452" t="s">
        <v>857</v>
      </c>
      <c r="B452" s="2">
        <v>46200</v>
      </c>
      <c r="C452" t="s">
        <v>30</v>
      </c>
      <c r="D452" t="s">
        <v>49</v>
      </c>
      <c r="E452" t="s">
        <v>50</v>
      </c>
      <c r="F452" t="s">
        <v>89</v>
      </c>
      <c r="G452" t="s">
        <v>52</v>
      </c>
      <c r="H452" t="s">
        <v>90</v>
      </c>
      <c r="I452" t="s">
        <v>91</v>
      </c>
      <c r="J452" t="s">
        <v>3012</v>
      </c>
      <c r="K452" t="s">
        <v>56</v>
      </c>
      <c r="L452" t="s">
        <v>80</v>
      </c>
      <c r="M452" t="s">
        <v>39</v>
      </c>
      <c r="N452" t="s">
        <v>57</v>
      </c>
      <c r="O452" s="4">
        <v>3</v>
      </c>
      <c r="P452" s="4">
        <v>12</v>
      </c>
      <c r="Q452" t="s">
        <v>107</v>
      </c>
      <c r="R452" s="2">
        <v>46192</v>
      </c>
      <c r="S452" s="4">
        <v>11</v>
      </c>
      <c r="T452" s="3">
        <v>153000000</v>
      </c>
      <c r="U452" t="s">
        <v>42</v>
      </c>
      <c r="V452" t="s">
        <v>43</v>
      </c>
      <c r="W452" t="s">
        <v>60</v>
      </c>
      <c r="Y452" t="s">
        <v>72</v>
      </c>
      <c r="Z452" t="s">
        <v>3180</v>
      </c>
      <c r="AA452" t="s">
        <v>62</v>
      </c>
      <c r="AB452" t="s">
        <v>193</v>
      </c>
      <c r="AC452" t="s">
        <v>62</v>
      </c>
    </row>
    <row r="453" spans="1:29">
      <c r="A453" t="s">
        <v>858</v>
      </c>
      <c r="B453" s="2">
        <v>46180</v>
      </c>
      <c r="C453" t="s">
        <v>30</v>
      </c>
      <c r="D453" t="s">
        <v>134</v>
      </c>
      <c r="E453" t="s">
        <v>172</v>
      </c>
      <c r="F453" t="s">
        <v>277</v>
      </c>
      <c r="G453" t="s">
        <v>476</v>
      </c>
      <c r="H453" t="s">
        <v>175</v>
      </c>
      <c r="I453" t="s">
        <v>333</v>
      </c>
      <c r="J453" t="s">
        <v>3054</v>
      </c>
      <c r="K453" t="s">
        <v>105</v>
      </c>
      <c r="L453" t="s">
        <v>80</v>
      </c>
      <c r="M453" t="s">
        <v>164</v>
      </c>
      <c r="N453" t="s">
        <v>57</v>
      </c>
      <c r="O453" s="4">
        <v>3</v>
      </c>
      <c r="P453" s="4">
        <v>10</v>
      </c>
      <c r="Q453" t="s">
        <v>107</v>
      </c>
      <c r="R453" s="2">
        <v>46173</v>
      </c>
      <c r="S453" s="4">
        <v>30</v>
      </c>
      <c r="T453" s="3">
        <v>109000000</v>
      </c>
      <c r="U453" t="s">
        <v>260</v>
      </c>
      <c r="V453" t="s">
        <v>59</v>
      </c>
      <c r="W453" t="s">
        <v>60</v>
      </c>
      <c r="X453" t="s">
        <v>381</v>
      </c>
      <c r="Y453" t="s">
        <v>158</v>
      </c>
      <c r="Z453" t="s">
        <v>3177</v>
      </c>
      <c r="AA453" t="s">
        <v>181</v>
      </c>
      <c r="AB453" t="s">
        <v>63</v>
      </c>
      <c r="AC453" t="s">
        <v>181</v>
      </c>
    </row>
    <row r="454" spans="1:29">
      <c r="A454" t="s">
        <v>859</v>
      </c>
      <c r="B454" s="2">
        <v>46185</v>
      </c>
      <c r="C454" t="s">
        <v>30</v>
      </c>
      <c r="D454" t="s">
        <v>99</v>
      </c>
      <c r="E454" t="s">
        <v>120</v>
      </c>
      <c r="F454" t="s">
        <v>121</v>
      </c>
      <c r="G454" t="s">
        <v>224</v>
      </c>
      <c r="H454" t="s">
        <v>123</v>
      </c>
      <c r="I454" t="s">
        <v>459</v>
      </c>
      <c r="J454" t="s">
        <v>3093</v>
      </c>
      <c r="K454" t="s">
        <v>92</v>
      </c>
      <c r="L454" t="s">
        <v>80</v>
      </c>
      <c r="M454" t="s">
        <v>81</v>
      </c>
      <c r="N454" t="s">
        <v>94</v>
      </c>
      <c r="O454" s="4">
        <v>4</v>
      </c>
      <c r="P454" s="4">
        <v>12</v>
      </c>
      <c r="Q454" t="s">
        <v>58</v>
      </c>
      <c r="R454" s="2">
        <v>46183</v>
      </c>
      <c r="S454" s="4">
        <v>20</v>
      </c>
      <c r="T454" s="3">
        <v>175000000</v>
      </c>
      <c r="U454" t="s">
        <v>42</v>
      </c>
      <c r="V454" t="s">
        <v>59</v>
      </c>
      <c r="W454" t="s">
        <v>95</v>
      </c>
      <c r="Y454" t="s">
        <v>96</v>
      </c>
      <c r="Z454" t="s">
        <v>3179</v>
      </c>
      <c r="AA454" t="s">
        <v>97</v>
      </c>
      <c r="AB454" t="s">
        <v>97</v>
      </c>
      <c r="AC454" t="s">
        <v>97</v>
      </c>
    </row>
    <row r="455" spans="1:29">
      <c r="A455" t="s">
        <v>860</v>
      </c>
      <c r="B455" s="2">
        <v>46183</v>
      </c>
      <c r="C455" t="s">
        <v>30</v>
      </c>
      <c r="D455" t="s">
        <v>99</v>
      </c>
      <c r="E455" t="s">
        <v>75</v>
      </c>
      <c r="F455" t="s">
        <v>161</v>
      </c>
      <c r="G455" t="s">
        <v>77</v>
      </c>
      <c r="H455" t="s">
        <v>388</v>
      </c>
      <c r="I455" t="s">
        <v>409</v>
      </c>
      <c r="J455" t="s">
        <v>3076</v>
      </c>
      <c r="K455" t="s">
        <v>92</v>
      </c>
      <c r="L455" t="s">
        <v>187</v>
      </c>
      <c r="M455" t="s">
        <v>106</v>
      </c>
      <c r="N455" t="s">
        <v>57</v>
      </c>
      <c r="O455" s="4">
        <v>3</v>
      </c>
      <c r="P455" s="4">
        <v>5</v>
      </c>
      <c r="Q455" t="s">
        <v>58</v>
      </c>
      <c r="R455" s="2">
        <v>46177</v>
      </c>
      <c r="S455" s="4">
        <v>26</v>
      </c>
      <c r="T455" s="3">
        <v>224000000</v>
      </c>
      <c r="U455" t="s">
        <v>42</v>
      </c>
      <c r="V455" t="s">
        <v>43</v>
      </c>
      <c r="W455" t="s">
        <v>71</v>
      </c>
      <c r="Y455" t="s">
        <v>165</v>
      </c>
      <c r="Z455" t="s">
        <v>3177</v>
      </c>
      <c r="AA455" t="s">
        <v>86</v>
      </c>
      <c r="AB455" t="s">
        <v>63</v>
      </c>
      <c r="AC455" t="s">
        <v>86</v>
      </c>
    </row>
    <row r="456" spans="1:29">
      <c r="A456" t="s">
        <v>861</v>
      </c>
      <c r="B456" s="2">
        <v>46179</v>
      </c>
      <c r="C456" t="s">
        <v>30</v>
      </c>
      <c r="D456" t="s">
        <v>134</v>
      </c>
      <c r="E456" t="s">
        <v>32</v>
      </c>
      <c r="F456" t="s">
        <v>273</v>
      </c>
      <c r="G456" t="s">
        <v>257</v>
      </c>
      <c r="H456" t="s">
        <v>35</v>
      </c>
      <c r="I456" t="s">
        <v>862</v>
      </c>
      <c r="J456" t="s">
        <v>3164</v>
      </c>
      <c r="K456" t="s">
        <v>92</v>
      </c>
      <c r="L456" t="s">
        <v>68</v>
      </c>
      <c r="M456" t="s">
        <v>39</v>
      </c>
      <c r="N456" t="s">
        <v>82</v>
      </c>
      <c r="O456" s="4">
        <v>1</v>
      </c>
      <c r="P456" s="4">
        <v>1</v>
      </c>
      <c r="Q456" t="s">
        <v>69</v>
      </c>
      <c r="R456" s="2">
        <v>46176</v>
      </c>
      <c r="S456" s="4">
        <v>27</v>
      </c>
      <c r="T456" s="3">
        <v>174000000</v>
      </c>
      <c r="U456" t="s">
        <v>177</v>
      </c>
      <c r="V456" t="s">
        <v>43</v>
      </c>
      <c r="W456" t="s">
        <v>290</v>
      </c>
      <c r="X456" t="s">
        <v>261</v>
      </c>
      <c r="Y456" t="s">
        <v>85</v>
      </c>
      <c r="Z456" t="s">
        <v>3176</v>
      </c>
      <c r="AA456" t="s">
        <v>46</v>
      </c>
      <c r="AB456" t="s">
        <v>47</v>
      </c>
      <c r="AC456" t="s">
        <v>46</v>
      </c>
    </row>
    <row r="457" spans="1:29">
      <c r="A457" t="s">
        <v>863</v>
      </c>
      <c r="B457" s="2">
        <v>46194</v>
      </c>
      <c r="C457" t="s">
        <v>30</v>
      </c>
      <c r="D457" t="s">
        <v>74</v>
      </c>
      <c r="E457" t="s">
        <v>120</v>
      </c>
      <c r="F457" t="s">
        <v>246</v>
      </c>
      <c r="G457" t="s">
        <v>122</v>
      </c>
      <c r="H457" t="s">
        <v>123</v>
      </c>
      <c r="I457" t="s">
        <v>459</v>
      </c>
      <c r="J457" t="s">
        <v>3093</v>
      </c>
      <c r="K457" t="s">
        <v>56</v>
      </c>
      <c r="L457" t="s">
        <v>150</v>
      </c>
      <c r="M457" t="s">
        <v>93</v>
      </c>
      <c r="N457" t="s">
        <v>94</v>
      </c>
      <c r="O457" s="4">
        <v>4</v>
      </c>
      <c r="P457" s="4">
        <v>7</v>
      </c>
      <c r="Q457" t="s">
        <v>69</v>
      </c>
      <c r="R457" s="2">
        <v>46194</v>
      </c>
      <c r="S457" s="4">
        <v>9</v>
      </c>
      <c r="T457" s="3">
        <v>345000000</v>
      </c>
      <c r="U457" t="s">
        <v>42</v>
      </c>
      <c r="V457" t="s">
        <v>59</v>
      </c>
      <c r="W457" t="s">
        <v>170</v>
      </c>
      <c r="X457" t="s">
        <v>117</v>
      </c>
      <c r="Y457" t="s">
        <v>108</v>
      </c>
      <c r="Z457" t="s">
        <v>3179</v>
      </c>
      <c r="AA457" t="s">
        <v>97</v>
      </c>
      <c r="AB457" t="s">
        <v>97</v>
      </c>
      <c r="AC457" t="s">
        <v>97</v>
      </c>
    </row>
    <row r="458" spans="1:29">
      <c r="A458" t="s">
        <v>864</v>
      </c>
      <c r="B458" s="2">
        <v>46202</v>
      </c>
      <c r="C458" t="s">
        <v>30</v>
      </c>
      <c r="D458" t="s">
        <v>31</v>
      </c>
      <c r="E458" t="s">
        <v>172</v>
      </c>
      <c r="F458" t="s">
        <v>195</v>
      </c>
      <c r="G458" t="s">
        <v>278</v>
      </c>
      <c r="H458" t="s">
        <v>175</v>
      </c>
      <c r="I458" t="s">
        <v>485</v>
      </c>
      <c r="J458" t="s">
        <v>3101</v>
      </c>
      <c r="K458" t="s">
        <v>92</v>
      </c>
      <c r="L458" t="s">
        <v>187</v>
      </c>
      <c r="M458" t="s">
        <v>106</v>
      </c>
      <c r="N458" t="s">
        <v>40</v>
      </c>
      <c r="O458" s="4">
        <v>2</v>
      </c>
      <c r="P458" s="4">
        <v>8</v>
      </c>
      <c r="Q458" t="s">
        <v>138</v>
      </c>
      <c r="R458" s="2">
        <v>46202</v>
      </c>
      <c r="S458" s="4">
        <v>1</v>
      </c>
      <c r="T458" s="3">
        <v>197000000</v>
      </c>
      <c r="U458" t="s">
        <v>42</v>
      </c>
      <c r="V458" t="s">
        <v>43</v>
      </c>
      <c r="W458" t="s">
        <v>44</v>
      </c>
      <c r="Y458" t="s">
        <v>180</v>
      </c>
      <c r="Z458" t="s">
        <v>3178</v>
      </c>
      <c r="AA458" t="s">
        <v>181</v>
      </c>
      <c r="AB458" t="s">
        <v>87</v>
      </c>
      <c r="AC458" t="s">
        <v>181</v>
      </c>
    </row>
    <row r="459" spans="1:29">
      <c r="A459" t="s">
        <v>865</v>
      </c>
      <c r="B459" s="2">
        <v>46176</v>
      </c>
      <c r="C459" t="s">
        <v>30</v>
      </c>
      <c r="D459" t="s">
        <v>134</v>
      </c>
      <c r="E459" t="s">
        <v>111</v>
      </c>
      <c r="F459" t="s">
        <v>264</v>
      </c>
      <c r="G459" t="s">
        <v>113</v>
      </c>
      <c r="H459" t="s">
        <v>114</v>
      </c>
      <c r="I459" t="s">
        <v>115</v>
      </c>
      <c r="J459" t="s">
        <v>3014</v>
      </c>
      <c r="K459" t="s">
        <v>56</v>
      </c>
      <c r="L459" t="s">
        <v>55</v>
      </c>
      <c r="M459" t="s">
        <v>56</v>
      </c>
      <c r="N459" t="s">
        <v>94</v>
      </c>
      <c r="O459" s="4">
        <v>4</v>
      </c>
      <c r="P459" s="4">
        <v>6</v>
      </c>
      <c r="Q459" t="s">
        <v>41</v>
      </c>
      <c r="R459" s="2">
        <v>46167</v>
      </c>
      <c r="S459" s="4">
        <v>36</v>
      </c>
      <c r="T459" s="3">
        <v>385000000</v>
      </c>
      <c r="U459" t="s">
        <v>42</v>
      </c>
      <c r="V459" t="s">
        <v>59</v>
      </c>
      <c r="W459" t="s">
        <v>188</v>
      </c>
      <c r="Y459" t="s">
        <v>268</v>
      </c>
      <c r="Z459" t="s">
        <v>3179</v>
      </c>
      <c r="AA459" t="s">
        <v>118</v>
      </c>
      <c r="AB459" t="s">
        <v>97</v>
      </c>
      <c r="AC459" t="s">
        <v>118</v>
      </c>
    </row>
    <row r="460" spans="1:29">
      <c r="A460" t="s">
        <v>866</v>
      </c>
      <c r="B460" s="2">
        <v>46190</v>
      </c>
      <c r="C460" t="s">
        <v>30</v>
      </c>
      <c r="D460" t="s">
        <v>74</v>
      </c>
      <c r="E460" t="s">
        <v>111</v>
      </c>
      <c r="F460" t="s">
        <v>112</v>
      </c>
      <c r="G460" t="s">
        <v>265</v>
      </c>
      <c r="H460" t="s">
        <v>114</v>
      </c>
      <c r="I460" t="s">
        <v>383</v>
      </c>
      <c r="J460" t="s">
        <v>3070</v>
      </c>
      <c r="K460" t="s">
        <v>116</v>
      </c>
      <c r="L460" t="s">
        <v>68</v>
      </c>
      <c r="M460" t="s">
        <v>39</v>
      </c>
      <c r="N460" t="s">
        <v>213</v>
      </c>
      <c r="O460" s="4">
        <v>6</v>
      </c>
      <c r="P460" s="4">
        <v>13</v>
      </c>
      <c r="Q460" t="s">
        <v>142</v>
      </c>
      <c r="R460" s="2">
        <v>46186</v>
      </c>
      <c r="S460" s="4">
        <v>17</v>
      </c>
      <c r="T460" s="3">
        <v>199000000</v>
      </c>
      <c r="U460" t="s">
        <v>214</v>
      </c>
      <c r="V460" t="s">
        <v>70</v>
      </c>
      <c r="W460" t="s">
        <v>215</v>
      </c>
      <c r="Y460" t="s">
        <v>249</v>
      </c>
      <c r="Z460" t="s">
        <v>3179</v>
      </c>
      <c r="AA460" t="s">
        <v>118</v>
      </c>
      <c r="AB460" t="s">
        <v>97</v>
      </c>
      <c r="AC460" t="s">
        <v>118</v>
      </c>
    </row>
    <row r="461" spans="1:29">
      <c r="A461" t="s">
        <v>867</v>
      </c>
      <c r="B461" s="2">
        <v>46202</v>
      </c>
      <c r="C461" t="s">
        <v>30</v>
      </c>
      <c r="D461" t="s">
        <v>31</v>
      </c>
      <c r="E461" t="s">
        <v>172</v>
      </c>
      <c r="F461" t="s">
        <v>195</v>
      </c>
      <c r="G461" t="s">
        <v>289</v>
      </c>
      <c r="H461" t="s">
        <v>175</v>
      </c>
      <c r="I461" t="s">
        <v>358</v>
      </c>
      <c r="J461" t="s">
        <v>3062</v>
      </c>
      <c r="K461" t="s">
        <v>105</v>
      </c>
      <c r="L461" t="s">
        <v>80</v>
      </c>
      <c r="M461" t="s">
        <v>39</v>
      </c>
      <c r="N461" t="s">
        <v>213</v>
      </c>
      <c r="O461" s="4">
        <v>6</v>
      </c>
      <c r="P461" s="4">
        <v>9</v>
      </c>
      <c r="Q461" t="s">
        <v>58</v>
      </c>
      <c r="R461" s="2">
        <v>46202</v>
      </c>
      <c r="S461" s="4">
        <v>1</v>
      </c>
      <c r="T461" s="3">
        <v>78000000</v>
      </c>
      <c r="U461" t="s">
        <v>214</v>
      </c>
      <c r="V461" t="s">
        <v>70</v>
      </c>
      <c r="W461" t="s">
        <v>390</v>
      </c>
      <c r="Y461" t="s">
        <v>216</v>
      </c>
      <c r="Z461" t="s">
        <v>3179</v>
      </c>
      <c r="AA461" t="s">
        <v>181</v>
      </c>
      <c r="AB461" t="s">
        <v>97</v>
      </c>
      <c r="AC461" t="s">
        <v>181</v>
      </c>
    </row>
    <row r="462" spans="1:29">
      <c r="A462" t="s">
        <v>868</v>
      </c>
      <c r="B462" s="2">
        <v>46202</v>
      </c>
      <c r="C462" t="s">
        <v>30</v>
      </c>
      <c r="D462" t="s">
        <v>31</v>
      </c>
      <c r="E462" t="s">
        <v>152</v>
      </c>
      <c r="F462" t="s">
        <v>153</v>
      </c>
      <c r="G462" t="s">
        <v>286</v>
      </c>
      <c r="H462" t="s">
        <v>155</v>
      </c>
      <c r="I462" t="s">
        <v>443</v>
      </c>
      <c r="J462" t="s">
        <v>3086</v>
      </c>
      <c r="K462" t="s">
        <v>92</v>
      </c>
      <c r="L462" t="s">
        <v>187</v>
      </c>
      <c r="M462" t="s">
        <v>56</v>
      </c>
      <c r="N462" t="s">
        <v>57</v>
      </c>
      <c r="O462" s="4">
        <v>3</v>
      </c>
      <c r="P462" s="4">
        <v>6</v>
      </c>
      <c r="Q462" t="s">
        <v>69</v>
      </c>
      <c r="R462" s="2">
        <v>46199</v>
      </c>
      <c r="S462" s="4">
        <v>4</v>
      </c>
      <c r="T462" s="3">
        <v>49000000</v>
      </c>
      <c r="U462" t="s">
        <v>42</v>
      </c>
      <c r="V462" t="s">
        <v>59</v>
      </c>
      <c r="W462" t="s">
        <v>203</v>
      </c>
      <c r="Y462" t="s">
        <v>61</v>
      </c>
      <c r="Z462" t="s">
        <v>3177</v>
      </c>
      <c r="AA462" t="s">
        <v>159</v>
      </c>
      <c r="AB462" t="s">
        <v>63</v>
      </c>
      <c r="AC462" t="s">
        <v>159</v>
      </c>
    </row>
    <row r="463" spans="1:29">
      <c r="A463" t="s">
        <v>869</v>
      </c>
      <c r="B463" s="2">
        <v>46202</v>
      </c>
      <c r="C463" t="s">
        <v>30</v>
      </c>
      <c r="D463" t="s">
        <v>31</v>
      </c>
      <c r="E463" t="s">
        <v>152</v>
      </c>
      <c r="F463" t="s">
        <v>205</v>
      </c>
      <c r="G463" t="s">
        <v>206</v>
      </c>
      <c r="H463" t="s">
        <v>283</v>
      </c>
      <c r="I463" t="s">
        <v>663</v>
      </c>
      <c r="J463" t="s">
        <v>3145</v>
      </c>
      <c r="K463" t="s">
        <v>92</v>
      </c>
      <c r="L463" t="s">
        <v>38</v>
      </c>
      <c r="M463" t="s">
        <v>93</v>
      </c>
      <c r="N463" t="s">
        <v>57</v>
      </c>
      <c r="O463" s="4">
        <v>3</v>
      </c>
      <c r="P463" s="4">
        <v>11</v>
      </c>
      <c r="Q463" t="s">
        <v>69</v>
      </c>
      <c r="R463" s="2">
        <v>46197</v>
      </c>
      <c r="S463" s="4">
        <v>6</v>
      </c>
      <c r="T463" s="3">
        <v>165000000</v>
      </c>
      <c r="U463" t="s">
        <v>177</v>
      </c>
      <c r="V463" t="s">
        <v>43</v>
      </c>
      <c r="W463" t="s">
        <v>203</v>
      </c>
      <c r="X463" t="s">
        <v>308</v>
      </c>
      <c r="Y463" t="s">
        <v>72</v>
      </c>
      <c r="Z463" t="s">
        <v>3177</v>
      </c>
      <c r="AA463" t="s">
        <v>159</v>
      </c>
      <c r="AB463" t="s">
        <v>63</v>
      </c>
      <c r="AC463" t="s">
        <v>159</v>
      </c>
    </row>
    <row r="464" spans="1:29">
      <c r="A464" t="s">
        <v>870</v>
      </c>
      <c r="B464" s="2">
        <v>46193</v>
      </c>
      <c r="C464" t="s">
        <v>30</v>
      </c>
      <c r="D464" t="s">
        <v>74</v>
      </c>
      <c r="E464" t="s">
        <v>120</v>
      </c>
      <c r="F464" t="s">
        <v>167</v>
      </c>
      <c r="G464" t="s">
        <v>420</v>
      </c>
      <c r="H464" t="s">
        <v>136</v>
      </c>
      <c r="I464" t="s">
        <v>627</v>
      </c>
      <c r="J464" t="s">
        <v>3134</v>
      </c>
      <c r="K464" t="s">
        <v>56</v>
      </c>
      <c r="L464" t="s">
        <v>38</v>
      </c>
      <c r="M464" t="s">
        <v>129</v>
      </c>
      <c r="N464" t="s">
        <v>57</v>
      </c>
      <c r="O464" s="4">
        <v>3</v>
      </c>
      <c r="P464" s="4">
        <v>7</v>
      </c>
      <c r="Q464" t="s">
        <v>107</v>
      </c>
      <c r="R464" s="2">
        <v>46183</v>
      </c>
      <c r="S464" s="4">
        <v>20</v>
      </c>
      <c r="T464" s="3">
        <v>157000000</v>
      </c>
      <c r="U464" t="s">
        <v>42</v>
      </c>
      <c r="V464" t="s">
        <v>43</v>
      </c>
      <c r="W464" t="s">
        <v>71</v>
      </c>
      <c r="Y464" t="s">
        <v>165</v>
      </c>
      <c r="Z464" t="s">
        <v>3177</v>
      </c>
      <c r="AA464" t="s">
        <v>97</v>
      </c>
      <c r="AB464" t="s">
        <v>63</v>
      </c>
      <c r="AC464" t="s">
        <v>97</v>
      </c>
    </row>
    <row r="465" spans="1:29">
      <c r="A465" t="s">
        <v>871</v>
      </c>
      <c r="B465" s="2">
        <v>46196</v>
      </c>
      <c r="C465" t="s">
        <v>30</v>
      </c>
      <c r="D465" t="s">
        <v>49</v>
      </c>
      <c r="E465" t="s">
        <v>100</v>
      </c>
      <c r="F465" t="s">
        <v>146</v>
      </c>
      <c r="G465" t="s">
        <v>237</v>
      </c>
      <c r="H465" t="s">
        <v>103</v>
      </c>
      <c r="I465" t="s">
        <v>563</v>
      </c>
      <c r="J465" t="s">
        <v>3120</v>
      </c>
      <c r="K465" t="s">
        <v>37</v>
      </c>
      <c r="L465" t="s">
        <v>68</v>
      </c>
      <c r="M465" t="s">
        <v>81</v>
      </c>
      <c r="N465" t="s">
        <v>130</v>
      </c>
      <c r="O465" s="4">
        <v>5</v>
      </c>
      <c r="P465" s="4">
        <v>17</v>
      </c>
      <c r="Q465" t="s">
        <v>41</v>
      </c>
      <c r="R465" s="2">
        <v>46188</v>
      </c>
      <c r="S465" s="4">
        <v>15</v>
      </c>
      <c r="T465" s="3">
        <v>187000000</v>
      </c>
      <c r="U465" t="s">
        <v>42</v>
      </c>
      <c r="V465" t="s">
        <v>143</v>
      </c>
      <c r="W465" t="s">
        <v>144</v>
      </c>
      <c r="Y465" t="s">
        <v>262</v>
      </c>
      <c r="Z465" t="s">
        <v>3179</v>
      </c>
      <c r="AA465" t="s">
        <v>109</v>
      </c>
      <c r="AB465" t="s">
        <v>97</v>
      </c>
      <c r="AC465" t="s">
        <v>109</v>
      </c>
    </row>
    <row r="466" spans="1:29">
      <c r="A466" t="s">
        <v>872</v>
      </c>
      <c r="B466" s="2">
        <v>46192</v>
      </c>
      <c r="C466" t="s">
        <v>30</v>
      </c>
      <c r="D466" t="s">
        <v>74</v>
      </c>
      <c r="E466" t="s">
        <v>152</v>
      </c>
      <c r="F466" t="s">
        <v>205</v>
      </c>
      <c r="G466" t="s">
        <v>286</v>
      </c>
      <c r="H466" t="s">
        <v>283</v>
      </c>
      <c r="I466" t="s">
        <v>393</v>
      </c>
      <c r="J466" t="s">
        <v>3072</v>
      </c>
      <c r="K466" t="s">
        <v>37</v>
      </c>
      <c r="L466" t="s">
        <v>80</v>
      </c>
      <c r="M466" t="s">
        <v>129</v>
      </c>
      <c r="N466" t="s">
        <v>130</v>
      </c>
      <c r="O466" s="4">
        <v>5</v>
      </c>
      <c r="P466" s="4">
        <v>12</v>
      </c>
      <c r="Q466" t="s">
        <v>138</v>
      </c>
      <c r="R466" s="2">
        <v>46186</v>
      </c>
      <c r="S466" s="4">
        <v>17</v>
      </c>
      <c r="T466" s="3">
        <v>91000000</v>
      </c>
      <c r="U466" t="s">
        <v>42</v>
      </c>
      <c r="V466" t="s">
        <v>70</v>
      </c>
      <c r="W466" t="s">
        <v>355</v>
      </c>
      <c r="Y466" t="s">
        <v>334</v>
      </c>
      <c r="Z466" t="s">
        <v>3179</v>
      </c>
      <c r="AA466" t="s">
        <v>159</v>
      </c>
      <c r="AB466" t="s">
        <v>97</v>
      </c>
      <c r="AC466" t="s">
        <v>159</v>
      </c>
    </row>
    <row r="467" spans="1:29">
      <c r="A467" t="s">
        <v>873</v>
      </c>
      <c r="B467" s="2">
        <v>46199</v>
      </c>
      <c r="C467" t="s">
        <v>30</v>
      </c>
      <c r="D467" t="s">
        <v>49</v>
      </c>
      <c r="E467" t="s">
        <v>120</v>
      </c>
      <c r="F467" t="s">
        <v>121</v>
      </c>
      <c r="G467" t="s">
        <v>227</v>
      </c>
      <c r="H467" t="s">
        <v>123</v>
      </c>
      <c r="I467" t="s">
        <v>459</v>
      </c>
      <c r="J467" t="s">
        <v>3093</v>
      </c>
      <c r="K467" t="s">
        <v>92</v>
      </c>
      <c r="L467" t="s">
        <v>68</v>
      </c>
      <c r="M467" t="s">
        <v>106</v>
      </c>
      <c r="N467" t="s">
        <v>213</v>
      </c>
      <c r="O467" s="4">
        <v>6</v>
      </c>
      <c r="P467" s="4">
        <v>10</v>
      </c>
      <c r="Q467" t="s">
        <v>69</v>
      </c>
      <c r="R467" s="2">
        <v>46190</v>
      </c>
      <c r="S467" s="4">
        <v>13</v>
      </c>
      <c r="T467" s="3">
        <v>148000000</v>
      </c>
      <c r="U467" t="s">
        <v>42</v>
      </c>
      <c r="V467" t="s">
        <v>143</v>
      </c>
      <c r="W467" t="s">
        <v>438</v>
      </c>
      <c r="X467" t="s">
        <v>253</v>
      </c>
      <c r="Y467" t="s">
        <v>216</v>
      </c>
      <c r="Z467" t="s">
        <v>3179</v>
      </c>
      <c r="AA467" t="s">
        <v>97</v>
      </c>
      <c r="AB467" t="s">
        <v>97</v>
      </c>
      <c r="AC467" t="s">
        <v>97</v>
      </c>
    </row>
    <row r="468" spans="1:29">
      <c r="A468" t="s">
        <v>874</v>
      </c>
      <c r="B468" s="2">
        <v>46188</v>
      </c>
      <c r="C468" t="s">
        <v>30</v>
      </c>
      <c r="D468" t="s">
        <v>74</v>
      </c>
      <c r="E468" t="s">
        <v>152</v>
      </c>
      <c r="F468" t="s">
        <v>221</v>
      </c>
      <c r="G468" t="s">
        <v>294</v>
      </c>
      <c r="H468" t="s">
        <v>207</v>
      </c>
      <c r="I468" t="s">
        <v>773</v>
      </c>
      <c r="J468" t="s">
        <v>3153</v>
      </c>
      <c r="K468" t="s">
        <v>116</v>
      </c>
      <c r="L468" t="s">
        <v>38</v>
      </c>
      <c r="M468" t="s">
        <v>93</v>
      </c>
      <c r="N468" t="s">
        <v>40</v>
      </c>
      <c r="O468" s="4">
        <v>2</v>
      </c>
      <c r="P468" s="4">
        <v>8</v>
      </c>
      <c r="Q468" t="s">
        <v>142</v>
      </c>
      <c r="R468" s="2">
        <v>46185</v>
      </c>
      <c r="S468" s="4">
        <v>18</v>
      </c>
      <c r="T468" s="3">
        <v>108000000</v>
      </c>
      <c r="U468" t="s">
        <v>42</v>
      </c>
      <c r="V468" t="s">
        <v>43</v>
      </c>
      <c r="W468" t="s">
        <v>239</v>
      </c>
      <c r="Y468" t="s">
        <v>45</v>
      </c>
      <c r="Z468" t="s">
        <v>3178</v>
      </c>
      <c r="AA468" t="s">
        <v>159</v>
      </c>
      <c r="AB468" t="s">
        <v>87</v>
      </c>
      <c r="AC468" t="s">
        <v>159</v>
      </c>
    </row>
    <row r="469" spans="1:29">
      <c r="A469" t="s">
        <v>875</v>
      </c>
      <c r="B469" s="2">
        <v>46182</v>
      </c>
      <c r="C469" t="s">
        <v>30</v>
      </c>
      <c r="D469" t="s">
        <v>99</v>
      </c>
      <c r="E469" t="s">
        <v>75</v>
      </c>
      <c r="F469" t="s">
        <v>76</v>
      </c>
      <c r="G469" t="s">
        <v>230</v>
      </c>
      <c r="H469" t="s">
        <v>185</v>
      </c>
      <c r="I469" t="s">
        <v>721</v>
      </c>
      <c r="J469" t="s">
        <v>3147</v>
      </c>
      <c r="K469" t="s">
        <v>56</v>
      </c>
      <c r="L469" t="s">
        <v>150</v>
      </c>
      <c r="M469" t="s">
        <v>129</v>
      </c>
      <c r="N469" t="s">
        <v>94</v>
      </c>
      <c r="O469" s="4">
        <v>4</v>
      </c>
      <c r="P469" s="4">
        <v>12</v>
      </c>
      <c r="Q469" t="s">
        <v>41</v>
      </c>
      <c r="R469" s="2">
        <v>46180</v>
      </c>
      <c r="S469" s="4">
        <v>23</v>
      </c>
      <c r="T469" s="3">
        <v>340000000</v>
      </c>
      <c r="U469" t="s">
        <v>42</v>
      </c>
      <c r="V469" t="s">
        <v>59</v>
      </c>
      <c r="W469" t="s">
        <v>267</v>
      </c>
      <c r="Y469" t="s">
        <v>268</v>
      </c>
      <c r="Z469" t="s">
        <v>3179</v>
      </c>
      <c r="AA469" t="s">
        <v>86</v>
      </c>
      <c r="AB469" t="s">
        <v>97</v>
      </c>
      <c r="AC469" t="s">
        <v>86</v>
      </c>
    </row>
    <row r="470" spans="1:29">
      <c r="A470" t="s">
        <v>876</v>
      </c>
      <c r="B470" s="2">
        <v>46201</v>
      </c>
      <c r="C470" t="s">
        <v>30</v>
      </c>
      <c r="D470" t="s">
        <v>49</v>
      </c>
      <c r="E470" t="s">
        <v>100</v>
      </c>
      <c r="F470" t="s">
        <v>140</v>
      </c>
      <c r="G470" t="s">
        <v>237</v>
      </c>
      <c r="H470" t="s">
        <v>103</v>
      </c>
      <c r="I470" t="s">
        <v>436</v>
      </c>
      <c r="J470" t="s">
        <v>3084</v>
      </c>
      <c r="K470" t="s">
        <v>37</v>
      </c>
      <c r="L470" t="s">
        <v>38</v>
      </c>
      <c r="M470" t="s">
        <v>93</v>
      </c>
      <c r="N470" t="s">
        <v>57</v>
      </c>
      <c r="O470" s="4">
        <v>3</v>
      </c>
      <c r="P470" s="4">
        <v>6</v>
      </c>
      <c r="Q470" t="s">
        <v>41</v>
      </c>
      <c r="R470" s="2">
        <v>46192</v>
      </c>
      <c r="S470" s="4">
        <v>11</v>
      </c>
      <c r="T470" s="3">
        <v>248000000</v>
      </c>
      <c r="U470" t="s">
        <v>42</v>
      </c>
      <c r="V470" t="s">
        <v>59</v>
      </c>
      <c r="W470" t="s">
        <v>71</v>
      </c>
      <c r="Y470" t="s">
        <v>158</v>
      </c>
      <c r="Z470" t="s">
        <v>3177</v>
      </c>
      <c r="AA470" t="s">
        <v>109</v>
      </c>
      <c r="AB470" t="s">
        <v>63</v>
      </c>
      <c r="AC470" t="s">
        <v>109</v>
      </c>
    </row>
    <row r="471" spans="1:29">
      <c r="A471" t="s">
        <v>877</v>
      </c>
      <c r="B471" s="2">
        <v>46190</v>
      </c>
      <c r="C471" t="s">
        <v>30</v>
      </c>
      <c r="D471" t="s">
        <v>74</v>
      </c>
      <c r="E471" t="s">
        <v>100</v>
      </c>
      <c r="F471" t="s">
        <v>101</v>
      </c>
      <c r="G471" t="s">
        <v>212</v>
      </c>
      <c r="H471" t="s">
        <v>148</v>
      </c>
      <c r="I471" t="s">
        <v>315</v>
      </c>
      <c r="J471" t="s">
        <v>3049</v>
      </c>
      <c r="K471" t="s">
        <v>37</v>
      </c>
      <c r="L471" t="s">
        <v>55</v>
      </c>
      <c r="M471" t="s">
        <v>129</v>
      </c>
      <c r="N471" t="s">
        <v>57</v>
      </c>
      <c r="O471" s="4">
        <v>3</v>
      </c>
      <c r="P471" s="4">
        <v>7</v>
      </c>
      <c r="Q471" t="s">
        <v>138</v>
      </c>
      <c r="R471" s="2">
        <v>46183</v>
      </c>
      <c r="S471" s="4">
        <v>20</v>
      </c>
      <c r="T471" s="3">
        <v>130000000</v>
      </c>
      <c r="U471" t="s">
        <v>42</v>
      </c>
      <c r="V471" t="s">
        <v>59</v>
      </c>
      <c r="W471" t="s">
        <v>203</v>
      </c>
      <c r="Y471" t="s">
        <v>158</v>
      </c>
      <c r="Z471" t="s">
        <v>3177</v>
      </c>
      <c r="AA471" t="s">
        <v>109</v>
      </c>
      <c r="AB471" t="s">
        <v>63</v>
      </c>
      <c r="AC471" t="s">
        <v>109</v>
      </c>
    </row>
    <row r="472" spans="1:29">
      <c r="A472" t="s">
        <v>878</v>
      </c>
      <c r="B472" s="2">
        <v>46175</v>
      </c>
      <c r="C472" t="s">
        <v>30</v>
      </c>
      <c r="D472" t="s">
        <v>134</v>
      </c>
      <c r="E472" t="s">
        <v>111</v>
      </c>
      <c r="F472" t="s">
        <v>190</v>
      </c>
      <c r="G472" t="s">
        <v>348</v>
      </c>
      <c r="H472" t="s">
        <v>191</v>
      </c>
      <c r="I472" t="s">
        <v>578</v>
      </c>
      <c r="J472" t="s">
        <v>3124</v>
      </c>
      <c r="K472" t="s">
        <v>37</v>
      </c>
      <c r="L472" t="s">
        <v>38</v>
      </c>
      <c r="M472" t="s">
        <v>164</v>
      </c>
      <c r="N472" t="s">
        <v>94</v>
      </c>
      <c r="O472" s="4">
        <v>4</v>
      </c>
      <c r="P472" s="4">
        <v>7</v>
      </c>
      <c r="Q472" t="s">
        <v>58</v>
      </c>
      <c r="R472" s="2">
        <v>46171</v>
      </c>
      <c r="S472" s="4">
        <v>32</v>
      </c>
      <c r="T472" s="3">
        <v>72000000</v>
      </c>
      <c r="U472" t="s">
        <v>42</v>
      </c>
      <c r="V472" t="s">
        <v>70</v>
      </c>
      <c r="W472" t="s">
        <v>170</v>
      </c>
      <c r="Y472" t="s">
        <v>228</v>
      </c>
      <c r="Z472" t="s">
        <v>3179</v>
      </c>
      <c r="AA472" t="s">
        <v>118</v>
      </c>
      <c r="AB472" t="s">
        <v>97</v>
      </c>
      <c r="AC472" t="s">
        <v>118</v>
      </c>
    </row>
    <row r="473" spans="1:29">
      <c r="A473" t="s">
        <v>879</v>
      </c>
      <c r="B473" s="2">
        <v>46194</v>
      </c>
      <c r="C473" t="s">
        <v>30</v>
      </c>
      <c r="D473" t="s">
        <v>74</v>
      </c>
      <c r="E473" t="s">
        <v>100</v>
      </c>
      <c r="F473" t="s">
        <v>101</v>
      </c>
      <c r="G473" t="s">
        <v>237</v>
      </c>
      <c r="H473" t="s">
        <v>148</v>
      </c>
      <c r="I473" t="s">
        <v>800</v>
      </c>
      <c r="J473" t="s">
        <v>3156</v>
      </c>
      <c r="K473" t="s">
        <v>116</v>
      </c>
      <c r="L473" t="s">
        <v>150</v>
      </c>
      <c r="M473" t="s">
        <v>81</v>
      </c>
      <c r="N473" t="s">
        <v>130</v>
      </c>
      <c r="O473" s="4">
        <v>5</v>
      </c>
      <c r="P473" s="4">
        <v>15</v>
      </c>
      <c r="Q473" t="s">
        <v>83</v>
      </c>
      <c r="R473" s="2">
        <v>46186</v>
      </c>
      <c r="S473" s="4">
        <v>17</v>
      </c>
      <c r="T473" s="3">
        <v>189000000</v>
      </c>
      <c r="U473" t="s">
        <v>42</v>
      </c>
      <c r="V473" t="s">
        <v>59</v>
      </c>
      <c r="W473" t="s">
        <v>144</v>
      </c>
      <c r="Y473" t="s">
        <v>254</v>
      </c>
      <c r="Z473" t="s">
        <v>3179</v>
      </c>
      <c r="AA473" t="s">
        <v>109</v>
      </c>
      <c r="AB473" t="s">
        <v>97</v>
      </c>
      <c r="AC473" t="s">
        <v>109</v>
      </c>
    </row>
    <row r="474" spans="1:29">
      <c r="A474" t="s">
        <v>880</v>
      </c>
      <c r="B474" s="2">
        <v>46190</v>
      </c>
      <c r="C474" t="s">
        <v>30</v>
      </c>
      <c r="D474" t="s">
        <v>74</v>
      </c>
      <c r="E474" t="s">
        <v>111</v>
      </c>
      <c r="F474" t="s">
        <v>190</v>
      </c>
      <c r="G474" t="s">
        <v>113</v>
      </c>
      <c r="H474" t="s">
        <v>191</v>
      </c>
      <c r="I474" t="s">
        <v>449</v>
      </c>
      <c r="J474" t="s">
        <v>3089</v>
      </c>
      <c r="K474" t="s">
        <v>56</v>
      </c>
      <c r="L474" t="s">
        <v>187</v>
      </c>
      <c r="M474" t="s">
        <v>129</v>
      </c>
      <c r="N474" t="s">
        <v>57</v>
      </c>
      <c r="O474" s="4">
        <v>3</v>
      </c>
      <c r="P474" s="4">
        <v>9</v>
      </c>
      <c r="Q474" t="s">
        <v>138</v>
      </c>
      <c r="R474" s="2">
        <v>46189</v>
      </c>
      <c r="S474" s="4">
        <v>14</v>
      </c>
      <c r="T474" s="3">
        <v>425000000</v>
      </c>
      <c r="U474" t="s">
        <v>42</v>
      </c>
      <c r="V474" t="s">
        <v>59</v>
      </c>
      <c r="W474" t="s">
        <v>60</v>
      </c>
      <c r="Y474" t="s">
        <v>165</v>
      </c>
      <c r="Z474" t="s">
        <v>3177</v>
      </c>
      <c r="AA474" t="s">
        <v>118</v>
      </c>
      <c r="AB474" t="s">
        <v>63</v>
      </c>
      <c r="AC474" t="s">
        <v>118</v>
      </c>
    </row>
    <row r="475" spans="1:29">
      <c r="A475" t="s">
        <v>881</v>
      </c>
      <c r="B475" s="2">
        <v>46189</v>
      </c>
      <c r="C475" t="s">
        <v>30</v>
      </c>
      <c r="D475" t="s">
        <v>74</v>
      </c>
      <c r="E475" t="s">
        <v>32</v>
      </c>
      <c r="F475" t="s">
        <v>273</v>
      </c>
      <c r="G475" t="s">
        <v>218</v>
      </c>
      <c r="H475" t="s">
        <v>303</v>
      </c>
      <c r="I475" t="s">
        <v>483</v>
      </c>
      <c r="J475" t="s">
        <v>3100</v>
      </c>
      <c r="K475" t="s">
        <v>37</v>
      </c>
      <c r="L475" t="s">
        <v>38</v>
      </c>
      <c r="M475" t="s">
        <v>39</v>
      </c>
      <c r="N475" t="s">
        <v>40</v>
      </c>
      <c r="O475" s="4">
        <v>2</v>
      </c>
      <c r="P475" s="4">
        <v>2</v>
      </c>
      <c r="Q475" t="s">
        <v>41</v>
      </c>
      <c r="R475" s="2">
        <v>46179</v>
      </c>
      <c r="S475" s="4">
        <v>24</v>
      </c>
      <c r="T475" s="3">
        <v>186000000</v>
      </c>
      <c r="U475" t="s">
        <v>42</v>
      </c>
      <c r="V475" t="s">
        <v>43</v>
      </c>
      <c r="W475" t="s">
        <v>178</v>
      </c>
      <c r="Y475" t="s">
        <v>180</v>
      </c>
      <c r="Z475" t="s">
        <v>3176</v>
      </c>
      <c r="AA475" t="s">
        <v>46</v>
      </c>
      <c r="AB475" t="s">
        <v>47</v>
      </c>
      <c r="AC475" t="s">
        <v>46</v>
      </c>
    </row>
    <row r="476" spans="1:29">
      <c r="A476" t="s">
        <v>882</v>
      </c>
      <c r="B476" s="2">
        <v>46181</v>
      </c>
      <c r="C476" t="s">
        <v>30</v>
      </c>
      <c r="D476" t="s">
        <v>99</v>
      </c>
      <c r="E476" t="s">
        <v>172</v>
      </c>
      <c r="F476" t="s">
        <v>173</v>
      </c>
      <c r="G476" t="s">
        <v>289</v>
      </c>
      <c r="H476" t="s">
        <v>175</v>
      </c>
      <c r="I476" t="s">
        <v>176</v>
      </c>
      <c r="J476" t="s">
        <v>3023</v>
      </c>
      <c r="K476" t="s">
        <v>105</v>
      </c>
      <c r="L476" t="s">
        <v>55</v>
      </c>
      <c r="M476" t="s">
        <v>129</v>
      </c>
      <c r="N476" t="s">
        <v>82</v>
      </c>
      <c r="O476" s="4">
        <v>1</v>
      </c>
      <c r="P476" s="4">
        <v>4</v>
      </c>
      <c r="Q476" t="s">
        <v>58</v>
      </c>
      <c r="R476" s="2">
        <v>46177</v>
      </c>
      <c r="S476" s="4">
        <v>26</v>
      </c>
      <c r="T476" s="3">
        <v>231000000</v>
      </c>
      <c r="U476" t="s">
        <v>42</v>
      </c>
      <c r="V476" t="s">
        <v>43</v>
      </c>
      <c r="W476" t="s">
        <v>359</v>
      </c>
      <c r="Y476" t="s">
        <v>85</v>
      </c>
      <c r="Z476" t="s">
        <v>3176</v>
      </c>
      <c r="AA476" t="s">
        <v>181</v>
      </c>
      <c r="AB476" t="s">
        <v>47</v>
      </c>
      <c r="AC476" t="s">
        <v>181</v>
      </c>
    </row>
    <row r="477" spans="1:29">
      <c r="A477" t="s">
        <v>883</v>
      </c>
      <c r="B477" s="2">
        <v>46200</v>
      </c>
      <c r="C477" t="s">
        <v>30</v>
      </c>
      <c r="D477" t="s">
        <v>49</v>
      </c>
      <c r="E477" t="s">
        <v>100</v>
      </c>
      <c r="F477" t="s">
        <v>146</v>
      </c>
      <c r="G477" t="s">
        <v>237</v>
      </c>
      <c r="H477" t="s">
        <v>148</v>
      </c>
      <c r="I477" t="s">
        <v>490</v>
      </c>
      <c r="J477" t="s">
        <v>3103</v>
      </c>
      <c r="K477" t="s">
        <v>105</v>
      </c>
      <c r="L477" t="s">
        <v>187</v>
      </c>
      <c r="M477" t="s">
        <v>106</v>
      </c>
      <c r="N477" t="s">
        <v>213</v>
      </c>
      <c r="O477" s="4">
        <v>6</v>
      </c>
      <c r="P477" s="4">
        <v>12</v>
      </c>
      <c r="Q477" t="s">
        <v>107</v>
      </c>
      <c r="R477" s="2">
        <v>46192</v>
      </c>
      <c r="S477" s="4">
        <v>11</v>
      </c>
      <c r="T477" s="3">
        <v>280000000</v>
      </c>
      <c r="U477" t="s">
        <v>214</v>
      </c>
      <c r="V477" t="s">
        <v>70</v>
      </c>
      <c r="W477" t="s">
        <v>390</v>
      </c>
      <c r="Y477" t="s">
        <v>216</v>
      </c>
      <c r="Z477" t="s">
        <v>3179</v>
      </c>
      <c r="AA477" t="s">
        <v>109</v>
      </c>
      <c r="AB477" t="s">
        <v>97</v>
      </c>
      <c r="AC477" t="s">
        <v>109</v>
      </c>
    </row>
    <row r="478" spans="1:29">
      <c r="A478" t="s">
        <v>884</v>
      </c>
      <c r="B478" s="2">
        <v>46198</v>
      </c>
      <c r="C478" t="s">
        <v>30</v>
      </c>
      <c r="D478" t="s">
        <v>49</v>
      </c>
      <c r="E478" t="s">
        <v>50</v>
      </c>
      <c r="F478" t="s">
        <v>51</v>
      </c>
      <c r="G478" t="s">
        <v>234</v>
      </c>
      <c r="H478" t="s">
        <v>53</v>
      </c>
      <c r="I478" t="s">
        <v>373</v>
      </c>
      <c r="J478" t="s">
        <v>3066</v>
      </c>
      <c r="K478" t="s">
        <v>56</v>
      </c>
      <c r="L478" t="s">
        <v>68</v>
      </c>
      <c r="M478" t="s">
        <v>129</v>
      </c>
      <c r="N478" t="s">
        <v>57</v>
      </c>
      <c r="O478" s="4">
        <v>3</v>
      </c>
      <c r="P478" s="4">
        <v>15</v>
      </c>
      <c r="Q478" t="s">
        <v>83</v>
      </c>
      <c r="R478" s="2">
        <v>46196</v>
      </c>
      <c r="S478" s="4">
        <v>7</v>
      </c>
      <c r="T478" s="3">
        <v>203000000</v>
      </c>
      <c r="U478" t="s">
        <v>42</v>
      </c>
      <c r="V478" t="s">
        <v>43</v>
      </c>
      <c r="W478" t="s">
        <v>60</v>
      </c>
      <c r="Y478" t="s">
        <v>61</v>
      </c>
      <c r="Z478" t="s">
        <v>3180</v>
      </c>
      <c r="AA478" t="s">
        <v>62</v>
      </c>
      <c r="AB478" t="s">
        <v>193</v>
      </c>
      <c r="AC478" t="s">
        <v>62</v>
      </c>
    </row>
    <row r="479" spans="1:29">
      <c r="A479" t="s">
        <v>885</v>
      </c>
      <c r="B479" s="2">
        <v>46180</v>
      </c>
      <c r="C479" t="s">
        <v>30</v>
      </c>
      <c r="D479" t="s">
        <v>134</v>
      </c>
      <c r="E479" t="s">
        <v>111</v>
      </c>
      <c r="F479" t="s">
        <v>264</v>
      </c>
      <c r="G479" t="s">
        <v>265</v>
      </c>
      <c r="H479" t="s">
        <v>127</v>
      </c>
      <c r="I479" t="s">
        <v>349</v>
      </c>
      <c r="J479" t="s">
        <v>3059</v>
      </c>
      <c r="K479" t="s">
        <v>37</v>
      </c>
      <c r="L479" t="s">
        <v>150</v>
      </c>
      <c r="M479" t="s">
        <v>56</v>
      </c>
      <c r="N479" t="s">
        <v>130</v>
      </c>
      <c r="O479" s="4">
        <v>5</v>
      </c>
      <c r="P479" s="4">
        <v>14</v>
      </c>
      <c r="Q479" t="s">
        <v>58</v>
      </c>
      <c r="R479" s="2">
        <v>46172</v>
      </c>
      <c r="S479" s="4">
        <v>31</v>
      </c>
      <c r="T479" s="3">
        <v>74000000</v>
      </c>
      <c r="U479" t="s">
        <v>42</v>
      </c>
      <c r="V479" t="s">
        <v>70</v>
      </c>
      <c r="W479" t="s">
        <v>131</v>
      </c>
      <c r="Y479" t="s">
        <v>334</v>
      </c>
      <c r="Z479" t="s">
        <v>3179</v>
      </c>
      <c r="AA479" t="s">
        <v>118</v>
      </c>
      <c r="AB479" t="s">
        <v>97</v>
      </c>
      <c r="AC479" t="s">
        <v>118</v>
      </c>
    </row>
    <row r="480" spans="1:29">
      <c r="A480" t="s">
        <v>886</v>
      </c>
      <c r="B480" s="2">
        <v>46182</v>
      </c>
      <c r="C480" t="s">
        <v>30</v>
      </c>
      <c r="D480" t="s">
        <v>99</v>
      </c>
      <c r="E480" t="s">
        <v>100</v>
      </c>
      <c r="F480" t="s">
        <v>146</v>
      </c>
      <c r="G480" t="s">
        <v>313</v>
      </c>
      <c r="H480" t="s">
        <v>103</v>
      </c>
      <c r="I480" t="s">
        <v>141</v>
      </c>
      <c r="J480" t="s">
        <v>3018</v>
      </c>
      <c r="K480" t="s">
        <v>56</v>
      </c>
      <c r="L480" t="s">
        <v>38</v>
      </c>
      <c r="M480" t="s">
        <v>39</v>
      </c>
      <c r="N480" t="s">
        <v>94</v>
      </c>
      <c r="O480" s="4">
        <v>4</v>
      </c>
      <c r="P480" s="4">
        <v>12</v>
      </c>
      <c r="Q480" t="s">
        <v>58</v>
      </c>
      <c r="R480" s="2">
        <v>46181</v>
      </c>
      <c r="S480" s="4">
        <v>22</v>
      </c>
      <c r="T480" s="3">
        <v>153000000</v>
      </c>
      <c r="U480" t="s">
        <v>426</v>
      </c>
      <c r="V480" t="s">
        <v>59</v>
      </c>
      <c r="W480" t="s">
        <v>95</v>
      </c>
      <c r="X480" t="s">
        <v>261</v>
      </c>
      <c r="Y480" t="s">
        <v>228</v>
      </c>
      <c r="Z480" t="s">
        <v>3179</v>
      </c>
      <c r="AA480" t="s">
        <v>109</v>
      </c>
      <c r="AB480" t="s">
        <v>97</v>
      </c>
      <c r="AC480" t="s">
        <v>109</v>
      </c>
    </row>
    <row r="481" spans="1:29">
      <c r="A481" t="s">
        <v>887</v>
      </c>
      <c r="B481" s="2">
        <v>46200</v>
      </c>
      <c r="C481" t="s">
        <v>30</v>
      </c>
      <c r="D481" t="s">
        <v>49</v>
      </c>
      <c r="E481" t="s">
        <v>152</v>
      </c>
      <c r="F481" t="s">
        <v>221</v>
      </c>
      <c r="G481" t="s">
        <v>328</v>
      </c>
      <c r="H481" t="s">
        <v>207</v>
      </c>
      <c r="I481" t="s">
        <v>222</v>
      </c>
      <c r="J481" t="s">
        <v>3029</v>
      </c>
      <c r="K481" t="s">
        <v>105</v>
      </c>
      <c r="L481" t="s">
        <v>80</v>
      </c>
      <c r="M481" t="s">
        <v>81</v>
      </c>
      <c r="N481" t="s">
        <v>40</v>
      </c>
      <c r="O481" s="4">
        <v>2</v>
      </c>
      <c r="P481" s="4">
        <v>6</v>
      </c>
      <c r="Q481" t="s">
        <v>142</v>
      </c>
      <c r="R481" s="2">
        <v>46190</v>
      </c>
      <c r="S481" s="4">
        <v>13</v>
      </c>
      <c r="T481" s="3">
        <v>56000000</v>
      </c>
      <c r="U481" t="s">
        <v>42</v>
      </c>
      <c r="V481" t="s">
        <v>59</v>
      </c>
      <c r="W481" t="s">
        <v>44</v>
      </c>
      <c r="Y481" t="s">
        <v>180</v>
      </c>
      <c r="Z481" t="s">
        <v>3178</v>
      </c>
      <c r="AA481" t="s">
        <v>159</v>
      </c>
      <c r="AB481" t="s">
        <v>87</v>
      </c>
      <c r="AC481" t="s">
        <v>159</v>
      </c>
    </row>
    <row r="482" spans="1:29">
      <c r="A482" t="s">
        <v>888</v>
      </c>
      <c r="B482" s="2">
        <v>46191</v>
      </c>
      <c r="C482" t="s">
        <v>30</v>
      </c>
      <c r="D482" t="s">
        <v>74</v>
      </c>
      <c r="E482" t="s">
        <v>111</v>
      </c>
      <c r="F482" t="s">
        <v>112</v>
      </c>
      <c r="G482" t="s">
        <v>265</v>
      </c>
      <c r="H482" t="s">
        <v>191</v>
      </c>
      <c r="I482" t="s">
        <v>606</v>
      </c>
      <c r="J482" t="s">
        <v>3131</v>
      </c>
      <c r="K482" t="s">
        <v>37</v>
      </c>
      <c r="L482" t="s">
        <v>187</v>
      </c>
      <c r="M482" t="s">
        <v>129</v>
      </c>
      <c r="N482" t="s">
        <v>82</v>
      </c>
      <c r="O482" s="4">
        <v>1</v>
      </c>
      <c r="P482" s="4">
        <v>7</v>
      </c>
      <c r="Q482" t="s">
        <v>69</v>
      </c>
      <c r="R482" s="2">
        <v>46182</v>
      </c>
      <c r="S482" s="4">
        <v>21</v>
      </c>
      <c r="T482" s="3">
        <v>70000000</v>
      </c>
      <c r="U482" t="s">
        <v>42</v>
      </c>
      <c r="V482" t="s">
        <v>43</v>
      </c>
      <c r="W482" t="s">
        <v>290</v>
      </c>
      <c r="Y482" t="s">
        <v>291</v>
      </c>
      <c r="Z482" t="s">
        <v>3178</v>
      </c>
      <c r="AA482" t="s">
        <v>118</v>
      </c>
      <c r="AB482" t="s">
        <v>87</v>
      </c>
      <c r="AC482" t="s">
        <v>118</v>
      </c>
    </row>
    <row r="483" spans="1:29">
      <c r="A483" t="s">
        <v>889</v>
      </c>
      <c r="B483" s="2">
        <v>46183</v>
      </c>
      <c r="C483" t="s">
        <v>30</v>
      </c>
      <c r="D483" t="s">
        <v>99</v>
      </c>
      <c r="E483" t="s">
        <v>75</v>
      </c>
      <c r="F483" t="s">
        <v>161</v>
      </c>
      <c r="G483" t="s">
        <v>162</v>
      </c>
      <c r="H483" t="s">
        <v>388</v>
      </c>
      <c r="I483" t="s">
        <v>576</v>
      </c>
      <c r="J483" t="s">
        <v>3123</v>
      </c>
      <c r="K483" t="s">
        <v>105</v>
      </c>
      <c r="L483" t="s">
        <v>68</v>
      </c>
      <c r="M483" t="s">
        <v>93</v>
      </c>
      <c r="N483" t="s">
        <v>94</v>
      </c>
      <c r="O483" s="4">
        <v>4</v>
      </c>
      <c r="P483" s="4">
        <v>8</v>
      </c>
      <c r="Q483" t="s">
        <v>69</v>
      </c>
      <c r="R483" s="2">
        <v>46182</v>
      </c>
      <c r="S483" s="4">
        <v>21</v>
      </c>
      <c r="T483" s="3">
        <v>220000000</v>
      </c>
      <c r="U483" t="s">
        <v>42</v>
      </c>
      <c r="V483" t="s">
        <v>59</v>
      </c>
      <c r="W483" t="s">
        <v>188</v>
      </c>
      <c r="Y483" t="s">
        <v>96</v>
      </c>
      <c r="Z483" t="s">
        <v>3179</v>
      </c>
      <c r="AA483" t="s">
        <v>86</v>
      </c>
      <c r="AB483" t="s">
        <v>97</v>
      </c>
      <c r="AC483" t="s">
        <v>86</v>
      </c>
    </row>
    <row r="484" spans="1:29">
      <c r="A484" t="s">
        <v>890</v>
      </c>
      <c r="B484" s="2">
        <v>46180</v>
      </c>
      <c r="C484" t="s">
        <v>30</v>
      </c>
      <c r="D484" t="s">
        <v>134</v>
      </c>
      <c r="E484" t="s">
        <v>100</v>
      </c>
      <c r="F484" t="s">
        <v>140</v>
      </c>
      <c r="G484" t="s">
        <v>237</v>
      </c>
      <c r="H484" t="s">
        <v>103</v>
      </c>
      <c r="I484" t="s">
        <v>411</v>
      </c>
      <c r="J484" t="s">
        <v>3077</v>
      </c>
      <c r="K484" t="s">
        <v>37</v>
      </c>
      <c r="L484" t="s">
        <v>55</v>
      </c>
      <c r="M484" t="s">
        <v>129</v>
      </c>
      <c r="N484" t="s">
        <v>82</v>
      </c>
      <c r="O484" s="4">
        <v>1</v>
      </c>
      <c r="P484" s="4">
        <v>6</v>
      </c>
      <c r="Q484" t="s">
        <v>58</v>
      </c>
      <c r="R484" s="2">
        <v>46174</v>
      </c>
      <c r="S484" s="4">
        <v>29</v>
      </c>
      <c r="T484" s="3">
        <v>147000000</v>
      </c>
      <c r="U484" t="s">
        <v>42</v>
      </c>
      <c r="V484" t="s">
        <v>43</v>
      </c>
      <c r="W484" t="s">
        <v>290</v>
      </c>
      <c r="Y484" t="s">
        <v>291</v>
      </c>
      <c r="Z484" t="s">
        <v>3178</v>
      </c>
      <c r="AA484" t="s">
        <v>109</v>
      </c>
      <c r="AB484" t="s">
        <v>87</v>
      </c>
      <c r="AC484" t="s">
        <v>109</v>
      </c>
    </row>
    <row r="485" spans="1:29">
      <c r="A485" t="s">
        <v>891</v>
      </c>
      <c r="B485" s="2">
        <v>46193</v>
      </c>
      <c r="C485" t="s">
        <v>30</v>
      </c>
      <c r="D485" t="s">
        <v>74</v>
      </c>
      <c r="E485" t="s">
        <v>152</v>
      </c>
      <c r="F485" t="s">
        <v>205</v>
      </c>
      <c r="G485" t="s">
        <v>294</v>
      </c>
      <c r="H485" t="s">
        <v>155</v>
      </c>
      <c r="I485" t="s">
        <v>418</v>
      </c>
      <c r="J485" t="s">
        <v>3079</v>
      </c>
      <c r="K485" t="s">
        <v>105</v>
      </c>
      <c r="L485" t="s">
        <v>80</v>
      </c>
      <c r="M485" t="s">
        <v>106</v>
      </c>
      <c r="N485" t="s">
        <v>40</v>
      </c>
      <c r="O485" s="4">
        <v>2</v>
      </c>
      <c r="P485" s="4">
        <v>11</v>
      </c>
      <c r="Q485" t="s">
        <v>138</v>
      </c>
      <c r="R485" s="2">
        <v>46184</v>
      </c>
      <c r="S485" s="4">
        <v>19</v>
      </c>
      <c r="T485" s="3">
        <v>348000000</v>
      </c>
      <c r="U485" t="s">
        <v>42</v>
      </c>
      <c r="V485" t="s">
        <v>59</v>
      </c>
      <c r="W485" t="s">
        <v>178</v>
      </c>
      <c r="Y485" t="s">
        <v>281</v>
      </c>
      <c r="Z485" t="s">
        <v>3178</v>
      </c>
      <c r="AA485" t="s">
        <v>159</v>
      </c>
      <c r="AB485" t="s">
        <v>87</v>
      </c>
      <c r="AC485" t="s">
        <v>159</v>
      </c>
    </row>
    <row r="486" spans="1:29">
      <c r="A486" t="s">
        <v>892</v>
      </c>
      <c r="B486" s="2">
        <v>46199</v>
      </c>
      <c r="C486" t="s">
        <v>30</v>
      </c>
      <c r="D486" t="s">
        <v>49</v>
      </c>
      <c r="E486" t="s">
        <v>172</v>
      </c>
      <c r="F486" t="s">
        <v>195</v>
      </c>
      <c r="G486" t="s">
        <v>174</v>
      </c>
      <c r="H486" t="s">
        <v>241</v>
      </c>
      <c r="I486" t="s">
        <v>242</v>
      </c>
      <c r="J486" t="s">
        <v>3034</v>
      </c>
      <c r="K486" t="s">
        <v>37</v>
      </c>
      <c r="L486" t="s">
        <v>80</v>
      </c>
      <c r="M486" t="s">
        <v>81</v>
      </c>
      <c r="N486" t="s">
        <v>130</v>
      </c>
      <c r="O486" s="4">
        <v>5</v>
      </c>
      <c r="P486" s="4">
        <v>10</v>
      </c>
      <c r="Q486" t="s">
        <v>142</v>
      </c>
      <c r="R486" s="2">
        <v>46197</v>
      </c>
      <c r="S486" s="4">
        <v>6</v>
      </c>
      <c r="T486" s="3">
        <v>130000000</v>
      </c>
      <c r="U486" t="s">
        <v>42</v>
      </c>
      <c r="V486" t="s">
        <v>70</v>
      </c>
      <c r="W486" t="s">
        <v>355</v>
      </c>
      <c r="Y486" t="s">
        <v>254</v>
      </c>
      <c r="Z486" t="s">
        <v>3179</v>
      </c>
      <c r="AA486" t="s">
        <v>181</v>
      </c>
      <c r="AB486" t="s">
        <v>97</v>
      </c>
      <c r="AC486" t="s">
        <v>181</v>
      </c>
    </row>
    <row r="487" spans="1:29">
      <c r="A487" t="s">
        <v>893</v>
      </c>
      <c r="B487" s="2">
        <v>46186</v>
      </c>
      <c r="C487" t="s">
        <v>30</v>
      </c>
      <c r="D487" t="s">
        <v>99</v>
      </c>
      <c r="E487" t="s">
        <v>100</v>
      </c>
      <c r="F487" t="s">
        <v>140</v>
      </c>
      <c r="G487" t="s">
        <v>313</v>
      </c>
      <c r="H487" t="s">
        <v>201</v>
      </c>
      <c r="I487" t="s">
        <v>416</v>
      </c>
      <c r="J487" t="s">
        <v>3078</v>
      </c>
      <c r="K487" t="s">
        <v>56</v>
      </c>
      <c r="L487" t="s">
        <v>55</v>
      </c>
      <c r="M487" t="s">
        <v>106</v>
      </c>
      <c r="N487" t="s">
        <v>196</v>
      </c>
      <c r="O487" s="4">
        <v>7</v>
      </c>
      <c r="P487" s="4">
        <v>15</v>
      </c>
      <c r="Q487" t="s">
        <v>41</v>
      </c>
      <c r="R487" s="2">
        <v>46184</v>
      </c>
      <c r="S487" s="4">
        <v>19</v>
      </c>
      <c r="T487" s="3">
        <v>403000000</v>
      </c>
      <c r="U487" t="s">
        <v>196</v>
      </c>
      <c r="V487" t="s">
        <v>70</v>
      </c>
      <c r="W487" t="s">
        <v>197</v>
      </c>
      <c r="Y487" t="s">
        <v>210</v>
      </c>
      <c r="Z487" t="s">
        <v>3181</v>
      </c>
      <c r="AA487" t="s">
        <v>109</v>
      </c>
      <c r="AB487" t="s">
        <v>199</v>
      </c>
      <c r="AC487" t="s">
        <v>109</v>
      </c>
    </row>
    <row r="488" spans="1:29">
      <c r="A488" t="s">
        <v>894</v>
      </c>
      <c r="B488" s="2">
        <v>46193</v>
      </c>
      <c r="C488" t="s">
        <v>30</v>
      </c>
      <c r="D488" t="s">
        <v>74</v>
      </c>
      <c r="E488" t="s">
        <v>50</v>
      </c>
      <c r="F488" t="s">
        <v>51</v>
      </c>
      <c r="G488" t="s">
        <v>270</v>
      </c>
      <c r="H488" t="s">
        <v>90</v>
      </c>
      <c r="I488" t="s">
        <v>377</v>
      </c>
      <c r="J488" t="s">
        <v>3068</v>
      </c>
      <c r="K488" t="s">
        <v>37</v>
      </c>
      <c r="L488" t="s">
        <v>169</v>
      </c>
      <c r="M488" t="s">
        <v>164</v>
      </c>
      <c r="N488" t="s">
        <v>213</v>
      </c>
      <c r="O488" s="4">
        <v>6</v>
      </c>
      <c r="P488" s="4">
        <v>13</v>
      </c>
      <c r="Q488" t="s">
        <v>107</v>
      </c>
      <c r="R488" s="2">
        <v>46189</v>
      </c>
      <c r="S488" s="4">
        <v>14</v>
      </c>
      <c r="T488" s="3">
        <v>292000000</v>
      </c>
      <c r="U488" t="s">
        <v>214</v>
      </c>
      <c r="V488" t="s">
        <v>70</v>
      </c>
      <c r="W488" t="s">
        <v>248</v>
      </c>
      <c r="Y488" t="s">
        <v>249</v>
      </c>
      <c r="Z488" t="s">
        <v>3179</v>
      </c>
      <c r="AA488" t="s">
        <v>62</v>
      </c>
      <c r="AB488" t="s">
        <v>97</v>
      </c>
      <c r="AC488" t="s">
        <v>62</v>
      </c>
    </row>
    <row r="489" spans="1:29">
      <c r="A489" t="s">
        <v>895</v>
      </c>
      <c r="B489" s="2">
        <v>46197</v>
      </c>
      <c r="C489" t="s">
        <v>30</v>
      </c>
      <c r="D489" t="s">
        <v>49</v>
      </c>
      <c r="E489" t="s">
        <v>32</v>
      </c>
      <c r="F489" t="s">
        <v>33</v>
      </c>
      <c r="G489" t="s">
        <v>361</v>
      </c>
      <c r="H489" t="s">
        <v>35</v>
      </c>
      <c r="I489" t="s">
        <v>219</v>
      </c>
      <c r="J489" t="s">
        <v>3028</v>
      </c>
      <c r="K489" t="s">
        <v>116</v>
      </c>
      <c r="L489" t="s">
        <v>55</v>
      </c>
      <c r="M489" t="s">
        <v>39</v>
      </c>
      <c r="N489" t="s">
        <v>40</v>
      </c>
      <c r="O489" s="4">
        <v>2</v>
      </c>
      <c r="P489" s="4">
        <v>3</v>
      </c>
      <c r="Q489" t="s">
        <v>83</v>
      </c>
      <c r="R489" s="2">
        <v>46191</v>
      </c>
      <c r="S489" s="4">
        <v>12</v>
      </c>
      <c r="T489" s="3">
        <v>61000000</v>
      </c>
      <c r="U489" t="s">
        <v>42</v>
      </c>
      <c r="V489" t="s">
        <v>43</v>
      </c>
      <c r="W489" t="s">
        <v>239</v>
      </c>
      <c r="Y489" t="s">
        <v>45</v>
      </c>
      <c r="Z489" t="s">
        <v>3176</v>
      </c>
      <c r="AA489" t="s">
        <v>46</v>
      </c>
      <c r="AB489" t="s">
        <v>47</v>
      </c>
      <c r="AC489" t="s">
        <v>46</v>
      </c>
    </row>
    <row r="490" spans="1:29">
      <c r="A490" t="s">
        <v>896</v>
      </c>
      <c r="B490" s="2">
        <v>46193</v>
      </c>
      <c r="C490" t="s">
        <v>30</v>
      </c>
      <c r="D490" t="s">
        <v>74</v>
      </c>
      <c r="E490" t="s">
        <v>120</v>
      </c>
      <c r="F490" t="s">
        <v>167</v>
      </c>
      <c r="G490" t="s">
        <v>224</v>
      </c>
      <c r="H490" t="s">
        <v>136</v>
      </c>
      <c r="I490" t="s">
        <v>627</v>
      </c>
      <c r="J490" t="s">
        <v>3134</v>
      </c>
      <c r="K490" t="s">
        <v>37</v>
      </c>
      <c r="L490" t="s">
        <v>38</v>
      </c>
      <c r="M490" t="s">
        <v>93</v>
      </c>
      <c r="N490" t="s">
        <v>57</v>
      </c>
      <c r="O490" s="4">
        <v>3</v>
      </c>
      <c r="P490" s="4">
        <v>12</v>
      </c>
      <c r="Q490" t="s">
        <v>142</v>
      </c>
      <c r="R490" s="2">
        <v>46186</v>
      </c>
      <c r="S490" s="4">
        <v>17</v>
      </c>
      <c r="T490" s="3">
        <v>223000000</v>
      </c>
      <c r="U490" t="s">
        <v>42</v>
      </c>
      <c r="V490" t="s">
        <v>59</v>
      </c>
      <c r="W490" t="s">
        <v>60</v>
      </c>
      <c r="Y490" t="s">
        <v>72</v>
      </c>
      <c r="Z490" t="s">
        <v>3180</v>
      </c>
      <c r="AA490" t="s">
        <v>97</v>
      </c>
      <c r="AB490" t="s">
        <v>193</v>
      </c>
      <c r="AC490" t="s">
        <v>97</v>
      </c>
    </row>
    <row r="491" spans="1:29">
      <c r="A491" t="s">
        <v>897</v>
      </c>
      <c r="B491" s="2">
        <v>46188</v>
      </c>
      <c r="C491" t="s">
        <v>30</v>
      </c>
      <c r="D491" t="s">
        <v>74</v>
      </c>
      <c r="E491" t="s">
        <v>50</v>
      </c>
      <c r="F491" t="s">
        <v>351</v>
      </c>
      <c r="G491" t="s">
        <v>343</v>
      </c>
      <c r="H491" t="s">
        <v>66</v>
      </c>
      <c r="I491" t="s">
        <v>849</v>
      </c>
      <c r="J491" t="s">
        <v>3162</v>
      </c>
      <c r="K491" t="s">
        <v>37</v>
      </c>
      <c r="L491" t="s">
        <v>38</v>
      </c>
      <c r="M491" t="s">
        <v>164</v>
      </c>
      <c r="N491" t="s">
        <v>196</v>
      </c>
      <c r="O491" s="4">
        <v>7</v>
      </c>
      <c r="P491" s="4">
        <v>17</v>
      </c>
      <c r="Q491" t="s">
        <v>107</v>
      </c>
      <c r="R491" s="2">
        <v>46181</v>
      </c>
      <c r="S491" s="4">
        <v>22</v>
      </c>
      <c r="T491" s="3">
        <v>297000000</v>
      </c>
      <c r="U491" t="s">
        <v>232</v>
      </c>
      <c r="V491" t="s">
        <v>70</v>
      </c>
      <c r="W491" t="s">
        <v>675</v>
      </c>
      <c r="Y491" t="s">
        <v>210</v>
      </c>
      <c r="Z491" t="s">
        <v>3181</v>
      </c>
      <c r="AA491" t="s">
        <v>62</v>
      </c>
      <c r="AB491" t="s">
        <v>199</v>
      </c>
      <c r="AC491" t="s">
        <v>62</v>
      </c>
    </row>
    <row r="492" spans="1:29">
      <c r="A492" t="s">
        <v>898</v>
      </c>
      <c r="B492" s="2">
        <v>46177</v>
      </c>
      <c r="C492" t="s">
        <v>30</v>
      </c>
      <c r="D492" t="s">
        <v>134</v>
      </c>
      <c r="E492" t="s">
        <v>172</v>
      </c>
      <c r="F492" t="s">
        <v>195</v>
      </c>
      <c r="G492" t="s">
        <v>278</v>
      </c>
      <c r="H492" t="s">
        <v>241</v>
      </c>
      <c r="I492" t="s">
        <v>559</v>
      </c>
      <c r="J492" t="s">
        <v>3119</v>
      </c>
      <c r="K492" t="s">
        <v>56</v>
      </c>
      <c r="L492" t="s">
        <v>187</v>
      </c>
      <c r="M492" t="s">
        <v>129</v>
      </c>
      <c r="N492" t="s">
        <v>40</v>
      </c>
      <c r="O492" s="4">
        <v>2</v>
      </c>
      <c r="P492" s="4">
        <v>9</v>
      </c>
      <c r="Q492" t="s">
        <v>138</v>
      </c>
      <c r="R492" s="2">
        <v>46177</v>
      </c>
      <c r="S492" s="4">
        <v>26</v>
      </c>
      <c r="T492" s="3">
        <v>427000000</v>
      </c>
      <c r="U492" t="s">
        <v>42</v>
      </c>
      <c r="V492" t="s">
        <v>59</v>
      </c>
      <c r="W492" t="s">
        <v>239</v>
      </c>
      <c r="Y492" t="s">
        <v>45</v>
      </c>
      <c r="Z492" t="s">
        <v>3178</v>
      </c>
      <c r="AA492" t="s">
        <v>181</v>
      </c>
      <c r="AB492" t="s">
        <v>87</v>
      </c>
      <c r="AC492" t="s">
        <v>181</v>
      </c>
    </row>
    <row r="493" spans="1:29">
      <c r="A493" t="s">
        <v>899</v>
      </c>
      <c r="B493" s="2">
        <v>46196</v>
      </c>
      <c r="C493" t="s">
        <v>30</v>
      </c>
      <c r="D493" t="s">
        <v>49</v>
      </c>
      <c r="E493" t="s">
        <v>50</v>
      </c>
      <c r="F493" t="s">
        <v>351</v>
      </c>
      <c r="G493" t="s">
        <v>270</v>
      </c>
      <c r="H493" t="s">
        <v>90</v>
      </c>
      <c r="I493" t="s">
        <v>842</v>
      </c>
      <c r="J493" t="s">
        <v>3161</v>
      </c>
      <c r="K493" t="s">
        <v>92</v>
      </c>
      <c r="L493" t="s">
        <v>80</v>
      </c>
      <c r="M493" t="s">
        <v>39</v>
      </c>
      <c r="N493" t="s">
        <v>130</v>
      </c>
      <c r="O493" s="4">
        <v>5</v>
      </c>
      <c r="P493" s="4">
        <v>15</v>
      </c>
      <c r="Q493" t="s">
        <v>83</v>
      </c>
      <c r="R493" s="2">
        <v>46191</v>
      </c>
      <c r="S493" s="4">
        <v>12</v>
      </c>
      <c r="T493" s="3">
        <v>183000000</v>
      </c>
      <c r="U493" t="s">
        <v>42</v>
      </c>
      <c r="V493" t="s">
        <v>59</v>
      </c>
      <c r="W493" t="s">
        <v>355</v>
      </c>
      <c r="Y493" t="s">
        <v>334</v>
      </c>
      <c r="Z493" t="s">
        <v>3179</v>
      </c>
      <c r="AA493" t="s">
        <v>62</v>
      </c>
      <c r="AB493" t="s">
        <v>97</v>
      </c>
      <c r="AC493" t="s">
        <v>62</v>
      </c>
    </row>
    <row r="494" spans="1:29">
      <c r="A494" t="s">
        <v>900</v>
      </c>
      <c r="B494" s="2">
        <v>46188</v>
      </c>
      <c r="C494" t="s">
        <v>30</v>
      </c>
      <c r="D494" t="s">
        <v>74</v>
      </c>
      <c r="E494" t="s">
        <v>111</v>
      </c>
      <c r="F494" t="s">
        <v>112</v>
      </c>
      <c r="G494" t="s">
        <v>265</v>
      </c>
      <c r="H494" t="s">
        <v>114</v>
      </c>
      <c r="I494" t="s">
        <v>266</v>
      </c>
      <c r="J494" t="s">
        <v>3037</v>
      </c>
      <c r="K494" t="s">
        <v>37</v>
      </c>
      <c r="L494" t="s">
        <v>38</v>
      </c>
      <c r="M494" t="s">
        <v>129</v>
      </c>
      <c r="N494" t="s">
        <v>57</v>
      </c>
      <c r="O494" s="4">
        <v>3</v>
      </c>
      <c r="P494" s="4">
        <v>5</v>
      </c>
      <c r="Q494" t="s">
        <v>138</v>
      </c>
      <c r="R494" s="2">
        <v>46183</v>
      </c>
      <c r="S494" s="4">
        <v>20</v>
      </c>
      <c r="T494" s="3">
        <v>195000000</v>
      </c>
      <c r="U494" t="s">
        <v>42</v>
      </c>
      <c r="V494" t="s">
        <v>59</v>
      </c>
      <c r="W494" t="s">
        <v>71</v>
      </c>
      <c r="Y494" t="s">
        <v>61</v>
      </c>
      <c r="Z494" t="s">
        <v>3177</v>
      </c>
      <c r="AA494" t="s">
        <v>118</v>
      </c>
      <c r="AB494" t="s">
        <v>63</v>
      </c>
      <c r="AC494" t="s">
        <v>118</v>
      </c>
    </row>
    <row r="495" spans="1:29">
      <c r="A495" t="s">
        <v>901</v>
      </c>
      <c r="B495" s="2">
        <v>46192</v>
      </c>
      <c r="C495" t="s">
        <v>30</v>
      </c>
      <c r="D495" t="s">
        <v>74</v>
      </c>
      <c r="E495" t="s">
        <v>50</v>
      </c>
      <c r="F495" t="s">
        <v>51</v>
      </c>
      <c r="G495" t="s">
        <v>270</v>
      </c>
      <c r="H495" t="s">
        <v>66</v>
      </c>
      <c r="I495" t="s">
        <v>902</v>
      </c>
      <c r="J495" t="s">
        <v>3165</v>
      </c>
      <c r="K495" t="s">
        <v>37</v>
      </c>
      <c r="L495" t="s">
        <v>80</v>
      </c>
      <c r="M495" t="s">
        <v>93</v>
      </c>
      <c r="N495" t="s">
        <v>130</v>
      </c>
      <c r="O495" s="4">
        <v>5</v>
      </c>
      <c r="P495" s="4">
        <v>8</v>
      </c>
      <c r="Q495" t="s">
        <v>83</v>
      </c>
      <c r="R495" s="2">
        <v>46190</v>
      </c>
      <c r="S495" s="4">
        <v>13</v>
      </c>
      <c r="T495" s="3">
        <v>149000000</v>
      </c>
      <c r="U495" t="s">
        <v>42</v>
      </c>
      <c r="V495" t="s">
        <v>70</v>
      </c>
      <c r="W495" t="s">
        <v>131</v>
      </c>
      <c r="X495" t="s">
        <v>253</v>
      </c>
      <c r="Y495" t="s">
        <v>334</v>
      </c>
      <c r="Z495" t="s">
        <v>3179</v>
      </c>
      <c r="AA495" t="s">
        <v>62</v>
      </c>
      <c r="AB495" t="s">
        <v>97</v>
      </c>
      <c r="AC495" t="s">
        <v>62</v>
      </c>
    </row>
    <row r="496" spans="1:29">
      <c r="A496" t="s">
        <v>903</v>
      </c>
      <c r="B496" s="2">
        <v>46174</v>
      </c>
      <c r="C496" t="s">
        <v>30</v>
      </c>
      <c r="D496" t="s">
        <v>134</v>
      </c>
      <c r="E496" t="s">
        <v>172</v>
      </c>
      <c r="F496" t="s">
        <v>195</v>
      </c>
      <c r="G496" t="s">
        <v>476</v>
      </c>
      <c r="H496" t="s">
        <v>241</v>
      </c>
      <c r="I496" t="s">
        <v>512</v>
      </c>
      <c r="J496" t="s">
        <v>3107</v>
      </c>
      <c r="K496" t="s">
        <v>56</v>
      </c>
      <c r="L496" t="s">
        <v>187</v>
      </c>
      <c r="M496" t="s">
        <v>164</v>
      </c>
      <c r="N496" t="s">
        <v>40</v>
      </c>
      <c r="O496" s="4">
        <v>2</v>
      </c>
      <c r="P496" s="4">
        <v>4</v>
      </c>
      <c r="Q496" t="s">
        <v>69</v>
      </c>
      <c r="R496" s="2">
        <v>46169</v>
      </c>
      <c r="S496" s="4">
        <v>34</v>
      </c>
      <c r="T496" s="3">
        <v>111000000</v>
      </c>
      <c r="U496" t="s">
        <v>42</v>
      </c>
      <c r="V496" t="s">
        <v>43</v>
      </c>
      <c r="W496" t="s">
        <v>298</v>
      </c>
      <c r="Y496" t="s">
        <v>180</v>
      </c>
      <c r="Z496" t="s">
        <v>3176</v>
      </c>
      <c r="AA496" t="s">
        <v>181</v>
      </c>
      <c r="AB496" t="s">
        <v>47</v>
      </c>
      <c r="AC496" t="s">
        <v>181</v>
      </c>
    </row>
    <row r="497" spans="1:29">
      <c r="A497" t="s">
        <v>904</v>
      </c>
      <c r="B497" s="2">
        <v>46179</v>
      </c>
      <c r="C497" t="s">
        <v>30</v>
      </c>
      <c r="D497" t="s">
        <v>134</v>
      </c>
      <c r="E497" t="s">
        <v>32</v>
      </c>
      <c r="F497" t="s">
        <v>33</v>
      </c>
      <c r="G497" t="s">
        <v>257</v>
      </c>
      <c r="H497" t="s">
        <v>35</v>
      </c>
      <c r="I497" t="s">
        <v>323</v>
      </c>
      <c r="J497" t="s">
        <v>3052</v>
      </c>
      <c r="K497" t="s">
        <v>92</v>
      </c>
      <c r="L497" t="s">
        <v>38</v>
      </c>
      <c r="M497" t="s">
        <v>81</v>
      </c>
      <c r="N497" t="s">
        <v>94</v>
      </c>
      <c r="O497" s="4">
        <v>4</v>
      </c>
      <c r="P497" s="4">
        <v>4</v>
      </c>
      <c r="Q497" t="s">
        <v>69</v>
      </c>
      <c r="R497" s="2">
        <v>46169</v>
      </c>
      <c r="S497" s="4">
        <v>34</v>
      </c>
      <c r="T497" s="3">
        <v>169000000</v>
      </c>
      <c r="U497" t="s">
        <v>42</v>
      </c>
      <c r="V497" t="s">
        <v>59</v>
      </c>
      <c r="W497" t="s">
        <v>267</v>
      </c>
      <c r="X497" t="s">
        <v>117</v>
      </c>
      <c r="Y497" t="s">
        <v>108</v>
      </c>
      <c r="Z497" t="s">
        <v>3179</v>
      </c>
      <c r="AA497" t="s">
        <v>46</v>
      </c>
      <c r="AB497" t="s">
        <v>97</v>
      </c>
      <c r="AC497" t="s">
        <v>46</v>
      </c>
    </row>
    <row r="498" spans="1:29">
      <c r="A498" t="s">
        <v>905</v>
      </c>
      <c r="B498" s="2">
        <v>46174</v>
      </c>
      <c r="C498" t="s">
        <v>30</v>
      </c>
      <c r="D498" t="s">
        <v>134</v>
      </c>
      <c r="E498" t="s">
        <v>152</v>
      </c>
      <c r="F498" t="s">
        <v>205</v>
      </c>
      <c r="G498" t="s">
        <v>286</v>
      </c>
      <c r="H498" t="s">
        <v>207</v>
      </c>
      <c r="I498" t="s">
        <v>571</v>
      </c>
      <c r="J498" t="s">
        <v>3122</v>
      </c>
      <c r="K498" t="s">
        <v>116</v>
      </c>
      <c r="L498" t="s">
        <v>150</v>
      </c>
      <c r="M498" t="s">
        <v>39</v>
      </c>
      <c r="N498" t="s">
        <v>57</v>
      </c>
      <c r="O498" s="4">
        <v>3</v>
      </c>
      <c r="P498" s="4">
        <v>13</v>
      </c>
      <c r="Q498" t="s">
        <v>58</v>
      </c>
      <c r="R498" s="2">
        <v>46171</v>
      </c>
      <c r="S498" s="4">
        <v>32</v>
      </c>
      <c r="T498" s="3">
        <v>86000000</v>
      </c>
      <c r="U498" t="s">
        <v>42</v>
      </c>
      <c r="V498" t="s">
        <v>59</v>
      </c>
      <c r="W498" t="s">
        <v>203</v>
      </c>
      <c r="Y498" t="s">
        <v>158</v>
      </c>
      <c r="Z498" t="s">
        <v>3180</v>
      </c>
      <c r="AA498" t="s">
        <v>159</v>
      </c>
      <c r="AB498" t="s">
        <v>193</v>
      </c>
      <c r="AC498" t="s">
        <v>159</v>
      </c>
    </row>
    <row r="499" spans="1:29">
      <c r="A499" t="s">
        <v>906</v>
      </c>
      <c r="B499" s="2">
        <v>46201</v>
      </c>
      <c r="C499" t="s">
        <v>30</v>
      </c>
      <c r="D499" t="s">
        <v>49</v>
      </c>
      <c r="E499" t="s">
        <v>111</v>
      </c>
      <c r="F499" t="s">
        <v>190</v>
      </c>
      <c r="G499" t="s">
        <v>126</v>
      </c>
      <c r="H499" t="s">
        <v>191</v>
      </c>
      <c r="I499" t="s">
        <v>578</v>
      </c>
      <c r="J499" t="s">
        <v>3124</v>
      </c>
      <c r="K499" t="s">
        <v>92</v>
      </c>
      <c r="L499" t="s">
        <v>80</v>
      </c>
      <c r="M499" t="s">
        <v>81</v>
      </c>
      <c r="N499" t="s">
        <v>196</v>
      </c>
      <c r="O499" s="4">
        <v>7</v>
      </c>
      <c r="P499" s="4">
        <v>15</v>
      </c>
      <c r="Q499" t="s">
        <v>142</v>
      </c>
      <c r="R499" s="2">
        <v>46194</v>
      </c>
      <c r="S499" s="4">
        <v>9</v>
      </c>
      <c r="T499" s="3">
        <v>192000000</v>
      </c>
      <c r="U499" t="s">
        <v>196</v>
      </c>
      <c r="V499" t="s">
        <v>70</v>
      </c>
      <c r="W499" t="s">
        <v>675</v>
      </c>
      <c r="Y499" t="s">
        <v>210</v>
      </c>
      <c r="Z499" t="s">
        <v>3181</v>
      </c>
      <c r="AA499" t="s">
        <v>118</v>
      </c>
      <c r="AB499" t="s">
        <v>199</v>
      </c>
      <c r="AC499" t="s">
        <v>118</v>
      </c>
    </row>
    <row r="500" spans="1:29">
      <c r="A500" t="s">
        <v>907</v>
      </c>
      <c r="B500" s="2">
        <v>46175</v>
      </c>
      <c r="C500" t="s">
        <v>30</v>
      </c>
      <c r="D500" t="s">
        <v>134</v>
      </c>
      <c r="E500" t="s">
        <v>172</v>
      </c>
      <c r="F500" t="s">
        <v>277</v>
      </c>
      <c r="G500" t="s">
        <v>278</v>
      </c>
      <c r="H500" t="s">
        <v>175</v>
      </c>
      <c r="I500" t="s">
        <v>516</v>
      </c>
      <c r="J500" t="s">
        <v>3108</v>
      </c>
      <c r="K500" t="s">
        <v>92</v>
      </c>
      <c r="L500" t="s">
        <v>80</v>
      </c>
      <c r="M500" t="s">
        <v>81</v>
      </c>
      <c r="N500" t="s">
        <v>57</v>
      </c>
      <c r="O500" s="4">
        <v>3</v>
      </c>
      <c r="P500" s="4">
        <v>3</v>
      </c>
      <c r="Q500" t="s">
        <v>138</v>
      </c>
      <c r="R500" s="2">
        <v>46168</v>
      </c>
      <c r="S500" s="4">
        <v>35</v>
      </c>
      <c r="T500" s="3">
        <v>195000000</v>
      </c>
      <c r="U500" t="s">
        <v>42</v>
      </c>
      <c r="V500" t="s">
        <v>59</v>
      </c>
      <c r="W500" t="s">
        <v>157</v>
      </c>
      <c r="Y500" t="s">
        <v>158</v>
      </c>
      <c r="Z500" t="s">
        <v>3177</v>
      </c>
      <c r="AA500" t="s">
        <v>181</v>
      </c>
      <c r="AB500" t="s">
        <v>63</v>
      </c>
      <c r="AC500" t="s">
        <v>181</v>
      </c>
    </row>
    <row r="501" spans="1:29">
      <c r="A501" t="s">
        <v>908</v>
      </c>
      <c r="B501" s="2">
        <v>46178</v>
      </c>
      <c r="C501" t="s">
        <v>30</v>
      </c>
      <c r="D501" t="s">
        <v>134</v>
      </c>
      <c r="E501" t="s">
        <v>152</v>
      </c>
      <c r="F501" t="s">
        <v>205</v>
      </c>
      <c r="G501" t="s">
        <v>206</v>
      </c>
      <c r="H501" t="s">
        <v>207</v>
      </c>
      <c r="I501" t="s">
        <v>773</v>
      </c>
      <c r="J501" t="s">
        <v>3153</v>
      </c>
      <c r="K501" t="s">
        <v>92</v>
      </c>
      <c r="L501" t="s">
        <v>187</v>
      </c>
      <c r="M501" t="s">
        <v>106</v>
      </c>
      <c r="N501" t="s">
        <v>40</v>
      </c>
      <c r="O501" s="4">
        <v>2</v>
      </c>
      <c r="P501" s="4">
        <v>7</v>
      </c>
      <c r="Q501" t="s">
        <v>41</v>
      </c>
      <c r="R501" s="2">
        <v>46174</v>
      </c>
      <c r="S501" s="4">
        <v>29</v>
      </c>
      <c r="T501" s="3">
        <v>53000000</v>
      </c>
      <c r="U501" t="s">
        <v>42</v>
      </c>
      <c r="V501" t="s">
        <v>43</v>
      </c>
      <c r="W501" t="s">
        <v>239</v>
      </c>
      <c r="Y501" t="s">
        <v>45</v>
      </c>
      <c r="Z501" t="s">
        <v>3178</v>
      </c>
      <c r="AA501" t="s">
        <v>159</v>
      </c>
      <c r="AB501" t="s">
        <v>87</v>
      </c>
      <c r="AC501" t="s">
        <v>159</v>
      </c>
    </row>
    <row r="502" spans="1:29">
      <c r="A502" t="s">
        <v>909</v>
      </c>
      <c r="B502" s="2">
        <v>46197</v>
      </c>
      <c r="C502" t="s">
        <v>30</v>
      </c>
      <c r="D502" t="s">
        <v>49</v>
      </c>
      <c r="E502" t="s">
        <v>100</v>
      </c>
      <c r="F502" t="s">
        <v>140</v>
      </c>
      <c r="G502" t="s">
        <v>313</v>
      </c>
      <c r="H502" t="s">
        <v>201</v>
      </c>
      <c r="I502" t="s">
        <v>238</v>
      </c>
      <c r="J502" t="s">
        <v>3033</v>
      </c>
      <c r="K502" t="s">
        <v>37</v>
      </c>
      <c r="L502" t="s">
        <v>55</v>
      </c>
      <c r="M502" t="s">
        <v>56</v>
      </c>
      <c r="N502" t="s">
        <v>40</v>
      </c>
      <c r="O502" s="4">
        <v>2</v>
      </c>
      <c r="P502" s="4">
        <v>8</v>
      </c>
      <c r="Q502" t="s">
        <v>58</v>
      </c>
      <c r="R502" s="2">
        <v>46196</v>
      </c>
      <c r="S502" s="4">
        <v>7</v>
      </c>
      <c r="T502" s="3">
        <v>234000000</v>
      </c>
      <c r="U502" t="s">
        <v>260</v>
      </c>
      <c r="V502" t="s">
        <v>59</v>
      </c>
      <c r="W502" t="s">
        <v>44</v>
      </c>
      <c r="X502" t="s">
        <v>520</v>
      </c>
      <c r="Y502" t="s">
        <v>309</v>
      </c>
      <c r="Z502" t="s">
        <v>3178</v>
      </c>
      <c r="AA502" t="s">
        <v>109</v>
      </c>
      <c r="AB502" t="s">
        <v>87</v>
      </c>
      <c r="AC502" t="s">
        <v>109</v>
      </c>
    </row>
    <row r="503" spans="1:29">
      <c r="A503" t="s">
        <v>910</v>
      </c>
      <c r="B503" s="2">
        <v>46187</v>
      </c>
      <c r="C503" t="s">
        <v>30</v>
      </c>
      <c r="D503" t="s">
        <v>99</v>
      </c>
      <c r="E503" t="s">
        <v>32</v>
      </c>
      <c r="F503" t="s">
        <v>273</v>
      </c>
      <c r="G503" t="s">
        <v>361</v>
      </c>
      <c r="H503" t="s">
        <v>258</v>
      </c>
      <c r="I503" t="s">
        <v>593</v>
      </c>
      <c r="J503" t="s">
        <v>3127</v>
      </c>
      <c r="K503" t="s">
        <v>105</v>
      </c>
      <c r="L503" t="s">
        <v>68</v>
      </c>
      <c r="M503" t="s">
        <v>106</v>
      </c>
      <c r="N503" t="s">
        <v>82</v>
      </c>
      <c r="O503" s="4">
        <v>1</v>
      </c>
      <c r="P503" s="4">
        <v>2</v>
      </c>
      <c r="Q503" t="s">
        <v>41</v>
      </c>
      <c r="R503" s="2">
        <v>46184</v>
      </c>
      <c r="S503" s="4">
        <v>19</v>
      </c>
      <c r="T503" s="3">
        <v>157000000</v>
      </c>
      <c r="U503" t="s">
        <v>42</v>
      </c>
      <c r="V503" t="s">
        <v>43</v>
      </c>
      <c r="W503" t="s">
        <v>359</v>
      </c>
      <c r="Y503" t="s">
        <v>330</v>
      </c>
      <c r="Z503" t="s">
        <v>3176</v>
      </c>
      <c r="AA503" t="s">
        <v>46</v>
      </c>
      <c r="AB503" t="s">
        <v>47</v>
      </c>
      <c r="AC503" t="s">
        <v>46</v>
      </c>
    </row>
    <row r="504" spans="1:29">
      <c r="A504" t="s">
        <v>911</v>
      </c>
      <c r="B504" s="2">
        <v>46199</v>
      </c>
      <c r="C504" t="s">
        <v>30</v>
      </c>
      <c r="D504" t="s">
        <v>49</v>
      </c>
      <c r="E504" t="s">
        <v>152</v>
      </c>
      <c r="F504" t="s">
        <v>205</v>
      </c>
      <c r="G504" t="s">
        <v>286</v>
      </c>
      <c r="H504" t="s">
        <v>207</v>
      </c>
      <c r="I504" t="s">
        <v>571</v>
      </c>
      <c r="J504" t="s">
        <v>3122</v>
      </c>
      <c r="K504" t="s">
        <v>92</v>
      </c>
      <c r="L504" t="s">
        <v>80</v>
      </c>
      <c r="M504" t="s">
        <v>106</v>
      </c>
      <c r="N504" t="s">
        <v>40</v>
      </c>
      <c r="O504" s="4">
        <v>2</v>
      </c>
      <c r="P504" s="4">
        <v>9</v>
      </c>
      <c r="Q504" t="s">
        <v>107</v>
      </c>
      <c r="R504" s="2">
        <v>46195</v>
      </c>
      <c r="S504" s="4">
        <v>8</v>
      </c>
      <c r="T504" s="3">
        <v>180000000</v>
      </c>
      <c r="U504" t="s">
        <v>42</v>
      </c>
      <c r="V504" t="s">
        <v>43</v>
      </c>
      <c r="W504" t="s">
        <v>178</v>
      </c>
      <c r="Y504" t="s">
        <v>309</v>
      </c>
      <c r="Z504" t="s">
        <v>3178</v>
      </c>
      <c r="AA504" t="s">
        <v>159</v>
      </c>
      <c r="AB504" t="s">
        <v>87</v>
      </c>
      <c r="AC504" t="s">
        <v>159</v>
      </c>
    </row>
    <row r="505" spans="1:29">
      <c r="A505" t="s">
        <v>912</v>
      </c>
      <c r="B505" s="2">
        <v>46177</v>
      </c>
      <c r="C505" t="s">
        <v>30</v>
      </c>
      <c r="D505" t="s">
        <v>134</v>
      </c>
      <c r="E505" t="s">
        <v>32</v>
      </c>
      <c r="F505" t="s">
        <v>33</v>
      </c>
      <c r="G505" t="s">
        <v>34</v>
      </c>
      <c r="H505" t="s">
        <v>35</v>
      </c>
      <c r="I505" t="s">
        <v>36</v>
      </c>
      <c r="J505" t="s">
        <v>3008</v>
      </c>
      <c r="K505" t="s">
        <v>56</v>
      </c>
      <c r="L505" t="s">
        <v>169</v>
      </c>
      <c r="M505" t="s">
        <v>106</v>
      </c>
      <c r="N505" t="s">
        <v>130</v>
      </c>
      <c r="O505" s="4">
        <v>5</v>
      </c>
      <c r="P505" s="4">
        <v>5</v>
      </c>
      <c r="Q505" t="s">
        <v>69</v>
      </c>
      <c r="R505" s="2">
        <v>46167</v>
      </c>
      <c r="S505" s="4">
        <v>36</v>
      </c>
      <c r="T505" s="3">
        <v>93000000</v>
      </c>
      <c r="U505" t="s">
        <v>42</v>
      </c>
      <c r="V505" t="s">
        <v>70</v>
      </c>
      <c r="W505" t="s">
        <v>144</v>
      </c>
      <c r="X505" t="s">
        <v>117</v>
      </c>
      <c r="Y505" t="s">
        <v>334</v>
      </c>
      <c r="Z505" t="s">
        <v>3179</v>
      </c>
      <c r="AA505" t="s">
        <v>46</v>
      </c>
      <c r="AB505" t="s">
        <v>97</v>
      </c>
      <c r="AC505" t="s">
        <v>46</v>
      </c>
    </row>
    <row r="506" spans="1:29">
      <c r="A506" t="s">
        <v>913</v>
      </c>
      <c r="B506" s="2">
        <v>46185</v>
      </c>
      <c r="C506" t="s">
        <v>30</v>
      </c>
      <c r="D506" t="s">
        <v>99</v>
      </c>
      <c r="E506" t="s">
        <v>50</v>
      </c>
      <c r="F506" t="s">
        <v>351</v>
      </c>
      <c r="G506" t="s">
        <v>234</v>
      </c>
      <c r="H506" t="s">
        <v>66</v>
      </c>
      <c r="I506" t="s">
        <v>344</v>
      </c>
      <c r="J506" t="s">
        <v>3057</v>
      </c>
      <c r="K506" t="s">
        <v>37</v>
      </c>
      <c r="L506" t="s">
        <v>80</v>
      </c>
      <c r="M506" t="s">
        <v>106</v>
      </c>
      <c r="N506" t="s">
        <v>213</v>
      </c>
      <c r="O506" s="4">
        <v>6</v>
      </c>
      <c r="P506" s="4">
        <v>13</v>
      </c>
      <c r="Q506" t="s">
        <v>138</v>
      </c>
      <c r="R506" s="2">
        <v>46176</v>
      </c>
      <c r="S506" s="4">
        <v>27</v>
      </c>
      <c r="T506" s="3">
        <v>189000000</v>
      </c>
      <c r="U506" t="s">
        <v>214</v>
      </c>
      <c r="V506" t="s">
        <v>70</v>
      </c>
      <c r="W506" t="s">
        <v>215</v>
      </c>
      <c r="Y506" t="s">
        <v>424</v>
      </c>
      <c r="Z506" t="s">
        <v>3179</v>
      </c>
      <c r="AA506" t="s">
        <v>62</v>
      </c>
      <c r="AB506" t="s">
        <v>97</v>
      </c>
      <c r="AC506" t="s">
        <v>62</v>
      </c>
    </row>
    <row r="507" spans="1:29">
      <c r="A507" t="s">
        <v>914</v>
      </c>
      <c r="B507" s="2">
        <v>46198</v>
      </c>
      <c r="C507" t="s">
        <v>30</v>
      </c>
      <c r="D507" t="s">
        <v>49</v>
      </c>
      <c r="E507" t="s">
        <v>172</v>
      </c>
      <c r="F507" t="s">
        <v>195</v>
      </c>
      <c r="G507" t="s">
        <v>338</v>
      </c>
      <c r="H507" t="s">
        <v>317</v>
      </c>
      <c r="I507" t="s">
        <v>815</v>
      </c>
      <c r="J507" t="s">
        <v>3158</v>
      </c>
      <c r="K507" t="s">
        <v>116</v>
      </c>
      <c r="L507" t="s">
        <v>187</v>
      </c>
      <c r="M507" t="s">
        <v>56</v>
      </c>
      <c r="N507" t="s">
        <v>40</v>
      </c>
      <c r="O507" s="4">
        <v>2</v>
      </c>
      <c r="P507" s="4">
        <v>5</v>
      </c>
      <c r="Q507" t="s">
        <v>142</v>
      </c>
      <c r="R507" s="2">
        <v>46196</v>
      </c>
      <c r="S507" s="4">
        <v>7</v>
      </c>
      <c r="T507" s="3">
        <v>46000000</v>
      </c>
      <c r="U507" t="s">
        <v>260</v>
      </c>
      <c r="V507" t="s">
        <v>59</v>
      </c>
      <c r="W507" t="s">
        <v>44</v>
      </c>
      <c r="X507" t="s">
        <v>381</v>
      </c>
      <c r="Y507" t="s">
        <v>309</v>
      </c>
      <c r="Z507" t="s">
        <v>3178</v>
      </c>
      <c r="AA507" t="s">
        <v>181</v>
      </c>
      <c r="AB507" t="s">
        <v>87</v>
      </c>
      <c r="AC507" t="s">
        <v>181</v>
      </c>
    </row>
    <row r="508" spans="1:29">
      <c r="A508" t="s">
        <v>915</v>
      </c>
      <c r="B508" s="2">
        <v>46198</v>
      </c>
      <c r="C508" t="s">
        <v>30</v>
      </c>
      <c r="D508" t="s">
        <v>49</v>
      </c>
      <c r="E508" t="s">
        <v>172</v>
      </c>
      <c r="F508" t="s">
        <v>277</v>
      </c>
      <c r="G508" t="s">
        <v>476</v>
      </c>
      <c r="H508" t="s">
        <v>241</v>
      </c>
      <c r="I508" t="s">
        <v>441</v>
      </c>
      <c r="J508" t="s">
        <v>3085</v>
      </c>
      <c r="K508" t="s">
        <v>105</v>
      </c>
      <c r="L508" t="s">
        <v>80</v>
      </c>
      <c r="M508" t="s">
        <v>93</v>
      </c>
      <c r="N508" t="s">
        <v>40</v>
      </c>
      <c r="O508" s="4">
        <v>2</v>
      </c>
      <c r="P508" s="4">
        <v>3</v>
      </c>
      <c r="Q508" t="s">
        <v>107</v>
      </c>
      <c r="R508" s="2">
        <v>46193</v>
      </c>
      <c r="S508" s="4">
        <v>10</v>
      </c>
      <c r="T508" s="3">
        <v>241000000</v>
      </c>
      <c r="U508" t="s">
        <v>42</v>
      </c>
      <c r="V508" t="s">
        <v>43</v>
      </c>
      <c r="W508" t="s">
        <v>44</v>
      </c>
      <c r="Y508" t="s">
        <v>281</v>
      </c>
      <c r="Z508" t="s">
        <v>3176</v>
      </c>
      <c r="AA508" t="s">
        <v>181</v>
      </c>
      <c r="AB508" t="s">
        <v>47</v>
      </c>
      <c r="AC508" t="s">
        <v>181</v>
      </c>
    </row>
    <row r="509" spans="1:29">
      <c r="A509" t="s">
        <v>916</v>
      </c>
      <c r="B509" s="2">
        <v>46187</v>
      </c>
      <c r="C509" t="s">
        <v>30</v>
      </c>
      <c r="D509" t="s">
        <v>99</v>
      </c>
      <c r="E509" t="s">
        <v>111</v>
      </c>
      <c r="F509" t="s">
        <v>190</v>
      </c>
      <c r="G509" t="s">
        <v>348</v>
      </c>
      <c r="H509" t="s">
        <v>127</v>
      </c>
      <c r="I509" t="s">
        <v>311</v>
      </c>
      <c r="J509" t="s">
        <v>3048</v>
      </c>
      <c r="K509" t="s">
        <v>105</v>
      </c>
      <c r="L509" t="s">
        <v>169</v>
      </c>
      <c r="M509" t="s">
        <v>164</v>
      </c>
      <c r="N509" t="s">
        <v>213</v>
      </c>
      <c r="O509" s="4">
        <v>6</v>
      </c>
      <c r="P509" s="4">
        <v>13</v>
      </c>
      <c r="Q509" t="s">
        <v>138</v>
      </c>
      <c r="R509" s="2">
        <v>46178</v>
      </c>
      <c r="S509" s="4">
        <v>25</v>
      </c>
      <c r="T509" s="3">
        <v>266000000</v>
      </c>
      <c r="U509" t="s">
        <v>214</v>
      </c>
      <c r="V509" t="s">
        <v>70</v>
      </c>
      <c r="W509" t="s">
        <v>215</v>
      </c>
      <c r="Y509" t="s">
        <v>432</v>
      </c>
      <c r="Z509" t="s">
        <v>3179</v>
      </c>
      <c r="AA509" t="s">
        <v>118</v>
      </c>
      <c r="AB509" t="s">
        <v>97</v>
      </c>
      <c r="AC509" t="s">
        <v>118</v>
      </c>
    </row>
    <row r="510" spans="1:29">
      <c r="A510" t="s">
        <v>917</v>
      </c>
      <c r="B510" s="2">
        <v>46187</v>
      </c>
      <c r="C510" t="s">
        <v>30</v>
      </c>
      <c r="D510" t="s">
        <v>99</v>
      </c>
      <c r="E510" t="s">
        <v>111</v>
      </c>
      <c r="F510" t="s">
        <v>264</v>
      </c>
      <c r="G510" t="s">
        <v>113</v>
      </c>
      <c r="H510" t="s">
        <v>191</v>
      </c>
      <c r="I510" t="s">
        <v>449</v>
      </c>
      <c r="J510" t="s">
        <v>3089</v>
      </c>
      <c r="K510" t="s">
        <v>37</v>
      </c>
      <c r="L510" t="s">
        <v>150</v>
      </c>
      <c r="M510" t="s">
        <v>39</v>
      </c>
      <c r="N510" t="s">
        <v>57</v>
      </c>
      <c r="O510" s="4">
        <v>3</v>
      </c>
      <c r="P510" s="4">
        <v>9</v>
      </c>
      <c r="Q510" t="s">
        <v>58</v>
      </c>
      <c r="R510" s="2">
        <v>46186</v>
      </c>
      <c r="S510" s="4">
        <v>17</v>
      </c>
      <c r="T510" s="3">
        <v>114000000</v>
      </c>
      <c r="U510" t="s">
        <v>42</v>
      </c>
      <c r="V510" t="s">
        <v>59</v>
      </c>
      <c r="W510" t="s">
        <v>157</v>
      </c>
      <c r="Y510" t="s">
        <v>61</v>
      </c>
      <c r="Z510" t="s">
        <v>3177</v>
      </c>
      <c r="AA510" t="s">
        <v>118</v>
      </c>
      <c r="AB510" t="s">
        <v>63</v>
      </c>
      <c r="AC510" t="s">
        <v>118</v>
      </c>
    </row>
    <row r="511" spans="1:29">
      <c r="A511" t="s">
        <v>918</v>
      </c>
      <c r="B511" s="2">
        <v>46199</v>
      </c>
      <c r="C511" t="s">
        <v>30</v>
      </c>
      <c r="D511" t="s">
        <v>49</v>
      </c>
      <c r="E511" t="s">
        <v>152</v>
      </c>
      <c r="F511" t="s">
        <v>221</v>
      </c>
      <c r="G511" t="s">
        <v>206</v>
      </c>
      <c r="H511" t="s">
        <v>155</v>
      </c>
      <c r="I511" t="s">
        <v>375</v>
      </c>
      <c r="J511" t="s">
        <v>3067</v>
      </c>
      <c r="K511" t="s">
        <v>56</v>
      </c>
      <c r="L511" t="s">
        <v>55</v>
      </c>
      <c r="M511" t="s">
        <v>164</v>
      </c>
      <c r="N511" t="s">
        <v>94</v>
      </c>
      <c r="O511" s="4">
        <v>4</v>
      </c>
      <c r="P511" s="4">
        <v>9</v>
      </c>
      <c r="Q511" t="s">
        <v>138</v>
      </c>
      <c r="R511" s="2">
        <v>46199</v>
      </c>
      <c r="S511" s="4">
        <v>4</v>
      </c>
      <c r="T511" s="3">
        <v>418000000</v>
      </c>
      <c r="U511" t="s">
        <v>42</v>
      </c>
      <c r="V511" t="s">
        <v>59</v>
      </c>
      <c r="W511" t="s">
        <v>95</v>
      </c>
      <c r="Y511" t="s">
        <v>228</v>
      </c>
      <c r="Z511" t="s">
        <v>3179</v>
      </c>
      <c r="AA511" t="s">
        <v>159</v>
      </c>
      <c r="AB511" t="s">
        <v>97</v>
      </c>
      <c r="AC511" t="s">
        <v>159</v>
      </c>
    </row>
    <row r="512" spans="1:29">
      <c r="A512" t="s">
        <v>919</v>
      </c>
      <c r="B512" s="2">
        <v>46179</v>
      </c>
      <c r="C512" t="s">
        <v>30</v>
      </c>
      <c r="D512" t="s">
        <v>134</v>
      </c>
      <c r="E512" t="s">
        <v>50</v>
      </c>
      <c r="F512" t="s">
        <v>351</v>
      </c>
      <c r="G512" t="s">
        <v>270</v>
      </c>
      <c r="H512" t="s">
        <v>66</v>
      </c>
      <c r="I512" t="s">
        <v>344</v>
      </c>
      <c r="J512" t="s">
        <v>3057</v>
      </c>
      <c r="K512" t="s">
        <v>37</v>
      </c>
      <c r="L512" t="s">
        <v>169</v>
      </c>
      <c r="M512" t="s">
        <v>56</v>
      </c>
      <c r="N512" t="s">
        <v>196</v>
      </c>
      <c r="O512" s="4">
        <v>7</v>
      </c>
      <c r="P512" s="4">
        <v>17</v>
      </c>
      <c r="Q512" t="s">
        <v>58</v>
      </c>
      <c r="R512" s="2">
        <v>46173</v>
      </c>
      <c r="S512" s="4">
        <v>30</v>
      </c>
      <c r="T512" s="3">
        <v>277000000</v>
      </c>
      <c r="U512" t="s">
        <v>196</v>
      </c>
      <c r="V512" t="s">
        <v>70</v>
      </c>
      <c r="W512" t="s">
        <v>675</v>
      </c>
      <c r="Y512" t="s">
        <v>198</v>
      </c>
      <c r="Z512" t="s">
        <v>3181</v>
      </c>
      <c r="AA512" t="s">
        <v>62</v>
      </c>
      <c r="AB512" t="s">
        <v>199</v>
      </c>
      <c r="AC512" t="s">
        <v>62</v>
      </c>
    </row>
    <row r="513" spans="1:29">
      <c r="A513" t="s">
        <v>920</v>
      </c>
      <c r="B513" s="2">
        <v>46177</v>
      </c>
      <c r="C513" t="s">
        <v>30</v>
      </c>
      <c r="D513" t="s">
        <v>134</v>
      </c>
      <c r="E513" t="s">
        <v>50</v>
      </c>
      <c r="F513" t="s">
        <v>351</v>
      </c>
      <c r="G513" t="s">
        <v>234</v>
      </c>
      <c r="H513" t="s">
        <v>53</v>
      </c>
      <c r="I513" t="s">
        <v>54</v>
      </c>
      <c r="J513" t="s">
        <v>3009</v>
      </c>
      <c r="K513" t="s">
        <v>37</v>
      </c>
      <c r="L513" t="s">
        <v>150</v>
      </c>
      <c r="M513" t="s">
        <v>129</v>
      </c>
      <c r="N513" t="s">
        <v>82</v>
      </c>
      <c r="O513" s="4">
        <v>1</v>
      </c>
      <c r="P513" s="4">
        <v>12</v>
      </c>
      <c r="Q513" t="s">
        <v>41</v>
      </c>
      <c r="R513" s="2">
        <v>46170</v>
      </c>
      <c r="S513" s="4">
        <v>33</v>
      </c>
      <c r="T513" s="3">
        <v>221000000</v>
      </c>
      <c r="U513" t="s">
        <v>42</v>
      </c>
      <c r="V513" t="s">
        <v>43</v>
      </c>
      <c r="W513" t="s">
        <v>404</v>
      </c>
      <c r="Y513" t="s">
        <v>85</v>
      </c>
      <c r="Z513" t="s">
        <v>3180</v>
      </c>
      <c r="AA513" t="s">
        <v>62</v>
      </c>
      <c r="AB513" t="s">
        <v>193</v>
      </c>
      <c r="AC513" t="s">
        <v>62</v>
      </c>
    </row>
    <row r="514" spans="1:29">
      <c r="A514" t="s">
        <v>921</v>
      </c>
      <c r="B514" s="2">
        <v>46179</v>
      </c>
      <c r="C514" t="s">
        <v>30</v>
      </c>
      <c r="D514" t="s">
        <v>134</v>
      </c>
      <c r="E514" t="s">
        <v>75</v>
      </c>
      <c r="F514" t="s">
        <v>183</v>
      </c>
      <c r="G514" t="s">
        <v>184</v>
      </c>
      <c r="H514" t="s">
        <v>185</v>
      </c>
      <c r="I514" t="s">
        <v>721</v>
      </c>
      <c r="J514" t="s">
        <v>3147</v>
      </c>
      <c r="K514" t="s">
        <v>56</v>
      </c>
      <c r="L514" t="s">
        <v>80</v>
      </c>
      <c r="M514" t="s">
        <v>106</v>
      </c>
      <c r="N514" t="s">
        <v>94</v>
      </c>
      <c r="O514" s="4">
        <v>4</v>
      </c>
      <c r="P514" s="4">
        <v>6</v>
      </c>
      <c r="Q514" t="s">
        <v>142</v>
      </c>
      <c r="R514" s="2">
        <v>46178</v>
      </c>
      <c r="S514" s="4">
        <v>25</v>
      </c>
      <c r="T514" s="3">
        <v>169000000</v>
      </c>
      <c r="U514" t="s">
        <v>42</v>
      </c>
      <c r="V514" t="s">
        <v>59</v>
      </c>
      <c r="W514" t="s">
        <v>95</v>
      </c>
      <c r="Y514" t="s">
        <v>268</v>
      </c>
      <c r="Z514" t="s">
        <v>3179</v>
      </c>
      <c r="AA514" t="s">
        <v>86</v>
      </c>
      <c r="AB514" t="s">
        <v>97</v>
      </c>
      <c r="AC514" t="s">
        <v>86</v>
      </c>
    </row>
    <row r="515" spans="1:29">
      <c r="A515" t="s">
        <v>922</v>
      </c>
      <c r="B515" s="2">
        <v>46184</v>
      </c>
      <c r="C515" t="s">
        <v>30</v>
      </c>
      <c r="D515" t="s">
        <v>99</v>
      </c>
      <c r="E515" t="s">
        <v>111</v>
      </c>
      <c r="F515" t="s">
        <v>264</v>
      </c>
      <c r="G515" t="s">
        <v>113</v>
      </c>
      <c r="H515" t="s">
        <v>191</v>
      </c>
      <c r="I515" t="s">
        <v>606</v>
      </c>
      <c r="J515" t="s">
        <v>3131</v>
      </c>
      <c r="K515" t="s">
        <v>105</v>
      </c>
      <c r="L515" t="s">
        <v>150</v>
      </c>
      <c r="M515" t="s">
        <v>93</v>
      </c>
      <c r="N515" t="s">
        <v>94</v>
      </c>
      <c r="O515" s="4">
        <v>4</v>
      </c>
      <c r="P515" s="4">
        <v>9</v>
      </c>
      <c r="Q515" t="s">
        <v>138</v>
      </c>
      <c r="R515" s="2">
        <v>46174</v>
      </c>
      <c r="S515" s="4">
        <v>29</v>
      </c>
      <c r="T515" s="3">
        <v>67000000</v>
      </c>
      <c r="U515" t="s">
        <v>42</v>
      </c>
      <c r="V515" t="s">
        <v>59</v>
      </c>
      <c r="W515" t="s">
        <v>170</v>
      </c>
      <c r="Y515" t="s">
        <v>268</v>
      </c>
      <c r="Z515" t="s">
        <v>3179</v>
      </c>
      <c r="AA515" t="s">
        <v>118</v>
      </c>
      <c r="AB515" t="s">
        <v>97</v>
      </c>
      <c r="AC515" t="s">
        <v>118</v>
      </c>
    </row>
    <row r="516" spans="1:29">
      <c r="A516" t="s">
        <v>923</v>
      </c>
      <c r="B516" s="2">
        <v>46203</v>
      </c>
      <c r="C516" t="s">
        <v>30</v>
      </c>
      <c r="D516" t="s">
        <v>31</v>
      </c>
      <c r="E516" t="s">
        <v>100</v>
      </c>
      <c r="F516" t="s">
        <v>101</v>
      </c>
      <c r="G516" t="s">
        <v>102</v>
      </c>
      <c r="H516" t="s">
        <v>148</v>
      </c>
      <c r="I516" t="s">
        <v>851</v>
      </c>
      <c r="J516" t="s">
        <v>3163</v>
      </c>
      <c r="K516" t="s">
        <v>37</v>
      </c>
      <c r="L516" t="s">
        <v>55</v>
      </c>
      <c r="M516" t="s">
        <v>81</v>
      </c>
      <c r="N516" t="s">
        <v>130</v>
      </c>
      <c r="O516" s="4">
        <v>5</v>
      </c>
      <c r="P516" s="4">
        <v>14</v>
      </c>
      <c r="Q516" t="s">
        <v>138</v>
      </c>
      <c r="R516" s="2">
        <v>46197</v>
      </c>
      <c r="S516" s="4">
        <v>6</v>
      </c>
      <c r="T516" s="3">
        <v>264000000</v>
      </c>
      <c r="U516" t="s">
        <v>42</v>
      </c>
      <c r="V516" t="s">
        <v>59</v>
      </c>
      <c r="W516" t="s">
        <v>144</v>
      </c>
      <c r="Y516" t="s">
        <v>334</v>
      </c>
      <c r="Z516" t="s">
        <v>3179</v>
      </c>
      <c r="AA516" t="s">
        <v>109</v>
      </c>
      <c r="AB516" t="s">
        <v>97</v>
      </c>
      <c r="AC516" t="s">
        <v>109</v>
      </c>
    </row>
    <row r="517" spans="1:29">
      <c r="A517" t="s">
        <v>924</v>
      </c>
      <c r="B517" s="2">
        <v>46197</v>
      </c>
      <c r="C517" t="s">
        <v>30</v>
      </c>
      <c r="D517" t="s">
        <v>49</v>
      </c>
      <c r="E517" t="s">
        <v>32</v>
      </c>
      <c r="F517" t="s">
        <v>256</v>
      </c>
      <c r="G517" t="s">
        <v>463</v>
      </c>
      <c r="H517" t="s">
        <v>303</v>
      </c>
      <c r="I517" t="s">
        <v>487</v>
      </c>
      <c r="J517" t="s">
        <v>3102</v>
      </c>
      <c r="K517" t="s">
        <v>105</v>
      </c>
      <c r="L517" t="s">
        <v>38</v>
      </c>
      <c r="M517" t="s">
        <v>81</v>
      </c>
      <c r="N517" t="s">
        <v>82</v>
      </c>
      <c r="O517" s="4">
        <v>1</v>
      </c>
      <c r="P517" s="4">
        <v>4</v>
      </c>
      <c r="Q517" t="s">
        <v>138</v>
      </c>
      <c r="R517" s="2">
        <v>46188</v>
      </c>
      <c r="S517" s="4">
        <v>15</v>
      </c>
      <c r="T517" s="3">
        <v>226000000</v>
      </c>
      <c r="U517" t="s">
        <v>42</v>
      </c>
      <c r="V517" t="s">
        <v>43</v>
      </c>
      <c r="W517" t="s">
        <v>359</v>
      </c>
      <c r="Y517" t="s">
        <v>330</v>
      </c>
      <c r="Z517" t="s">
        <v>3176</v>
      </c>
      <c r="AA517" t="s">
        <v>46</v>
      </c>
      <c r="AB517" t="s">
        <v>47</v>
      </c>
      <c r="AC517" t="s">
        <v>46</v>
      </c>
    </row>
    <row r="518" spans="1:29">
      <c r="A518" t="s">
        <v>925</v>
      </c>
      <c r="B518" s="2">
        <v>46191</v>
      </c>
      <c r="C518" t="s">
        <v>30</v>
      </c>
      <c r="D518" t="s">
        <v>74</v>
      </c>
      <c r="E518" t="s">
        <v>152</v>
      </c>
      <c r="F518" t="s">
        <v>221</v>
      </c>
      <c r="G518" t="s">
        <v>294</v>
      </c>
      <c r="H518" t="s">
        <v>283</v>
      </c>
      <c r="I518" t="s">
        <v>393</v>
      </c>
      <c r="J518" t="s">
        <v>3072</v>
      </c>
      <c r="K518" t="s">
        <v>105</v>
      </c>
      <c r="L518" t="s">
        <v>68</v>
      </c>
      <c r="M518" t="s">
        <v>39</v>
      </c>
      <c r="N518" t="s">
        <v>213</v>
      </c>
      <c r="O518" s="4">
        <v>6</v>
      </c>
      <c r="P518" s="4">
        <v>10</v>
      </c>
      <c r="Q518" t="s">
        <v>107</v>
      </c>
      <c r="R518" s="2">
        <v>46186</v>
      </c>
      <c r="S518" s="4">
        <v>17</v>
      </c>
      <c r="T518" s="3">
        <v>376000000</v>
      </c>
      <c r="U518" t="s">
        <v>214</v>
      </c>
      <c r="V518" t="s">
        <v>70</v>
      </c>
      <c r="W518" t="s">
        <v>215</v>
      </c>
      <c r="Y518" t="s">
        <v>424</v>
      </c>
      <c r="Z518" t="s">
        <v>3179</v>
      </c>
      <c r="AA518" t="s">
        <v>159</v>
      </c>
      <c r="AB518" t="s">
        <v>97</v>
      </c>
      <c r="AC518" t="s">
        <v>159</v>
      </c>
    </row>
    <row r="519" spans="1:29">
      <c r="A519" t="s">
        <v>926</v>
      </c>
      <c r="B519" s="2">
        <v>46191</v>
      </c>
      <c r="C519" t="s">
        <v>30</v>
      </c>
      <c r="D519" t="s">
        <v>74</v>
      </c>
      <c r="E519" t="s">
        <v>100</v>
      </c>
      <c r="F519" t="s">
        <v>146</v>
      </c>
      <c r="G519" t="s">
        <v>147</v>
      </c>
      <c r="H519" t="s">
        <v>103</v>
      </c>
      <c r="I519" t="s">
        <v>411</v>
      </c>
      <c r="J519" t="s">
        <v>3077</v>
      </c>
      <c r="K519" t="s">
        <v>56</v>
      </c>
      <c r="L519" t="s">
        <v>55</v>
      </c>
      <c r="M519" t="s">
        <v>93</v>
      </c>
      <c r="N519" t="s">
        <v>196</v>
      </c>
      <c r="O519" s="4">
        <v>7</v>
      </c>
      <c r="P519" s="4">
        <v>17</v>
      </c>
      <c r="Q519" t="s">
        <v>83</v>
      </c>
      <c r="R519" s="2">
        <v>46189</v>
      </c>
      <c r="S519" s="4">
        <v>14</v>
      </c>
      <c r="T519" s="3">
        <v>227000000</v>
      </c>
      <c r="U519" t="s">
        <v>196</v>
      </c>
      <c r="V519" t="s">
        <v>70</v>
      </c>
      <c r="W519" t="s">
        <v>675</v>
      </c>
      <c r="Y519" t="s">
        <v>198</v>
      </c>
      <c r="Z519" t="s">
        <v>3181</v>
      </c>
      <c r="AA519" t="s">
        <v>109</v>
      </c>
      <c r="AB519" t="s">
        <v>199</v>
      </c>
      <c r="AC519" t="s">
        <v>109</v>
      </c>
    </row>
    <row r="520" spans="1:29">
      <c r="A520" t="s">
        <v>927</v>
      </c>
      <c r="B520" s="2">
        <v>46202</v>
      </c>
      <c r="C520" t="s">
        <v>30</v>
      </c>
      <c r="D520" t="s">
        <v>31</v>
      </c>
      <c r="E520" t="s">
        <v>100</v>
      </c>
      <c r="F520" t="s">
        <v>146</v>
      </c>
      <c r="G520" t="s">
        <v>147</v>
      </c>
      <c r="H520" t="s">
        <v>148</v>
      </c>
      <c r="I520" t="s">
        <v>724</v>
      </c>
      <c r="J520" t="s">
        <v>3148</v>
      </c>
      <c r="K520" t="s">
        <v>37</v>
      </c>
      <c r="L520" t="s">
        <v>55</v>
      </c>
      <c r="M520" t="s">
        <v>164</v>
      </c>
      <c r="N520" t="s">
        <v>94</v>
      </c>
      <c r="O520" s="4">
        <v>4</v>
      </c>
      <c r="P520" s="4">
        <v>14</v>
      </c>
      <c r="Q520" t="s">
        <v>142</v>
      </c>
      <c r="R520" s="2">
        <v>46193</v>
      </c>
      <c r="S520" s="4">
        <v>10</v>
      </c>
      <c r="T520" s="3">
        <v>246000000</v>
      </c>
      <c r="U520" t="s">
        <v>42</v>
      </c>
      <c r="V520" t="s">
        <v>59</v>
      </c>
      <c r="W520" t="s">
        <v>95</v>
      </c>
      <c r="Y520" t="s">
        <v>108</v>
      </c>
      <c r="Z520" t="s">
        <v>3179</v>
      </c>
      <c r="AA520" t="s">
        <v>109</v>
      </c>
      <c r="AB520" t="s">
        <v>97</v>
      </c>
      <c r="AC520" t="s">
        <v>109</v>
      </c>
    </row>
    <row r="521" spans="1:29">
      <c r="A521" t="s">
        <v>928</v>
      </c>
      <c r="B521" s="2">
        <v>46188</v>
      </c>
      <c r="C521" t="s">
        <v>30</v>
      </c>
      <c r="D521" t="s">
        <v>74</v>
      </c>
      <c r="E521" t="s">
        <v>172</v>
      </c>
      <c r="F521" t="s">
        <v>173</v>
      </c>
      <c r="G521" t="s">
        <v>278</v>
      </c>
      <c r="H521" t="s">
        <v>241</v>
      </c>
      <c r="I521" t="s">
        <v>441</v>
      </c>
      <c r="J521" t="s">
        <v>3085</v>
      </c>
      <c r="K521" t="s">
        <v>56</v>
      </c>
      <c r="L521" t="s">
        <v>187</v>
      </c>
      <c r="M521" t="s">
        <v>56</v>
      </c>
      <c r="N521" t="s">
        <v>57</v>
      </c>
      <c r="O521" s="4">
        <v>3</v>
      </c>
      <c r="P521" s="4">
        <v>5</v>
      </c>
      <c r="Q521" t="s">
        <v>41</v>
      </c>
      <c r="R521" s="2">
        <v>46178</v>
      </c>
      <c r="S521" s="4">
        <v>25</v>
      </c>
      <c r="T521" s="3">
        <v>139000000</v>
      </c>
      <c r="U521" t="s">
        <v>42</v>
      </c>
      <c r="V521" t="s">
        <v>59</v>
      </c>
      <c r="W521" t="s">
        <v>203</v>
      </c>
      <c r="Y521" t="s">
        <v>61</v>
      </c>
      <c r="Z521" t="s">
        <v>3177</v>
      </c>
      <c r="AA521" t="s">
        <v>181</v>
      </c>
      <c r="AB521" t="s">
        <v>63</v>
      </c>
      <c r="AC521" t="s">
        <v>181</v>
      </c>
    </row>
    <row r="522" spans="1:29">
      <c r="A522" t="s">
        <v>929</v>
      </c>
      <c r="B522" s="2">
        <v>46193</v>
      </c>
      <c r="C522" t="s">
        <v>30</v>
      </c>
      <c r="D522" t="s">
        <v>74</v>
      </c>
      <c r="E522" t="s">
        <v>172</v>
      </c>
      <c r="F522" t="s">
        <v>195</v>
      </c>
      <c r="G522" t="s">
        <v>278</v>
      </c>
      <c r="H522" t="s">
        <v>175</v>
      </c>
      <c r="I522" t="s">
        <v>176</v>
      </c>
      <c r="J522" t="s">
        <v>3023</v>
      </c>
      <c r="K522" t="s">
        <v>37</v>
      </c>
      <c r="L522" t="s">
        <v>38</v>
      </c>
      <c r="M522" t="s">
        <v>56</v>
      </c>
      <c r="N522" t="s">
        <v>196</v>
      </c>
      <c r="O522" s="4">
        <v>7</v>
      </c>
      <c r="P522" s="4">
        <v>13</v>
      </c>
      <c r="Q522" t="s">
        <v>142</v>
      </c>
      <c r="R522" s="2">
        <v>46183</v>
      </c>
      <c r="S522" s="4">
        <v>20</v>
      </c>
      <c r="T522" s="3">
        <v>129000000</v>
      </c>
      <c r="U522" t="s">
        <v>564</v>
      </c>
      <c r="V522" t="s">
        <v>70</v>
      </c>
      <c r="W522" t="s">
        <v>209</v>
      </c>
      <c r="Y522" t="s">
        <v>244</v>
      </c>
      <c r="Z522" t="s">
        <v>3181</v>
      </c>
      <c r="AA522" t="s">
        <v>181</v>
      </c>
      <c r="AB522" t="s">
        <v>199</v>
      </c>
      <c r="AC522" t="s">
        <v>181</v>
      </c>
    </row>
    <row r="523" spans="1:29">
      <c r="A523" t="s">
        <v>930</v>
      </c>
      <c r="B523" s="2">
        <v>46180</v>
      </c>
      <c r="C523" t="s">
        <v>30</v>
      </c>
      <c r="D523" t="s">
        <v>134</v>
      </c>
      <c r="E523" t="s">
        <v>172</v>
      </c>
      <c r="F523" t="s">
        <v>173</v>
      </c>
      <c r="G523" t="s">
        <v>476</v>
      </c>
      <c r="H523" t="s">
        <v>175</v>
      </c>
      <c r="I523" t="s">
        <v>516</v>
      </c>
      <c r="J523" t="s">
        <v>3108</v>
      </c>
      <c r="K523" t="s">
        <v>92</v>
      </c>
      <c r="L523" t="s">
        <v>38</v>
      </c>
      <c r="M523" t="s">
        <v>39</v>
      </c>
      <c r="N523" t="s">
        <v>40</v>
      </c>
      <c r="O523" s="4">
        <v>2</v>
      </c>
      <c r="P523" s="4">
        <v>10</v>
      </c>
      <c r="Q523" t="s">
        <v>107</v>
      </c>
      <c r="R523" s="2">
        <v>46171</v>
      </c>
      <c r="S523" s="4">
        <v>32</v>
      </c>
      <c r="T523" s="3">
        <v>207000000</v>
      </c>
      <c r="U523" t="s">
        <v>42</v>
      </c>
      <c r="V523" t="s">
        <v>43</v>
      </c>
      <c r="W523" t="s">
        <v>44</v>
      </c>
      <c r="Y523" t="s">
        <v>309</v>
      </c>
      <c r="Z523" t="s">
        <v>3178</v>
      </c>
      <c r="AA523" t="s">
        <v>181</v>
      </c>
      <c r="AB523" t="s">
        <v>87</v>
      </c>
      <c r="AC523" t="s">
        <v>181</v>
      </c>
    </row>
    <row r="524" spans="1:29">
      <c r="A524" t="s">
        <v>931</v>
      </c>
      <c r="B524" s="2">
        <v>46201</v>
      </c>
      <c r="C524" t="s">
        <v>30</v>
      </c>
      <c r="D524" t="s">
        <v>49</v>
      </c>
      <c r="E524" t="s">
        <v>120</v>
      </c>
      <c r="F524" t="s">
        <v>121</v>
      </c>
      <c r="G524" t="s">
        <v>135</v>
      </c>
      <c r="H524" t="s">
        <v>136</v>
      </c>
      <c r="I524" t="s">
        <v>581</v>
      </c>
      <c r="J524" t="s">
        <v>3125</v>
      </c>
      <c r="K524" t="s">
        <v>116</v>
      </c>
      <c r="L524" t="s">
        <v>55</v>
      </c>
      <c r="M524" t="s">
        <v>93</v>
      </c>
      <c r="N524" t="s">
        <v>130</v>
      </c>
      <c r="O524" s="4">
        <v>5</v>
      </c>
      <c r="P524" s="4">
        <v>7</v>
      </c>
      <c r="Q524" t="s">
        <v>69</v>
      </c>
      <c r="R524" s="2">
        <v>46195</v>
      </c>
      <c r="S524" s="4">
        <v>8</v>
      </c>
      <c r="T524" s="3">
        <v>110000000</v>
      </c>
      <c r="U524" t="s">
        <v>426</v>
      </c>
      <c r="V524" t="s">
        <v>143</v>
      </c>
      <c r="W524" t="s">
        <v>252</v>
      </c>
      <c r="X524" t="s">
        <v>520</v>
      </c>
      <c r="Y524" t="s">
        <v>334</v>
      </c>
      <c r="Z524" t="s">
        <v>3179</v>
      </c>
      <c r="AA524" t="s">
        <v>97</v>
      </c>
      <c r="AB524" t="s">
        <v>97</v>
      </c>
      <c r="AC524" t="s">
        <v>97</v>
      </c>
    </row>
    <row r="525" spans="1:29">
      <c r="A525" t="s">
        <v>932</v>
      </c>
      <c r="B525" s="2">
        <v>46178</v>
      </c>
      <c r="C525" t="s">
        <v>30</v>
      </c>
      <c r="D525" t="s">
        <v>134</v>
      </c>
      <c r="E525" t="s">
        <v>120</v>
      </c>
      <c r="F525" t="s">
        <v>121</v>
      </c>
      <c r="G525" t="s">
        <v>135</v>
      </c>
      <c r="H525" t="s">
        <v>123</v>
      </c>
      <c r="I525" t="s">
        <v>838</v>
      </c>
      <c r="J525" t="s">
        <v>3160</v>
      </c>
      <c r="K525" t="s">
        <v>37</v>
      </c>
      <c r="L525" t="s">
        <v>187</v>
      </c>
      <c r="M525" t="s">
        <v>129</v>
      </c>
      <c r="N525" t="s">
        <v>94</v>
      </c>
      <c r="O525" s="4">
        <v>4</v>
      </c>
      <c r="P525" s="4">
        <v>6</v>
      </c>
      <c r="Q525" t="s">
        <v>69</v>
      </c>
      <c r="R525" s="2">
        <v>46174</v>
      </c>
      <c r="S525" s="4">
        <v>29</v>
      </c>
      <c r="T525" s="3">
        <v>170000000</v>
      </c>
      <c r="U525" t="s">
        <v>42</v>
      </c>
      <c r="V525" t="s">
        <v>59</v>
      </c>
      <c r="W525" t="s">
        <v>267</v>
      </c>
      <c r="Y525" t="s">
        <v>108</v>
      </c>
      <c r="Z525" t="s">
        <v>3179</v>
      </c>
      <c r="AA525" t="s">
        <v>97</v>
      </c>
      <c r="AB525" t="s">
        <v>97</v>
      </c>
      <c r="AC525" t="s">
        <v>97</v>
      </c>
    </row>
    <row r="526" spans="1:29">
      <c r="A526" t="s">
        <v>933</v>
      </c>
      <c r="B526" s="2">
        <v>46193</v>
      </c>
      <c r="C526" t="s">
        <v>30</v>
      </c>
      <c r="D526" t="s">
        <v>74</v>
      </c>
      <c r="E526" t="s">
        <v>32</v>
      </c>
      <c r="F526" t="s">
        <v>273</v>
      </c>
      <c r="G526" t="s">
        <v>218</v>
      </c>
      <c r="H526" t="s">
        <v>35</v>
      </c>
      <c r="I526" t="s">
        <v>36</v>
      </c>
      <c r="J526" t="s">
        <v>3008</v>
      </c>
      <c r="K526" t="s">
        <v>105</v>
      </c>
      <c r="L526" t="s">
        <v>150</v>
      </c>
      <c r="M526" t="s">
        <v>129</v>
      </c>
      <c r="N526" t="s">
        <v>57</v>
      </c>
      <c r="O526" s="4">
        <v>3</v>
      </c>
      <c r="P526" s="4">
        <v>2</v>
      </c>
      <c r="Q526" t="s">
        <v>58</v>
      </c>
      <c r="R526" s="2">
        <v>46193</v>
      </c>
      <c r="S526" s="4">
        <v>10</v>
      </c>
      <c r="T526" s="3">
        <v>215000000</v>
      </c>
      <c r="U526" t="s">
        <v>42</v>
      </c>
      <c r="V526" t="s">
        <v>59</v>
      </c>
      <c r="W526" t="s">
        <v>71</v>
      </c>
      <c r="Y526" t="s">
        <v>61</v>
      </c>
      <c r="Z526" t="s">
        <v>3177</v>
      </c>
      <c r="AA526" t="s">
        <v>46</v>
      </c>
      <c r="AB526" t="s">
        <v>63</v>
      </c>
      <c r="AC526" t="s">
        <v>46</v>
      </c>
    </row>
    <row r="527" spans="1:29">
      <c r="A527" t="s">
        <v>934</v>
      </c>
      <c r="B527" s="2">
        <v>46194</v>
      </c>
      <c r="C527" t="s">
        <v>30</v>
      </c>
      <c r="D527" t="s">
        <v>74</v>
      </c>
      <c r="E527" t="s">
        <v>172</v>
      </c>
      <c r="F527" t="s">
        <v>277</v>
      </c>
      <c r="G527" t="s">
        <v>338</v>
      </c>
      <c r="H527" t="s">
        <v>175</v>
      </c>
      <c r="I527" t="s">
        <v>516</v>
      </c>
      <c r="J527" t="s">
        <v>3108</v>
      </c>
      <c r="K527" t="s">
        <v>56</v>
      </c>
      <c r="L527" t="s">
        <v>80</v>
      </c>
      <c r="M527" t="s">
        <v>93</v>
      </c>
      <c r="N527" t="s">
        <v>40</v>
      </c>
      <c r="O527" s="4">
        <v>2</v>
      </c>
      <c r="P527" s="4">
        <v>3</v>
      </c>
      <c r="Q527" t="s">
        <v>58</v>
      </c>
      <c r="R527" s="2">
        <v>46191</v>
      </c>
      <c r="S527" s="4">
        <v>12</v>
      </c>
      <c r="T527" s="3">
        <v>403000000</v>
      </c>
      <c r="U527" t="s">
        <v>42</v>
      </c>
      <c r="V527" t="s">
        <v>43</v>
      </c>
      <c r="W527" t="s">
        <v>44</v>
      </c>
      <c r="Y527" t="s">
        <v>45</v>
      </c>
      <c r="Z527" t="s">
        <v>3176</v>
      </c>
      <c r="AA527" t="s">
        <v>181</v>
      </c>
      <c r="AB527" t="s">
        <v>47</v>
      </c>
      <c r="AC527" t="s">
        <v>181</v>
      </c>
    </row>
    <row r="528" spans="1:29">
      <c r="A528" t="s">
        <v>935</v>
      </c>
      <c r="B528" s="2">
        <v>46189</v>
      </c>
      <c r="C528" t="s">
        <v>30</v>
      </c>
      <c r="D528" t="s">
        <v>74</v>
      </c>
      <c r="E528" t="s">
        <v>50</v>
      </c>
      <c r="F528" t="s">
        <v>351</v>
      </c>
      <c r="G528" t="s">
        <v>234</v>
      </c>
      <c r="H528" t="s">
        <v>53</v>
      </c>
      <c r="I528" t="s">
        <v>235</v>
      </c>
      <c r="J528" t="s">
        <v>3032</v>
      </c>
      <c r="K528" t="s">
        <v>92</v>
      </c>
      <c r="L528" t="s">
        <v>150</v>
      </c>
      <c r="M528" t="s">
        <v>81</v>
      </c>
      <c r="N528" t="s">
        <v>130</v>
      </c>
      <c r="O528" s="4">
        <v>5</v>
      </c>
      <c r="P528" s="4">
        <v>14</v>
      </c>
      <c r="Q528" t="s">
        <v>107</v>
      </c>
      <c r="R528" s="2">
        <v>46187</v>
      </c>
      <c r="S528" s="4">
        <v>16</v>
      </c>
      <c r="T528" s="3">
        <v>48000000</v>
      </c>
      <c r="U528" t="s">
        <v>42</v>
      </c>
      <c r="V528" t="s">
        <v>70</v>
      </c>
      <c r="W528" t="s">
        <v>252</v>
      </c>
      <c r="Y528" t="s">
        <v>254</v>
      </c>
      <c r="Z528" t="s">
        <v>3179</v>
      </c>
      <c r="AA528" t="s">
        <v>62</v>
      </c>
      <c r="AB528" t="s">
        <v>97</v>
      </c>
      <c r="AC528" t="s">
        <v>62</v>
      </c>
    </row>
    <row r="529" spans="1:29">
      <c r="A529" t="s">
        <v>936</v>
      </c>
      <c r="B529" s="2">
        <v>46175</v>
      </c>
      <c r="C529" t="s">
        <v>30</v>
      </c>
      <c r="D529" t="s">
        <v>134</v>
      </c>
      <c r="E529" t="s">
        <v>111</v>
      </c>
      <c r="F529" t="s">
        <v>112</v>
      </c>
      <c r="G529" t="s">
        <v>265</v>
      </c>
      <c r="H529" t="s">
        <v>191</v>
      </c>
      <c r="I529" t="s">
        <v>606</v>
      </c>
      <c r="J529" t="s">
        <v>3131</v>
      </c>
      <c r="K529" t="s">
        <v>56</v>
      </c>
      <c r="L529" t="s">
        <v>68</v>
      </c>
      <c r="M529" t="s">
        <v>93</v>
      </c>
      <c r="N529" t="s">
        <v>130</v>
      </c>
      <c r="O529" s="4">
        <v>5</v>
      </c>
      <c r="P529" s="4">
        <v>7</v>
      </c>
      <c r="Q529" t="s">
        <v>58</v>
      </c>
      <c r="R529" s="2">
        <v>46169</v>
      </c>
      <c r="S529" s="4">
        <v>34</v>
      </c>
      <c r="T529" s="3">
        <v>388000000</v>
      </c>
      <c r="U529" t="s">
        <v>42</v>
      </c>
      <c r="V529" t="s">
        <v>143</v>
      </c>
      <c r="W529" t="s">
        <v>144</v>
      </c>
      <c r="Y529" t="s">
        <v>262</v>
      </c>
      <c r="Z529" t="s">
        <v>3179</v>
      </c>
      <c r="AA529" t="s">
        <v>118</v>
      </c>
      <c r="AB529" t="s">
        <v>97</v>
      </c>
      <c r="AC529" t="s">
        <v>118</v>
      </c>
    </row>
    <row r="530" spans="1:29">
      <c r="A530" t="s">
        <v>937</v>
      </c>
      <c r="B530" s="2">
        <v>46191</v>
      </c>
      <c r="C530" t="s">
        <v>30</v>
      </c>
      <c r="D530" t="s">
        <v>74</v>
      </c>
      <c r="E530" t="s">
        <v>172</v>
      </c>
      <c r="F530" t="s">
        <v>173</v>
      </c>
      <c r="G530" t="s">
        <v>476</v>
      </c>
      <c r="H530" t="s">
        <v>175</v>
      </c>
      <c r="I530" t="s">
        <v>333</v>
      </c>
      <c r="J530" t="s">
        <v>3054</v>
      </c>
      <c r="K530" t="s">
        <v>105</v>
      </c>
      <c r="L530" t="s">
        <v>55</v>
      </c>
      <c r="M530" t="s">
        <v>39</v>
      </c>
      <c r="N530" t="s">
        <v>82</v>
      </c>
      <c r="O530" s="4">
        <v>1</v>
      </c>
      <c r="P530" s="4">
        <v>4</v>
      </c>
      <c r="Q530" t="s">
        <v>142</v>
      </c>
      <c r="R530" s="2">
        <v>46187</v>
      </c>
      <c r="S530" s="4">
        <v>16</v>
      </c>
      <c r="T530" s="3">
        <v>84000000</v>
      </c>
      <c r="U530" t="s">
        <v>177</v>
      </c>
      <c r="V530" t="s">
        <v>43</v>
      </c>
      <c r="W530" t="s">
        <v>84</v>
      </c>
      <c r="X530" t="s">
        <v>179</v>
      </c>
      <c r="Y530" t="s">
        <v>305</v>
      </c>
      <c r="Z530" t="s">
        <v>3176</v>
      </c>
      <c r="AA530" t="s">
        <v>181</v>
      </c>
      <c r="AB530" t="s">
        <v>47</v>
      </c>
      <c r="AC530" t="s">
        <v>181</v>
      </c>
    </row>
    <row r="531" spans="1:29">
      <c r="A531" t="s">
        <v>938</v>
      </c>
      <c r="B531" s="2">
        <v>46180</v>
      </c>
      <c r="C531" t="s">
        <v>30</v>
      </c>
      <c r="D531" t="s">
        <v>134</v>
      </c>
      <c r="E531" t="s">
        <v>172</v>
      </c>
      <c r="F531" t="s">
        <v>277</v>
      </c>
      <c r="G531" t="s">
        <v>174</v>
      </c>
      <c r="H531" t="s">
        <v>241</v>
      </c>
      <c r="I531" t="s">
        <v>441</v>
      </c>
      <c r="J531" t="s">
        <v>3085</v>
      </c>
      <c r="K531" t="s">
        <v>105</v>
      </c>
      <c r="L531" t="s">
        <v>55</v>
      </c>
      <c r="M531" t="s">
        <v>106</v>
      </c>
      <c r="N531" t="s">
        <v>40</v>
      </c>
      <c r="O531" s="4">
        <v>2</v>
      </c>
      <c r="P531" s="4">
        <v>10</v>
      </c>
      <c r="Q531" t="s">
        <v>142</v>
      </c>
      <c r="R531" s="2">
        <v>46171</v>
      </c>
      <c r="S531" s="4">
        <v>32</v>
      </c>
      <c r="T531" s="3">
        <v>57000000</v>
      </c>
      <c r="U531" t="s">
        <v>42</v>
      </c>
      <c r="V531" t="s">
        <v>43</v>
      </c>
      <c r="W531" t="s">
        <v>298</v>
      </c>
      <c r="Y531" t="s">
        <v>281</v>
      </c>
      <c r="Z531" t="s">
        <v>3178</v>
      </c>
      <c r="AA531" t="s">
        <v>181</v>
      </c>
      <c r="AB531" t="s">
        <v>87</v>
      </c>
      <c r="AC531" t="s">
        <v>181</v>
      </c>
    </row>
    <row r="532" spans="1:29">
      <c r="A532" t="s">
        <v>939</v>
      </c>
      <c r="B532" s="2">
        <v>46194</v>
      </c>
      <c r="C532" t="s">
        <v>30</v>
      </c>
      <c r="D532" t="s">
        <v>74</v>
      </c>
      <c r="E532" t="s">
        <v>32</v>
      </c>
      <c r="F532" t="s">
        <v>273</v>
      </c>
      <c r="G532" t="s">
        <v>34</v>
      </c>
      <c r="H532" t="s">
        <v>35</v>
      </c>
      <c r="I532" t="s">
        <v>320</v>
      </c>
      <c r="J532" t="s">
        <v>3051</v>
      </c>
      <c r="K532" t="s">
        <v>37</v>
      </c>
      <c r="L532" t="s">
        <v>150</v>
      </c>
      <c r="M532" t="s">
        <v>56</v>
      </c>
      <c r="N532" t="s">
        <v>40</v>
      </c>
      <c r="O532" s="4">
        <v>2</v>
      </c>
      <c r="P532" s="4">
        <v>3</v>
      </c>
      <c r="Q532" t="s">
        <v>138</v>
      </c>
      <c r="R532" s="2">
        <v>46190</v>
      </c>
      <c r="S532" s="4">
        <v>13</v>
      </c>
      <c r="T532" s="3">
        <v>130000000</v>
      </c>
      <c r="U532" t="s">
        <v>42</v>
      </c>
      <c r="V532" t="s">
        <v>43</v>
      </c>
      <c r="W532" t="s">
        <v>178</v>
      </c>
      <c r="Y532" t="s">
        <v>45</v>
      </c>
      <c r="Z532" t="s">
        <v>3176</v>
      </c>
      <c r="AA532" t="s">
        <v>46</v>
      </c>
      <c r="AB532" t="s">
        <v>47</v>
      </c>
      <c r="AC532" t="s">
        <v>46</v>
      </c>
    </row>
    <row r="533" spans="1:29">
      <c r="A533" t="s">
        <v>940</v>
      </c>
      <c r="B533" s="2">
        <v>46194</v>
      </c>
      <c r="C533" t="s">
        <v>30</v>
      </c>
      <c r="D533" t="s">
        <v>74</v>
      </c>
      <c r="E533" t="s">
        <v>172</v>
      </c>
      <c r="F533" t="s">
        <v>173</v>
      </c>
      <c r="G533" t="s">
        <v>278</v>
      </c>
      <c r="H533" t="s">
        <v>317</v>
      </c>
      <c r="I533" t="s">
        <v>478</v>
      </c>
      <c r="J533" t="s">
        <v>3099</v>
      </c>
      <c r="K533" t="s">
        <v>56</v>
      </c>
      <c r="L533" t="s">
        <v>80</v>
      </c>
      <c r="M533" t="s">
        <v>93</v>
      </c>
      <c r="N533" t="s">
        <v>213</v>
      </c>
      <c r="O533" s="4">
        <v>6</v>
      </c>
      <c r="P533" s="4">
        <v>8</v>
      </c>
      <c r="Q533" t="s">
        <v>142</v>
      </c>
      <c r="R533" s="2">
        <v>46184</v>
      </c>
      <c r="S533" s="4">
        <v>19</v>
      </c>
      <c r="T533" s="3">
        <v>156000000</v>
      </c>
      <c r="U533" t="s">
        <v>42</v>
      </c>
      <c r="V533" t="s">
        <v>70</v>
      </c>
      <c r="W533" t="s">
        <v>390</v>
      </c>
      <c r="Y533" t="s">
        <v>249</v>
      </c>
      <c r="Z533" t="s">
        <v>3179</v>
      </c>
      <c r="AA533" t="s">
        <v>181</v>
      </c>
      <c r="AB533" t="s">
        <v>97</v>
      </c>
      <c r="AC533" t="s">
        <v>181</v>
      </c>
    </row>
    <row r="534" spans="1:29">
      <c r="A534" t="s">
        <v>941</v>
      </c>
      <c r="B534" s="2">
        <v>46190</v>
      </c>
      <c r="C534" t="s">
        <v>30</v>
      </c>
      <c r="D534" t="s">
        <v>74</v>
      </c>
      <c r="E534" t="s">
        <v>152</v>
      </c>
      <c r="F534" t="s">
        <v>205</v>
      </c>
      <c r="G534" t="s">
        <v>294</v>
      </c>
      <c r="H534" t="s">
        <v>155</v>
      </c>
      <c r="I534" t="s">
        <v>537</v>
      </c>
      <c r="J534" t="s">
        <v>3113</v>
      </c>
      <c r="K534" t="s">
        <v>56</v>
      </c>
      <c r="L534" t="s">
        <v>187</v>
      </c>
      <c r="M534" t="s">
        <v>106</v>
      </c>
      <c r="N534" t="s">
        <v>94</v>
      </c>
      <c r="O534" s="4">
        <v>4</v>
      </c>
      <c r="P534" s="4">
        <v>17</v>
      </c>
      <c r="Q534" t="s">
        <v>107</v>
      </c>
      <c r="R534" s="2">
        <v>46183</v>
      </c>
      <c r="S534" s="4">
        <v>20</v>
      </c>
      <c r="T534" s="3">
        <v>327000000</v>
      </c>
      <c r="U534" t="s">
        <v>42</v>
      </c>
      <c r="V534" t="s">
        <v>70</v>
      </c>
      <c r="W534" t="s">
        <v>188</v>
      </c>
      <c r="X534" t="s">
        <v>117</v>
      </c>
      <c r="Y534" t="s">
        <v>268</v>
      </c>
      <c r="Z534" t="s">
        <v>3179</v>
      </c>
      <c r="AA534" t="s">
        <v>159</v>
      </c>
      <c r="AB534" t="s">
        <v>97</v>
      </c>
      <c r="AC534" t="s">
        <v>159</v>
      </c>
    </row>
    <row r="535" spans="1:29">
      <c r="A535" t="s">
        <v>942</v>
      </c>
      <c r="B535" s="2">
        <v>46199</v>
      </c>
      <c r="C535" t="s">
        <v>30</v>
      </c>
      <c r="D535" t="s">
        <v>49</v>
      </c>
      <c r="E535" t="s">
        <v>152</v>
      </c>
      <c r="F535" t="s">
        <v>153</v>
      </c>
      <c r="G535" t="s">
        <v>206</v>
      </c>
      <c r="H535" t="s">
        <v>283</v>
      </c>
      <c r="I535" t="s">
        <v>393</v>
      </c>
      <c r="J535" t="s">
        <v>3072</v>
      </c>
      <c r="K535" t="s">
        <v>56</v>
      </c>
      <c r="L535" t="s">
        <v>80</v>
      </c>
      <c r="M535" t="s">
        <v>106</v>
      </c>
      <c r="N535" t="s">
        <v>213</v>
      </c>
      <c r="O535" s="4">
        <v>6</v>
      </c>
      <c r="P535" s="4">
        <v>16</v>
      </c>
      <c r="Q535" t="s">
        <v>69</v>
      </c>
      <c r="R535" s="2">
        <v>46197</v>
      </c>
      <c r="S535" s="4">
        <v>6</v>
      </c>
      <c r="T535" s="3">
        <v>102000000</v>
      </c>
      <c r="U535" t="s">
        <v>42</v>
      </c>
      <c r="V535" t="s">
        <v>70</v>
      </c>
      <c r="W535" t="s">
        <v>438</v>
      </c>
      <c r="Y535" t="s">
        <v>249</v>
      </c>
      <c r="Z535" t="s">
        <v>3179</v>
      </c>
      <c r="AA535" t="s">
        <v>159</v>
      </c>
      <c r="AB535" t="s">
        <v>97</v>
      </c>
      <c r="AC535" t="s">
        <v>159</v>
      </c>
    </row>
    <row r="536" spans="1:29">
      <c r="A536" t="s">
        <v>943</v>
      </c>
      <c r="B536" s="2">
        <v>46197</v>
      </c>
      <c r="C536" t="s">
        <v>30</v>
      </c>
      <c r="D536" t="s">
        <v>49</v>
      </c>
      <c r="E536" t="s">
        <v>152</v>
      </c>
      <c r="F536" t="s">
        <v>205</v>
      </c>
      <c r="G536" t="s">
        <v>154</v>
      </c>
      <c r="H536" t="s">
        <v>283</v>
      </c>
      <c r="I536" t="s">
        <v>393</v>
      </c>
      <c r="J536" t="s">
        <v>3072</v>
      </c>
      <c r="K536" t="s">
        <v>105</v>
      </c>
      <c r="L536" t="s">
        <v>38</v>
      </c>
      <c r="M536" t="s">
        <v>129</v>
      </c>
      <c r="N536" t="s">
        <v>82</v>
      </c>
      <c r="O536" s="4">
        <v>1</v>
      </c>
      <c r="P536" s="4">
        <v>13</v>
      </c>
      <c r="Q536" t="s">
        <v>41</v>
      </c>
      <c r="R536" s="2">
        <v>46188</v>
      </c>
      <c r="S536" s="4">
        <v>15</v>
      </c>
      <c r="T536" s="3">
        <v>75000000</v>
      </c>
      <c r="U536" t="s">
        <v>42</v>
      </c>
      <c r="V536" t="s">
        <v>43</v>
      </c>
      <c r="W536" t="s">
        <v>84</v>
      </c>
      <c r="Y536" t="s">
        <v>305</v>
      </c>
      <c r="Z536" t="s">
        <v>3180</v>
      </c>
      <c r="AA536" t="s">
        <v>159</v>
      </c>
      <c r="AB536" t="s">
        <v>193</v>
      </c>
      <c r="AC536" t="s">
        <v>159</v>
      </c>
    </row>
    <row r="537" spans="1:29">
      <c r="A537" t="s">
        <v>944</v>
      </c>
      <c r="B537" s="2">
        <v>46184</v>
      </c>
      <c r="C537" t="s">
        <v>30</v>
      </c>
      <c r="D537" t="s">
        <v>99</v>
      </c>
      <c r="E537" t="s">
        <v>50</v>
      </c>
      <c r="F537" t="s">
        <v>89</v>
      </c>
      <c r="G537" t="s">
        <v>234</v>
      </c>
      <c r="H537" t="s">
        <v>66</v>
      </c>
      <c r="I537" t="s">
        <v>902</v>
      </c>
      <c r="J537" t="s">
        <v>3165</v>
      </c>
      <c r="K537" t="s">
        <v>105</v>
      </c>
      <c r="L537" t="s">
        <v>55</v>
      </c>
      <c r="M537" t="s">
        <v>39</v>
      </c>
      <c r="N537" t="s">
        <v>40</v>
      </c>
      <c r="O537" s="4">
        <v>2</v>
      </c>
      <c r="P537" s="4">
        <v>7</v>
      </c>
      <c r="Q537" t="s">
        <v>83</v>
      </c>
      <c r="R537" s="2">
        <v>46178</v>
      </c>
      <c r="S537" s="4">
        <v>25</v>
      </c>
      <c r="T537" s="3">
        <v>216000000</v>
      </c>
      <c r="U537" t="s">
        <v>42</v>
      </c>
      <c r="V537" t="s">
        <v>43</v>
      </c>
      <c r="W537" t="s">
        <v>239</v>
      </c>
      <c r="Y537" t="s">
        <v>281</v>
      </c>
      <c r="Z537" t="s">
        <v>3178</v>
      </c>
      <c r="AA537" t="s">
        <v>62</v>
      </c>
      <c r="AB537" t="s">
        <v>87</v>
      </c>
      <c r="AC537" t="s">
        <v>62</v>
      </c>
    </row>
    <row r="538" spans="1:29">
      <c r="A538" t="s">
        <v>945</v>
      </c>
      <c r="B538" s="2">
        <v>46198</v>
      </c>
      <c r="C538" t="s">
        <v>30</v>
      </c>
      <c r="D538" t="s">
        <v>49</v>
      </c>
      <c r="E538" t="s">
        <v>100</v>
      </c>
      <c r="F538" t="s">
        <v>146</v>
      </c>
      <c r="G538" t="s">
        <v>102</v>
      </c>
      <c r="H538" t="s">
        <v>148</v>
      </c>
      <c r="I538" t="s">
        <v>315</v>
      </c>
      <c r="J538" t="s">
        <v>3049</v>
      </c>
      <c r="K538" t="s">
        <v>56</v>
      </c>
      <c r="L538" t="s">
        <v>68</v>
      </c>
      <c r="M538" t="s">
        <v>129</v>
      </c>
      <c r="N538" t="s">
        <v>196</v>
      </c>
      <c r="O538" s="4">
        <v>7</v>
      </c>
      <c r="P538" s="4">
        <v>15</v>
      </c>
      <c r="Q538" t="s">
        <v>58</v>
      </c>
      <c r="R538" s="2">
        <v>46191</v>
      </c>
      <c r="S538" s="4">
        <v>12</v>
      </c>
      <c r="T538" s="3">
        <v>233000000</v>
      </c>
      <c r="U538" t="s">
        <v>196</v>
      </c>
      <c r="V538" t="s">
        <v>70</v>
      </c>
      <c r="W538" t="s">
        <v>243</v>
      </c>
      <c r="Y538" t="s">
        <v>369</v>
      </c>
      <c r="Z538" t="s">
        <v>3181</v>
      </c>
      <c r="AA538" t="s">
        <v>109</v>
      </c>
      <c r="AB538" t="s">
        <v>199</v>
      </c>
      <c r="AC538" t="s">
        <v>109</v>
      </c>
    </row>
    <row r="539" spans="1:29">
      <c r="A539" t="s">
        <v>946</v>
      </c>
      <c r="B539" s="2">
        <v>46199</v>
      </c>
      <c r="C539" t="s">
        <v>30</v>
      </c>
      <c r="D539" t="s">
        <v>49</v>
      </c>
      <c r="E539" t="s">
        <v>32</v>
      </c>
      <c r="F539" t="s">
        <v>256</v>
      </c>
      <c r="G539" t="s">
        <v>257</v>
      </c>
      <c r="H539" t="s">
        <v>35</v>
      </c>
      <c r="I539" t="s">
        <v>604</v>
      </c>
      <c r="J539" t="s">
        <v>3130</v>
      </c>
      <c r="K539" t="s">
        <v>56</v>
      </c>
      <c r="L539" t="s">
        <v>80</v>
      </c>
      <c r="M539" t="s">
        <v>39</v>
      </c>
      <c r="N539" t="s">
        <v>57</v>
      </c>
      <c r="O539" s="4">
        <v>3</v>
      </c>
      <c r="P539" s="4">
        <v>1</v>
      </c>
      <c r="Q539" t="s">
        <v>58</v>
      </c>
      <c r="R539" s="2">
        <v>46192</v>
      </c>
      <c r="S539" s="4">
        <v>11</v>
      </c>
      <c r="T539" s="3">
        <v>118000000</v>
      </c>
      <c r="U539" t="s">
        <v>177</v>
      </c>
      <c r="V539" t="s">
        <v>59</v>
      </c>
      <c r="W539" t="s">
        <v>60</v>
      </c>
      <c r="X539" t="s">
        <v>520</v>
      </c>
      <c r="Y539" t="s">
        <v>158</v>
      </c>
      <c r="Z539" t="s">
        <v>3177</v>
      </c>
      <c r="AA539" t="s">
        <v>46</v>
      </c>
      <c r="AB539" t="s">
        <v>63</v>
      </c>
      <c r="AC539" t="s">
        <v>46</v>
      </c>
    </row>
    <row r="540" spans="1:29">
      <c r="A540" t="s">
        <v>947</v>
      </c>
      <c r="B540" s="2">
        <v>46201</v>
      </c>
      <c r="C540" t="s">
        <v>30</v>
      </c>
      <c r="D540" t="s">
        <v>49</v>
      </c>
      <c r="E540" t="s">
        <v>50</v>
      </c>
      <c r="F540" t="s">
        <v>89</v>
      </c>
      <c r="G540" t="s">
        <v>270</v>
      </c>
      <c r="H540" t="s">
        <v>53</v>
      </c>
      <c r="I540" t="s">
        <v>787</v>
      </c>
      <c r="J540" t="s">
        <v>3154</v>
      </c>
      <c r="K540" t="s">
        <v>56</v>
      </c>
      <c r="L540" t="s">
        <v>38</v>
      </c>
      <c r="M540" t="s">
        <v>129</v>
      </c>
      <c r="N540" t="s">
        <v>40</v>
      </c>
      <c r="O540" s="4">
        <v>2</v>
      </c>
      <c r="P540" s="4">
        <v>12</v>
      </c>
      <c r="Q540" t="s">
        <v>83</v>
      </c>
      <c r="R540" s="2">
        <v>46200</v>
      </c>
      <c r="S540" s="4">
        <v>3</v>
      </c>
      <c r="T540" s="3">
        <v>187000000</v>
      </c>
      <c r="U540" t="s">
        <v>42</v>
      </c>
      <c r="V540" t="s">
        <v>43</v>
      </c>
      <c r="W540" t="s">
        <v>239</v>
      </c>
      <c r="Y540" t="s">
        <v>281</v>
      </c>
      <c r="Z540" t="s">
        <v>3180</v>
      </c>
      <c r="AA540" t="s">
        <v>62</v>
      </c>
      <c r="AB540" t="s">
        <v>193</v>
      </c>
      <c r="AC540" t="s">
        <v>62</v>
      </c>
    </row>
    <row r="541" spans="1:29">
      <c r="A541" t="s">
        <v>948</v>
      </c>
      <c r="B541" s="2">
        <v>46193</v>
      </c>
      <c r="C541" t="s">
        <v>30</v>
      </c>
      <c r="D541" t="s">
        <v>74</v>
      </c>
      <c r="E541" t="s">
        <v>152</v>
      </c>
      <c r="F541" t="s">
        <v>153</v>
      </c>
      <c r="G541" t="s">
        <v>206</v>
      </c>
      <c r="H541" t="s">
        <v>207</v>
      </c>
      <c r="I541" t="s">
        <v>773</v>
      </c>
      <c r="J541" t="s">
        <v>3153</v>
      </c>
      <c r="K541" t="s">
        <v>37</v>
      </c>
      <c r="L541" t="s">
        <v>55</v>
      </c>
      <c r="M541" t="s">
        <v>56</v>
      </c>
      <c r="N541" t="s">
        <v>57</v>
      </c>
      <c r="O541" s="4">
        <v>3</v>
      </c>
      <c r="P541" s="4">
        <v>11</v>
      </c>
      <c r="Q541" t="s">
        <v>83</v>
      </c>
      <c r="R541" s="2">
        <v>46187</v>
      </c>
      <c r="S541" s="4">
        <v>16</v>
      </c>
      <c r="T541" s="3">
        <v>183000000</v>
      </c>
      <c r="U541" t="s">
        <v>42</v>
      </c>
      <c r="V541" t="s">
        <v>59</v>
      </c>
      <c r="W541" t="s">
        <v>71</v>
      </c>
      <c r="Y541" t="s">
        <v>165</v>
      </c>
      <c r="Z541" t="s">
        <v>3177</v>
      </c>
      <c r="AA541" t="s">
        <v>159</v>
      </c>
      <c r="AB541" t="s">
        <v>63</v>
      </c>
      <c r="AC541" t="s">
        <v>159</v>
      </c>
    </row>
    <row r="542" spans="1:29">
      <c r="A542" t="s">
        <v>949</v>
      </c>
      <c r="B542" s="2">
        <v>46178</v>
      </c>
      <c r="C542" t="s">
        <v>30</v>
      </c>
      <c r="D542" t="s">
        <v>134</v>
      </c>
      <c r="E542" t="s">
        <v>32</v>
      </c>
      <c r="F542" t="s">
        <v>33</v>
      </c>
      <c r="G542" t="s">
        <v>34</v>
      </c>
      <c r="H542" t="s">
        <v>303</v>
      </c>
      <c r="I542" t="s">
        <v>483</v>
      </c>
      <c r="J542" t="s">
        <v>3100</v>
      </c>
      <c r="K542" t="s">
        <v>37</v>
      </c>
      <c r="L542" t="s">
        <v>55</v>
      </c>
      <c r="M542" t="s">
        <v>164</v>
      </c>
      <c r="N542" t="s">
        <v>130</v>
      </c>
      <c r="O542" s="4">
        <v>5</v>
      </c>
      <c r="P542" s="4">
        <v>5</v>
      </c>
      <c r="Q542" t="s">
        <v>83</v>
      </c>
      <c r="R542" s="2">
        <v>46170</v>
      </c>
      <c r="S542" s="4">
        <v>33</v>
      </c>
      <c r="T542" s="3">
        <v>163000000</v>
      </c>
      <c r="U542" t="s">
        <v>426</v>
      </c>
      <c r="V542" t="s">
        <v>143</v>
      </c>
      <c r="W542" t="s">
        <v>144</v>
      </c>
      <c r="X542" t="s">
        <v>422</v>
      </c>
      <c r="Y542" t="s">
        <v>132</v>
      </c>
      <c r="Z542" t="s">
        <v>3179</v>
      </c>
      <c r="AA542" t="s">
        <v>46</v>
      </c>
      <c r="AB542" t="s">
        <v>97</v>
      </c>
      <c r="AC542" t="s">
        <v>46</v>
      </c>
    </row>
    <row r="543" spans="1:29">
      <c r="A543" t="s">
        <v>950</v>
      </c>
      <c r="B543" s="2">
        <v>46186</v>
      </c>
      <c r="C543" t="s">
        <v>30</v>
      </c>
      <c r="D543" t="s">
        <v>99</v>
      </c>
      <c r="E543" t="s">
        <v>120</v>
      </c>
      <c r="F543" t="s">
        <v>167</v>
      </c>
      <c r="G543" t="s">
        <v>420</v>
      </c>
      <c r="H543" t="s">
        <v>123</v>
      </c>
      <c r="I543" t="s">
        <v>459</v>
      </c>
      <c r="J543" t="s">
        <v>3093</v>
      </c>
      <c r="K543" t="s">
        <v>56</v>
      </c>
      <c r="L543" t="s">
        <v>169</v>
      </c>
      <c r="M543" t="s">
        <v>81</v>
      </c>
      <c r="N543" t="s">
        <v>57</v>
      </c>
      <c r="O543" s="4">
        <v>3</v>
      </c>
      <c r="P543" s="4">
        <v>7</v>
      </c>
      <c r="Q543" t="s">
        <v>58</v>
      </c>
      <c r="R543" s="2">
        <v>46183</v>
      </c>
      <c r="S543" s="4">
        <v>20</v>
      </c>
      <c r="T543" s="3">
        <v>417000000</v>
      </c>
      <c r="U543" t="s">
        <v>42</v>
      </c>
      <c r="V543" t="s">
        <v>59</v>
      </c>
      <c r="W543" t="s">
        <v>203</v>
      </c>
      <c r="Y543" t="s">
        <v>61</v>
      </c>
      <c r="Z543" t="s">
        <v>3177</v>
      </c>
      <c r="AA543" t="s">
        <v>97</v>
      </c>
      <c r="AB543" t="s">
        <v>63</v>
      </c>
      <c r="AC543" t="s">
        <v>97</v>
      </c>
    </row>
    <row r="544" spans="1:29">
      <c r="A544" t="s">
        <v>951</v>
      </c>
      <c r="B544" s="2">
        <v>46182</v>
      </c>
      <c r="C544" t="s">
        <v>30</v>
      </c>
      <c r="D544" t="s">
        <v>99</v>
      </c>
      <c r="E544" t="s">
        <v>111</v>
      </c>
      <c r="F544" t="s">
        <v>264</v>
      </c>
      <c r="G544" t="s">
        <v>126</v>
      </c>
      <c r="H544" t="s">
        <v>127</v>
      </c>
      <c r="I544" t="s">
        <v>128</v>
      </c>
      <c r="J544" t="s">
        <v>3016</v>
      </c>
      <c r="K544" t="s">
        <v>56</v>
      </c>
      <c r="L544" t="s">
        <v>68</v>
      </c>
      <c r="M544" t="s">
        <v>39</v>
      </c>
      <c r="N544" t="s">
        <v>213</v>
      </c>
      <c r="O544" s="4">
        <v>6</v>
      </c>
      <c r="P544" s="4">
        <v>8</v>
      </c>
      <c r="Q544" t="s">
        <v>83</v>
      </c>
      <c r="R544" s="2">
        <v>46174</v>
      </c>
      <c r="S544" s="4">
        <v>29</v>
      </c>
      <c r="T544" s="3">
        <v>100000000</v>
      </c>
      <c r="U544" t="s">
        <v>214</v>
      </c>
      <c r="V544" t="s">
        <v>143</v>
      </c>
      <c r="W544" t="s">
        <v>438</v>
      </c>
      <c r="Y544" t="s">
        <v>216</v>
      </c>
      <c r="Z544" t="s">
        <v>3179</v>
      </c>
      <c r="AA544" t="s">
        <v>118</v>
      </c>
      <c r="AB544" t="s">
        <v>97</v>
      </c>
      <c r="AC544" t="s">
        <v>118</v>
      </c>
    </row>
    <row r="545" spans="1:29">
      <c r="A545" t="s">
        <v>952</v>
      </c>
      <c r="B545" s="2">
        <v>46175</v>
      </c>
      <c r="C545" t="s">
        <v>30</v>
      </c>
      <c r="D545" t="s">
        <v>134</v>
      </c>
      <c r="E545" t="s">
        <v>75</v>
      </c>
      <c r="F545" t="s">
        <v>76</v>
      </c>
      <c r="G545" t="s">
        <v>230</v>
      </c>
      <c r="H545" t="s">
        <v>388</v>
      </c>
      <c r="I545" t="s">
        <v>409</v>
      </c>
      <c r="J545" t="s">
        <v>3076</v>
      </c>
      <c r="K545" t="s">
        <v>92</v>
      </c>
      <c r="L545" t="s">
        <v>80</v>
      </c>
      <c r="M545" t="s">
        <v>56</v>
      </c>
      <c r="N545" t="s">
        <v>94</v>
      </c>
      <c r="O545" s="4">
        <v>4</v>
      </c>
      <c r="P545" s="4">
        <v>8</v>
      </c>
      <c r="Q545" t="s">
        <v>69</v>
      </c>
      <c r="R545" s="2">
        <v>46173</v>
      </c>
      <c r="S545" s="4">
        <v>30</v>
      </c>
      <c r="T545" s="3">
        <v>46000000</v>
      </c>
      <c r="U545" t="s">
        <v>42</v>
      </c>
      <c r="V545" t="s">
        <v>59</v>
      </c>
      <c r="W545" t="s">
        <v>188</v>
      </c>
      <c r="Y545" t="s">
        <v>108</v>
      </c>
      <c r="Z545" t="s">
        <v>3179</v>
      </c>
      <c r="AA545" t="s">
        <v>86</v>
      </c>
      <c r="AB545" t="s">
        <v>97</v>
      </c>
      <c r="AC545" t="s">
        <v>86</v>
      </c>
    </row>
    <row r="546" spans="1:29">
      <c r="A546" t="s">
        <v>953</v>
      </c>
      <c r="B546" s="2">
        <v>46199</v>
      </c>
      <c r="C546" t="s">
        <v>30</v>
      </c>
      <c r="D546" t="s">
        <v>49</v>
      </c>
      <c r="E546" t="s">
        <v>172</v>
      </c>
      <c r="F546" t="s">
        <v>195</v>
      </c>
      <c r="G546" t="s">
        <v>476</v>
      </c>
      <c r="H546" t="s">
        <v>175</v>
      </c>
      <c r="I546" t="s">
        <v>516</v>
      </c>
      <c r="J546" t="s">
        <v>3108</v>
      </c>
      <c r="K546" t="s">
        <v>116</v>
      </c>
      <c r="L546" t="s">
        <v>55</v>
      </c>
      <c r="M546" t="s">
        <v>164</v>
      </c>
      <c r="N546" t="s">
        <v>57</v>
      </c>
      <c r="O546" s="4">
        <v>3</v>
      </c>
      <c r="P546" s="4">
        <v>3</v>
      </c>
      <c r="Q546" t="s">
        <v>58</v>
      </c>
      <c r="R546" s="2">
        <v>46197</v>
      </c>
      <c r="S546" s="4">
        <v>6</v>
      </c>
      <c r="T546" s="3">
        <v>118000000</v>
      </c>
      <c r="U546" t="s">
        <v>42</v>
      </c>
      <c r="V546" t="s">
        <v>59</v>
      </c>
      <c r="W546" t="s">
        <v>60</v>
      </c>
      <c r="Y546" t="s">
        <v>72</v>
      </c>
      <c r="Z546" t="s">
        <v>3177</v>
      </c>
      <c r="AA546" t="s">
        <v>181</v>
      </c>
      <c r="AB546" t="s">
        <v>63</v>
      </c>
      <c r="AC546" t="s">
        <v>181</v>
      </c>
    </row>
    <row r="547" spans="1:29">
      <c r="A547" t="s">
        <v>954</v>
      </c>
      <c r="B547" s="2">
        <v>46185</v>
      </c>
      <c r="C547" t="s">
        <v>30</v>
      </c>
      <c r="D547" t="s">
        <v>99</v>
      </c>
      <c r="E547" t="s">
        <v>120</v>
      </c>
      <c r="F547" t="s">
        <v>121</v>
      </c>
      <c r="G547" t="s">
        <v>224</v>
      </c>
      <c r="H547" t="s">
        <v>123</v>
      </c>
      <c r="I547" t="s">
        <v>225</v>
      </c>
      <c r="J547" t="s">
        <v>3030</v>
      </c>
      <c r="K547" t="s">
        <v>37</v>
      </c>
      <c r="L547" t="s">
        <v>150</v>
      </c>
      <c r="M547" t="s">
        <v>129</v>
      </c>
      <c r="N547" t="s">
        <v>40</v>
      </c>
      <c r="O547" s="4">
        <v>2</v>
      </c>
      <c r="P547" s="4">
        <v>5</v>
      </c>
      <c r="Q547" t="s">
        <v>107</v>
      </c>
      <c r="R547" s="2">
        <v>46182</v>
      </c>
      <c r="S547" s="4">
        <v>21</v>
      </c>
      <c r="T547" s="3">
        <v>80000000</v>
      </c>
      <c r="U547" t="s">
        <v>42</v>
      </c>
      <c r="V547" t="s">
        <v>59</v>
      </c>
      <c r="W547" t="s">
        <v>178</v>
      </c>
      <c r="Y547" t="s">
        <v>45</v>
      </c>
      <c r="Z547" t="s">
        <v>3178</v>
      </c>
      <c r="AA547" t="s">
        <v>97</v>
      </c>
      <c r="AB547" t="s">
        <v>87</v>
      </c>
      <c r="AC547" t="s">
        <v>97</v>
      </c>
    </row>
    <row r="548" spans="1:29">
      <c r="A548" t="s">
        <v>955</v>
      </c>
      <c r="B548" s="2">
        <v>46189</v>
      </c>
      <c r="C548" t="s">
        <v>30</v>
      </c>
      <c r="D548" t="s">
        <v>74</v>
      </c>
      <c r="E548" t="s">
        <v>172</v>
      </c>
      <c r="F548" t="s">
        <v>173</v>
      </c>
      <c r="G548" t="s">
        <v>338</v>
      </c>
      <c r="H548" t="s">
        <v>175</v>
      </c>
      <c r="I548" t="s">
        <v>956</v>
      </c>
      <c r="J548" t="s">
        <v>3166</v>
      </c>
      <c r="K548" t="s">
        <v>37</v>
      </c>
      <c r="L548" t="s">
        <v>38</v>
      </c>
      <c r="M548" t="s">
        <v>129</v>
      </c>
      <c r="N548" t="s">
        <v>94</v>
      </c>
      <c r="O548" s="4">
        <v>4</v>
      </c>
      <c r="P548" s="4">
        <v>7</v>
      </c>
      <c r="Q548" t="s">
        <v>83</v>
      </c>
      <c r="R548" s="2">
        <v>46180</v>
      </c>
      <c r="S548" s="4">
        <v>23</v>
      </c>
      <c r="T548" s="3">
        <v>213000000</v>
      </c>
      <c r="U548" t="s">
        <v>42</v>
      </c>
      <c r="V548" t="s">
        <v>59</v>
      </c>
      <c r="W548" t="s">
        <v>267</v>
      </c>
      <c r="Y548" t="s">
        <v>268</v>
      </c>
      <c r="Z548" t="s">
        <v>3179</v>
      </c>
      <c r="AA548" t="s">
        <v>181</v>
      </c>
      <c r="AB548" t="s">
        <v>97</v>
      </c>
      <c r="AC548" t="s">
        <v>181</v>
      </c>
    </row>
    <row r="549" spans="1:29">
      <c r="A549" t="s">
        <v>957</v>
      </c>
      <c r="B549" s="2">
        <v>46182</v>
      </c>
      <c r="C549" t="s">
        <v>30</v>
      </c>
      <c r="D549" t="s">
        <v>99</v>
      </c>
      <c r="E549" t="s">
        <v>32</v>
      </c>
      <c r="F549" t="s">
        <v>33</v>
      </c>
      <c r="G549" t="s">
        <v>34</v>
      </c>
      <c r="H549" t="s">
        <v>258</v>
      </c>
      <c r="I549" t="s">
        <v>593</v>
      </c>
      <c r="J549" t="s">
        <v>3127</v>
      </c>
      <c r="K549" t="s">
        <v>116</v>
      </c>
      <c r="L549" t="s">
        <v>38</v>
      </c>
      <c r="M549" t="s">
        <v>93</v>
      </c>
      <c r="N549" t="s">
        <v>40</v>
      </c>
      <c r="O549" s="4">
        <v>2</v>
      </c>
      <c r="P549" s="4">
        <v>3</v>
      </c>
      <c r="Q549" t="s">
        <v>83</v>
      </c>
      <c r="R549" s="2">
        <v>46180</v>
      </c>
      <c r="S549" s="4">
        <v>23</v>
      </c>
      <c r="T549" s="3">
        <v>71000000</v>
      </c>
      <c r="U549" t="s">
        <v>42</v>
      </c>
      <c r="V549" t="s">
        <v>43</v>
      </c>
      <c r="W549" t="s">
        <v>44</v>
      </c>
      <c r="Y549" t="s">
        <v>281</v>
      </c>
      <c r="Z549" t="s">
        <v>3176</v>
      </c>
      <c r="AA549" t="s">
        <v>46</v>
      </c>
      <c r="AB549" t="s">
        <v>47</v>
      </c>
      <c r="AC549" t="s">
        <v>46</v>
      </c>
    </row>
    <row r="550" spans="1:29">
      <c r="A550" t="s">
        <v>958</v>
      </c>
      <c r="B550" s="2">
        <v>46185</v>
      </c>
      <c r="C550" t="s">
        <v>30</v>
      </c>
      <c r="D550" t="s">
        <v>99</v>
      </c>
      <c r="E550" t="s">
        <v>100</v>
      </c>
      <c r="F550" t="s">
        <v>140</v>
      </c>
      <c r="G550" t="s">
        <v>313</v>
      </c>
      <c r="H550" t="s">
        <v>201</v>
      </c>
      <c r="I550" t="s">
        <v>202</v>
      </c>
      <c r="J550" t="s">
        <v>3026</v>
      </c>
      <c r="K550" t="s">
        <v>56</v>
      </c>
      <c r="L550" t="s">
        <v>169</v>
      </c>
      <c r="M550" t="s">
        <v>81</v>
      </c>
      <c r="N550" t="s">
        <v>130</v>
      </c>
      <c r="O550" s="4">
        <v>5</v>
      </c>
      <c r="P550" s="4">
        <v>21</v>
      </c>
      <c r="Q550" t="s">
        <v>69</v>
      </c>
      <c r="R550" s="2">
        <v>46182</v>
      </c>
      <c r="S550" s="4">
        <v>21</v>
      </c>
      <c r="T550" s="3">
        <v>215000000</v>
      </c>
      <c r="U550" t="s">
        <v>42</v>
      </c>
      <c r="V550" t="s">
        <v>70</v>
      </c>
      <c r="W550" t="s">
        <v>144</v>
      </c>
      <c r="Y550" t="s">
        <v>334</v>
      </c>
      <c r="Z550" t="s">
        <v>3179</v>
      </c>
      <c r="AA550" t="s">
        <v>109</v>
      </c>
      <c r="AB550" t="s">
        <v>97</v>
      </c>
      <c r="AC550" t="s">
        <v>109</v>
      </c>
    </row>
    <row r="551" spans="1:29">
      <c r="A551" t="s">
        <v>959</v>
      </c>
      <c r="B551" s="2">
        <v>46194</v>
      </c>
      <c r="C551" t="s">
        <v>30</v>
      </c>
      <c r="D551" t="s">
        <v>74</v>
      </c>
      <c r="E551" t="s">
        <v>120</v>
      </c>
      <c r="F551" t="s">
        <v>121</v>
      </c>
      <c r="G551" t="s">
        <v>227</v>
      </c>
      <c r="H551" t="s">
        <v>123</v>
      </c>
      <c r="I551" t="s">
        <v>225</v>
      </c>
      <c r="J551" t="s">
        <v>3030</v>
      </c>
      <c r="K551" t="s">
        <v>56</v>
      </c>
      <c r="L551" t="s">
        <v>55</v>
      </c>
      <c r="M551" t="s">
        <v>106</v>
      </c>
      <c r="N551" t="s">
        <v>82</v>
      </c>
      <c r="O551" s="4">
        <v>1</v>
      </c>
      <c r="P551" s="4">
        <v>12</v>
      </c>
      <c r="Q551" t="s">
        <v>107</v>
      </c>
      <c r="R551" s="2">
        <v>46194</v>
      </c>
      <c r="S551" s="4">
        <v>9</v>
      </c>
      <c r="T551" s="3">
        <v>202000000</v>
      </c>
      <c r="U551" t="s">
        <v>260</v>
      </c>
      <c r="V551" t="s">
        <v>43</v>
      </c>
      <c r="W551" t="s">
        <v>84</v>
      </c>
      <c r="X551" t="s">
        <v>308</v>
      </c>
      <c r="Y551" t="s">
        <v>330</v>
      </c>
      <c r="Z551" t="s">
        <v>3180</v>
      </c>
      <c r="AA551" t="s">
        <v>97</v>
      </c>
      <c r="AB551" t="s">
        <v>193</v>
      </c>
      <c r="AC551" t="s">
        <v>97</v>
      </c>
    </row>
    <row r="552" spans="1:29">
      <c r="A552" t="s">
        <v>960</v>
      </c>
      <c r="B552" s="2">
        <v>46193</v>
      </c>
      <c r="C552" t="s">
        <v>30</v>
      </c>
      <c r="D552" t="s">
        <v>74</v>
      </c>
      <c r="E552" t="s">
        <v>172</v>
      </c>
      <c r="F552" t="s">
        <v>277</v>
      </c>
      <c r="G552" t="s">
        <v>476</v>
      </c>
      <c r="H552" t="s">
        <v>175</v>
      </c>
      <c r="I552" t="s">
        <v>516</v>
      </c>
      <c r="J552" t="s">
        <v>3108</v>
      </c>
      <c r="K552" t="s">
        <v>56</v>
      </c>
      <c r="L552" t="s">
        <v>68</v>
      </c>
      <c r="M552" t="s">
        <v>106</v>
      </c>
      <c r="N552" t="s">
        <v>94</v>
      </c>
      <c r="O552" s="4">
        <v>4</v>
      </c>
      <c r="P552" s="4">
        <v>4</v>
      </c>
      <c r="Q552" t="s">
        <v>138</v>
      </c>
      <c r="R552" s="2">
        <v>46191</v>
      </c>
      <c r="S552" s="4">
        <v>12</v>
      </c>
      <c r="T552" s="3">
        <v>295000000</v>
      </c>
      <c r="U552" t="s">
        <v>42</v>
      </c>
      <c r="V552" t="s">
        <v>59</v>
      </c>
      <c r="W552" t="s">
        <v>170</v>
      </c>
      <c r="X552" t="s">
        <v>117</v>
      </c>
      <c r="Y552" t="s">
        <v>96</v>
      </c>
      <c r="Z552" t="s">
        <v>3179</v>
      </c>
      <c r="AA552" t="s">
        <v>181</v>
      </c>
      <c r="AB552" t="s">
        <v>97</v>
      </c>
      <c r="AC552" t="s">
        <v>181</v>
      </c>
    </row>
    <row r="553" spans="1:29">
      <c r="A553" t="s">
        <v>961</v>
      </c>
      <c r="B553" s="2">
        <v>46187</v>
      </c>
      <c r="C553" t="s">
        <v>30</v>
      </c>
      <c r="D553" t="s">
        <v>99</v>
      </c>
      <c r="E553" t="s">
        <v>152</v>
      </c>
      <c r="F553" t="s">
        <v>205</v>
      </c>
      <c r="G553" t="s">
        <v>286</v>
      </c>
      <c r="H553" t="s">
        <v>155</v>
      </c>
      <c r="I553" t="s">
        <v>375</v>
      </c>
      <c r="J553" t="s">
        <v>3067</v>
      </c>
      <c r="K553" t="s">
        <v>92</v>
      </c>
      <c r="L553" t="s">
        <v>80</v>
      </c>
      <c r="M553" t="s">
        <v>93</v>
      </c>
      <c r="N553" t="s">
        <v>40</v>
      </c>
      <c r="O553" s="4">
        <v>2</v>
      </c>
      <c r="P553" s="4">
        <v>13</v>
      </c>
      <c r="Q553" t="s">
        <v>83</v>
      </c>
      <c r="R553" s="2">
        <v>46180</v>
      </c>
      <c r="S553" s="4">
        <v>23</v>
      </c>
      <c r="T553" s="3">
        <v>124000000</v>
      </c>
      <c r="U553" t="s">
        <v>42</v>
      </c>
      <c r="V553" t="s">
        <v>43</v>
      </c>
      <c r="W553" t="s">
        <v>178</v>
      </c>
      <c r="Y553" t="s">
        <v>180</v>
      </c>
      <c r="Z553" t="s">
        <v>3180</v>
      </c>
      <c r="AA553" t="s">
        <v>159</v>
      </c>
      <c r="AB553" t="s">
        <v>193</v>
      </c>
      <c r="AC553" t="s">
        <v>159</v>
      </c>
    </row>
    <row r="554" spans="1:29">
      <c r="A554" t="s">
        <v>962</v>
      </c>
      <c r="B554" s="2">
        <v>46200</v>
      </c>
      <c r="C554" t="s">
        <v>30</v>
      </c>
      <c r="D554" t="s">
        <v>49</v>
      </c>
      <c r="E554" t="s">
        <v>172</v>
      </c>
      <c r="F554" t="s">
        <v>277</v>
      </c>
      <c r="G554" t="s">
        <v>174</v>
      </c>
      <c r="H554" t="s">
        <v>241</v>
      </c>
      <c r="I554" t="s">
        <v>441</v>
      </c>
      <c r="J554" t="s">
        <v>3085</v>
      </c>
      <c r="K554" t="s">
        <v>37</v>
      </c>
      <c r="L554" t="s">
        <v>38</v>
      </c>
      <c r="M554" t="s">
        <v>106</v>
      </c>
      <c r="N554" t="s">
        <v>57</v>
      </c>
      <c r="O554" s="4">
        <v>3</v>
      </c>
      <c r="P554" s="4">
        <v>4</v>
      </c>
      <c r="Q554" t="s">
        <v>41</v>
      </c>
      <c r="R554" s="2">
        <v>46195</v>
      </c>
      <c r="S554" s="4">
        <v>8</v>
      </c>
      <c r="T554" s="3">
        <v>141000000</v>
      </c>
      <c r="U554" t="s">
        <v>42</v>
      </c>
      <c r="V554" t="s">
        <v>59</v>
      </c>
      <c r="W554" t="s">
        <v>71</v>
      </c>
      <c r="Y554" t="s">
        <v>158</v>
      </c>
      <c r="Z554" t="s">
        <v>3177</v>
      </c>
      <c r="AA554" t="s">
        <v>181</v>
      </c>
      <c r="AB554" t="s">
        <v>63</v>
      </c>
      <c r="AC554" t="s">
        <v>181</v>
      </c>
    </row>
    <row r="555" spans="1:29">
      <c r="A555" t="s">
        <v>963</v>
      </c>
      <c r="B555" s="2">
        <v>46183</v>
      </c>
      <c r="C555" t="s">
        <v>30</v>
      </c>
      <c r="D555" t="s">
        <v>99</v>
      </c>
      <c r="E555" t="s">
        <v>32</v>
      </c>
      <c r="F555" t="s">
        <v>33</v>
      </c>
      <c r="G555" t="s">
        <v>34</v>
      </c>
      <c r="H555" t="s">
        <v>303</v>
      </c>
      <c r="I555" t="s">
        <v>964</v>
      </c>
      <c r="J555" t="s">
        <v>3167</v>
      </c>
      <c r="K555" t="s">
        <v>105</v>
      </c>
      <c r="L555" t="s">
        <v>150</v>
      </c>
      <c r="M555" t="s">
        <v>106</v>
      </c>
      <c r="N555" t="s">
        <v>40</v>
      </c>
      <c r="O555" s="4">
        <v>2</v>
      </c>
      <c r="P555" s="4">
        <v>5</v>
      </c>
      <c r="Q555" t="s">
        <v>58</v>
      </c>
      <c r="R555" s="2">
        <v>46182</v>
      </c>
      <c r="S555" s="4">
        <v>21</v>
      </c>
      <c r="T555" s="3">
        <v>301000000</v>
      </c>
      <c r="U555" t="s">
        <v>42</v>
      </c>
      <c r="V555" t="s">
        <v>59</v>
      </c>
      <c r="W555" t="s">
        <v>239</v>
      </c>
      <c r="Y555" t="s">
        <v>281</v>
      </c>
      <c r="Z555" t="s">
        <v>3178</v>
      </c>
      <c r="AA555" t="s">
        <v>46</v>
      </c>
      <c r="AB555" t="s">
        <v>87</v>
      </c>
      <c r="AC555" t="s">
        <v>46</v>
      </c>
    </row>
    <row r="556" spans="1:29">
      <c r="A556" t="s">
        <v>965</v>
      </c>
      <c r="B556" s="2">
        <v>46197</v>
      </c>
      <c r="C556" t="s">
        <v>30</v>
      </c>
      <c r="D556" t="s">
        <v>49</v>
      </c>
      <c r="E556" t="s">
        <v>172</v>
      </c>
      <c r="F556" t="s">
        <v>173</v>
      </c>
      <c r="G556" t="s">
        <v>289</v>
      </c>
      <c r="H556" t="s">
        <v>175</v>
      </c>
      <c r="I556" t="s">
        <v>333</v>
      </c>
      <c r="J556" t="s">
        <v>3054</v>
      </c>
      <c r="K556" t="s">
        <v>37</v>
      </c>
      <c r="L556" t="s">
        <v>150</v>
      </c>
      <c r="M556" t="s">
        <v>164</v>
      </c>
      <c r="N556" t="s">
        <v>40</v>
      </c>
      <c r="O556" s="4">
        <v>2</v>
      </c>
      <c r="P556" s="4">
        <v>8</v>
      </c>
      <c r="Q556" t="s">
        <v>58</v>
      </c>
      <c r="R556" s="2">
        <v>46188</v>
      </c>
      <c r="S556" s="4">
        <v>15</v>
      </c>
      <c r="T556" s="3">
        <v>244000000</v>
      </c>
      <c r="U556" t="s">
        <v>42</v>
      </c>
      <c r="V556" t="s">
        <v>43</v>
      </c>
      <c r="W556" t="s">
        <v>239</v>
      </c>
      <c r="Y556" t="s">
        <v>45</v>
      </c>
      <c r="Z556" t="s">
        <v>3178</v>
      </c>
      <c r="AA556" t="s">
        <v>181</v>
      </c>
      <c r="AB556" t="s">
        <v>87</v>
      </c>
      <c r="AC556" t="s">
        <v>181</v>
      </c>
    </row>
    <row r="557" spans="1:29">
      <c r="A557" t="s">
        <v>966</v>
      </c>
      <c r="B557" s="2">
        <v>46181</v>
      </c>
      <c r="C557" t="s">
        <v>30</v>
      </c>
      <c r="D557" t="s">
        <v>99</v>
      </c>
      <c r="E557" t="s">
        <v>75</v>
      </c>
      <c r="F557" t="s">
        <v>76</v>
      </c>
      <c r="G557" t="s">
        <v>184</v>
      </c>
      <c r="H557" t="s">
        <v>388</v>
      </c>
      <c r="I557" t="s">
        <v>540</v>
      </c>
      <c r="J557" t="s">
        <v>3114</v>
      </c>
      <c r="K557" t="s">
        <v>92</v>
      </c>
      <c r="L557" t="s">
        <v>80</v>
      </c>
      <c r="M557" t="s">
        <v>93</v>
      </c>
      <c r="N557" t="s">
        <v>40</v>
      </c>
      <c r="O557" s="4">
        <v>2</v>
      </c>
      <c r="P557" s="4">
        <v>11</v>
      </c>
      <c r="Q557" t="s">
        <v>138</v>
      </c>
      <c r="R557" s="2">
        <v>46172</v>
      </c>
      <c r="S557" s="4">
        <v>31</v>
      </c>
      <c r="T557" s="3">
        <v>160000000</v>
      </c>
      <c r="U557" t="s">
        <v>42</v>
      </c>
      <c r="V557" t="s">
        <v>59</v>
      </c>
      <c r="W557" t="s">
        <v>298</v>
      </c>
      <c r="Y557" t="s">
        <v>281</v>
      </c>
      <c r="Z557" t="s">
        <v>3178</v>
      </c>
      <c r="AA557" t="s">
        <v>86</v>
      </c>
      <c r="AB557" t="s">
        <v>87</v>
      </c>
      <c r="AC557" t="s">
        <v>86</v>
      </c>
    </row>
    <row r="558" spans="1:29">
      <c r="A558" t="s">
        <v>967</v>
      </c>
      <c r="B558" s="2">
        <v>46192</v>
      </c>
      <c r="C558" t="s">
        <v>30</v>
      </c>
      <c r="D558" t="s">
        <v>74</v>
      </c>
      <c r="E558" t="s">
        <v>100</v>
      </c>
      <c r="F558" t="s">
        <v>101</v>
      </c>
      <c r="G558" t="s">
        <v>313</v>
      </c>
      <c r="H558" t="s">
        <v>201</v>
      </c>
      <c r="I558" t="s">
        <v>238</v>
      </c>
      <c r="J558" t="s">
        <v>3033</v>
      </c>
      <c r="K558" t="s">
        <v>37</v>
      </c>
      <c r="L558" t="s">
        <v>150</v>
      </c>
      <c r="M558" t="s">
        <v>93</v>
      </c>
      <c r="N558" t="s">
        <v>196</v>
      </c>
      <c r="O558" s="4">
        <v>7</v>
      </c>
      <c r="P558" s="4">
        <v>23</v>
      </c>
      <c r="Q558" t="s">
        <v>69</v>
      </c>
      <c r="R558" s="2">
        <v>46182</v>
      </c>
      <c r="S558" s="4">
        <v>21</v>
      </c>
      <c r="T558" s="3">
        <v>291000000</v>
      </c>
      <c r="U558" t="s">
        <v>196</v>
      </c>
      <c r="V558" t="s">
        <v>70</v>
      </c>
      <c r="W558" t="s">
        <v>243</v>
      </c>
      <c r="Y558" t="s">
        <v>244</v>
      </c>
      <c r="Z558" t="s">
        <v>3181</v>
      </c>
      <c r="AA558" t="s">
        <v>109</v>
      </c>
      <c r="AB558" t="s">
        <v>199</v>
      </c>
      <c r="AC558" t="s">
        <v>109</v>
      </c>
    </row>
    <row r="559" spans="1:29">
      <c r="A559" t="s">
        <v>968</v>
      </c>
      <c r="B559" s="2">
        <v>46192</v>
      </c>
      <c r="C559" t="s">
        <v>30</v>
      </c>
      <c r="D559" t="s">
        <v>74</v>
      </c>
      <c r="E559" t="s">
        <v>50</v>
      </c>
      <c r="F559" t="s">
        <v>51</v>
      </c>
      <c r="G559" t="s">
        <v>234</v>
      </c>
      <c r="H559" t="s">
        <v>66</v>
      </c>
      <c r="I559" t="s">
        <v>341</v>
      </c>
      <c r="J559" t="s">
        <v>3056</v>
      </c>
      <c r="K559" t="s">
        <v>37</v>
      </c>
      <c r="L559" t="s">
        <v>150</v>
      </c>
      <c r="M559" t="s">
        <v>39</v>
      </c>
      <c r="N559" t="s">
        <v>130</v>
      </c>
      <c r="O559" s="4">
        <v>5</v>
      </c>
      <c r="P559" s="4">
        <v>7</v>
      </c>
      <c r="Q559" t="s">
        <v>142</v>
      </c>
      <c r="R559" s="2">
        <v>46190</v>
      </c>
      <c r="S559" s="4">
        <v>13</v>
      </c>
      <c r="T559" s="3">
        <v>163000000</v>
      </c>
      <c r="U559" t="s">
        <v>42</v>
      </c>
      <c r="V559" t="s">
        <v>70</v>
      </c>
      <c r="W559" t="s">
        <v>131</v>
      </c>
      <c r="Y559" t="s">
        <v>262</v>
      </c>
      <c r="Z559" t="s">
        <v>3179</v>
      </c>
      <c r="AA559" t="s">
        <v>62</v>
      </c>
      <c r="AB559" t="s">
        <v>97</v>
      </c>
      <c r="AC559" t="s">
        <v>62</v>
      </c>
    </row>
    <row r="560" spans="1:29">
      <c r="A560" t="s">
        <v>969</v>
      </c>
      <c r="B560" s="2">
        <v>46191</v>
      </c>
      <c r="C560" t="s">
        <v>30</v>
      </c>
      <c r="D560" t="s">
        <v>74</v>
      </c>
      <c r="E560" t="s">
        <v>32</v>
      </c>
      <c r="F560" t="s">
        <v>273</v>
      </c>
      <c r="G560" t="s">
        <v>361</v>
      </c>
      <c r="H560" t="s">
        <v>35</v>
      </c>
      <c r="I560" t="s">
        <v>595</v>
      </c>
      <c r="J560" t="s">
        <v>3128</v>
      </c>
      <c r="K560" t="s">
        <v>92</v>
      </c>
      <c r="L560" t="s">
        <v>187</v>
      </c>
      <c r="M560" t="s">
        <v>81</v>
      </c>
      <c r="N560" t="s">
        <v>82</v>
      </c>
      <c r="O560" s="4">
        <v>1</v>
      </c>
      <c r="P560" s="4">
        <v>3</v>
      </c>
      <c r="Q560" t="s">
        <v>69</v>
      </c>
      <c r="R560" s="2">
        <v>46181</v>
      </c>
      <c r="S560" s="4">
        <v>22</v>
      </c>
      <c r="T560" s="3">
        <v>134000000</v>
      </c>
      <c r="U560" t="s">
        <v>42</v>
      </c>
      <c r="V560" t="s">
        <v>43</v>
      </c>
      <c r="W560" t="s">
        <v>290</v>
      </c>
      <c r="Y560" t="s">
        <v>291</v>
      </c>
      <c r="Z560" t="s">
        <v>3176</v>
      </c>
      <c r="AA560" t="s">
        <v>46</v>
      </c>
      <c r="AB560" t="s">
        <v>47</v>
      </c>
      <c r="AC560" t="s">
        <v>46</v>
      </c>
    </row>
    <row r="561" spans="1:29">
      <c r="A561" t="s">
        <v>970</v>
      </c>
      <c r="B561" s="2">
        <v>46180</v>
      </c>
      <c r="C561" t="s">
        <v>30</v>
      </c>
      <c r="D561" t="s">
        <v>134</v>
      </c>
      <c r="E561" t="s">
        <v>120</v>
      </c>
      <c r="F561" t="s">
        <v>121</v>
      </c>
      <c r="G561" t="s">
        <v>135</v>
      </c>
      <c r="H561" t="s">
        <v>123</v>
      </c>
      <c r="I561" t="s">
        <v>397</v>
      </c>
      <c r="J561" t="s">
        <v>3073</v>
      </c>
      <c r="K561" t="s">
        <v>105</v>
      </c>
      <c r="L561" t="s">
        <v>169</v>
      </c>
      <c r="M561" t="s">
        <v>39</v>
      </c>
      <c r="N561" t="s">
        <v>94</v>
      </c>
      <c r="O561" s="4">
        <v>4</v>
      </c>
      <c r="P561" s="4">
        <v>12</v>
      </c>
      <c r="Q561" t="s">
        <v>107</v>
      </c>
      <c r="R561" s="2">
        <v>46176</v>
      </c>
      <c r="S561" s="4">
        <v>27</v>
      </c>
      <c r="T561" s="3">
        <v>306000000</v>
      </c>
      <c r="U561" t="s">
        <v>260</v>
      </c>
      <c r="V561" t="s">
        <v>59</v>
      </c>
      <c r="W561" t="s">
        <v>188</v>
      </c>
      <c r="X561" t="s">
        <v>422</v>
      </c>
      <c r="Y561" t="s">
        <v>96</v>
      </c>
      <c r="Z561" t="s">
        <v>3179</v>
      </c>
      <c r="AA561" t="s">
        <v>97</v>
      </c>
      <c r="AB561" t="s">
        <v>97</v>
      </c>
      <c r="AC561" t="s">
        <v>97</v>
      </c>
    </row>
    <row r="562" spans="1:29">
      <c r="A562" t="s">
        <v>971</v>
      </c>
      <c r="B562" s="2">
        <v>46184</v>
      </c>
      <c r="C562" t="s">
        <v>30</v>
      </c>
      <c r="D562" t="s">
        <v>99</v>
      </c>
      <c r="E562" t="s">
        <v>172</v>
      </c>
      <c r="F562" t="s">
        <v>195</v>
      </c>
      <c r="G562" t="s">
        <v>174</v>
      </c>
      <c r="H562" t="s">
        <v>241</v>
      </c>
      <c r="I562" t="s">
        <v>632</v>
      </c>
      <c r="J562" t="s">
        <v>3136</v>
      </c>
      <c r="K562" t="s">
        <v>37</v>
      </c>
      <c r="L562" t="s">
        <v>169</v>
      </c>
      <c r="M562" t="s">
        <v>81</v>
      </c>
      <c r="N562" t="s">
        <v>130</v>
      </c>
      <c r="O562" s="4">
        <v>5</v>
      </c>
      <c r="P562" s="4">
        <v>10</v>
      </c>
      <c r="Q562" t="s">
        <v>83</v>
      </c>
      <c r="R562" s="2">
        <v>46176</v>
      </c>
      <c r="S562" s="4">
        <v>27</v>
      </c>
      <c r="T562" s="3">
        <v>180000000</v>
      </c>
      <c r="U562" t="s">
        <v>42</v>
      </c>
      <c r="V562" t="s">
        <v>70</v>
      </c>
      <c r="W562" t="s">
        <v>144</v>
      </c>
      <c r="Y562" t="s">
        <v>132</v>
      </c>
      <c r="Z562" t="s">
        <v>3179</v>
      </c>
      <c r="AA562" t="s">
        <v>181</v>
      </c>
      <c r="AB562" t="s">
        <v>97</v>
      </c>
      <c r="AC562" t="s">
        <v>181</v>
      </c>
    </row>
    <row r="563" spans="1:29">
      <c r="A563" t="s">
        <v>972</v>
      </c>
      <c r="B563" s="2">
        <v>46194</v>
      </c>
      <c r="C563" t="s">
        <v>30</v>
      </c>
      <c r="D563" t="s">
        <v>74</v>
      </c>
      <c r="E563" t="s">
        <v>111</v>
      </c>
      <c r="F563" t="s">
        <v>264</v>
      </c>
      <c r="G563" t="s">
        <v>265</v>
      </c>
      <c r="H563" t="s">
        <v>114</v>
      </c>
      <c r="I563" t="s">
        <v>645</v>
      </c>
      <c r="J563" t="s">
        <v>3139</v>
      </c>
      <c r="K563" t="s">
        <v>37</v>
      </c>
      <c r="L563" t="s">
        <v>187</v>
      </c>
      <c r="M563" t="s">
        <v>93</v>
      </c>
      <c r="N563" t="s">
        <v>57</v>
      </c>
      <c r="O563" s="4">
        <v>3</v>
      </c>
      <c r="P563" s="4">
        <v>10</v>
      </c>
      <c r="Q563" t="s">
        <v>58</v>
      </c>
      <c r="R563" s="2">
        <v>46191</v>
      </c>
      <c r="S563" s="4">
        <v>12</v>
      </c>
      <c r="T563" s="3">
        <v>69000000</v>
      </c>
      <c r="U563" t="s">
        <v>42</v>
      </c>
      <c r="V563" t="s">
        <v>59</v>
      </c>
      <c r="W563" t="s">
        <v>60</v>
      </c>
      <c r="Y563" t="s">
        <v>61</v>
      </c>
      <c r="Z563" t="s">
        <v>3177</v>
      </c>
      <c r="AA563" t="s">
        <v>118</v>
      </c>
      <c r="AB563" t="s">
        <v>63</v>
      </c>
      <c r="AC563" t="s">
        <v>118</v>
      </c>
    </row>
    <row r="564" spans="1:29">
      <c r="A564" t="s">
        <v>973</v>
      </c>
      <c r="B564" s="2">
        <v>46184</v>
      </c>
      <c r="C564" t="s">
        <v>30</v>
      </c>
      <c r="D564" t="s">
        <v>99</v>
      </c>
      <c r="E564" t="s">
        <v>111</v>
      </c>
      <c r="F564" t="s">
        <v>190</v>
      </c>
      <c r="G564" t="s">
        <v>348</v>
      </c>
      <c r="H564" t="s">
        <v>127</v>
      </c>
      <c r="I564" t="s">
        <v>648</v>
      </c>
      <c r="J564" t="s">
        <v>3140</v>
      </c>
      <c r="K564" t="s">
        <v>116</v>
      </c>
      <c r="L564" t="s">
        <v>68</v>
      </c>
      <c r="M564" t="s">
        <v>93</v>
      </c>
      <c r="N564" t="s">
        <v>196</v>
      </c>
      <c r="O564" s="4">
        <v>7</v>
      </c>
      <c r="P564" s="4">
        <v>13</v>
      </c>
      <c r="Q564" t="s">
        <v>41</v>
      </c>
      <c r="R564" s="2">
        <v>46176</v>
      </c>
      <c r="S564" s="4">
        <v>27</v>
      </c>
      <c r="T564" s="3">
        <v>76000000</v>
      </c>
      <c r="U564" t="s">
        <v>196</v>
      </c>
      <c r="V564" t="s">
        <v>70</v>
      </c>
      <c r="W564" t="s">
        <v>209</v>
      </c>
      <c r="Y564" t="s">
        <v>369</v>
      </c>
      <c r="Z564" t="s">
        <v>3181</v>
      </c>
      <c r="AA564" t="s">
        <v>118</v>
      </c>
      <c r="AB564" t="s">
        <v>199</v>
      </c>
      <c r="AC564" t="s">
        <v>118</v>
      </c>
    </row>
    <row r="565" spans="1:29">
      <c r="A565" t="s">
        <v>974</v>
      </c>
      <c r="B565" s="2">
        <v>46181</v>
      </c>
      <c r="C565" t="s">
        <v>30</v>
      </c>
      <c r="D565" t="s">
        <v>99</v>
      </c>
      <c r="E565" t="s">
        <v>111</v>
      </c>
      <c r="F565" t="s">
        <v>112</v>
      </c>
      <c r="G565" t="s">
        <v>348</v>
      </c>
      <c r="H565" t="s">
        <v>191</v>
      </c>
      <c r="I565" t="s">
        <v>455</v>
      </c>
      <c r="J565" t="s">
        <v>3091</v>
      </c>
      <c r="K565" t="s">
        <v>92</v>
      </c>
      <c r="L565" t="s">
        <v>150</v>
      </c>
      <c r="M565" t="s">
        <v>81</v>
      </c>
      <c r="N565" t="s">
        <v>40</v>
      </c>
      <c r="O565" s="4">
        <v>2</v>
      </c>
      <c r="P565" s="4">
        <v>12</v>
      </c>
      <c r="Q565" t="s">
        <v>138</v>
      </c>
      <c r="R565" s="2">
        <v>46176</v>
      </c>
      <c r="S565" s="4">
        <v>27</v>
      </c>
      <c r="T565" s="3">
        <v>103000000</v>
      </c>
      <c r="U565" t="s">
        <v>42</v>
      </c>
      <c r="V565" t="s">
        <v>43</v>
      </c>
      <c r="W565" t="s">
        <v>44</v>
      </c>
      <c r="Y565" t="s">
        <v>281</v>
      </c>
      <c r="Z565" t="s">
        <v>3180</v>
      </c>
      <c r="AA565" t="s">
        <v>118</v>
      </c>
      <c r="AB565" t="s">
        <v>193</v>
      </c>
      <c r="AC565" t="s">
        <v>118</v>
      </c>
    </row>
    <row r="566" spans="1:29">
      <c r="A566" t="s">
        <v>975</v>
      </c>
      <c r="B566" s="2">
        <v>46197</v>
      </c>
      <c r="C566" t="s">
        <v>30</v>
      </c>
      <c r="D566" t="s">
        <v>49</v>
      </c>
      <c r="E566" t="s">
        <v>120</v>
      </c>
      <c r="F566" t="s">
        <v>121</v>
      </c>
      <c r="G566" t="s">
        <v>420</v>
      </c>
      <c r="H566" t="s">
        <v>123</v>
      </c>
      <c r="I566" t="s">
        <v>336</v>
      </c>
      <c r="J566" t="s">
        <v>3055</v>
      </c>
      <c r="K566" t="s">
        <v>56</v>
      </c>
      <c r="L566" t="s">
        <v>169</v>
      </c>
      <c r="M566" t="s">
        <v>106</v>
      </c>
      <c r="N566" t="s">
        <v>82</v>
      </c>
      <c r="O566" s="4">
        <v>1</v>
      </c>
      <c r="P566" s="4">
        <v>8</v>
      </c>
      <c r="Q566" t="s">
        <v>83</v>
      </c>
      <c r="R566" s="2">
        <v>46193</v>
      </c>
      <c r="S566" s="4">
        <v>10</v>
      </c>
      <c r="T566" s="3">
        <v>95000000</v>
      </c>
      <c r="U566" t="s">
        <v>42</v>
      </c>
      <c r="V566" t="s">
        <v>43</v>
      </c>
      <c r="W566" t="s">
        <v>404</v>
      </c>
      <c r="Y566" t="s">
        <v>291</v>
      </c>
      <c r="Z566" t="s">
        <v>3178</v>
      </c>
      <c r="AA566" t="s">
        <v>97</v>
      </c>
      <c r="AB566" t="s">
        <v>87</v>
      </c>
      <c r="AC566" t="s">
        <v>97</v>
      </c>
    </row>
    <row r="567" spans="1:29">
      <c r="A567" t="s">
        <v>976</v>
      </c>
      <c r="B567" s="2">
        <v>46193</v>
      </c>
      <c r="C567" t="s">
        <v>30</v>
      </c>
      <c r="D567" t="s">
        <v>74</v>
      </c>
      <c r="E567" t="s">
        <v>111</v>
      </c>
      <c r="F567" t="s">
        <v>112</v>
      </c>
      <c r="G567" t="s">
        <v>251</v>
      </c>
      <c r="H567" t="s">
        <v>114</v>
      </c>
      <c r="I567" t="s">
        <v>115</v>
      </c>
      <c r="J567" t="s">
        <v>3014</v>
      </c>
      <c r="K567" t="s">
        <v>37</v>
      </c>
      <c r="L567" t="s">
        <v>38</v>
      </c>
      <c r="M567" t="s">
        <v>164</v>
      </c>
      <c r="N567" t="s">
        <v>57</v>
      </c>
      <c r="O567" s="4">
        <v>3</v>
      </c>
      <c r="P567" s="4">
        <v>9</v>
      </c>
      <c r="Q567" t="s">
        <v>41</v>
      </c>
      <c r="R567" s="2">
        <v>46193</v>
      </c>
      <c r="S567" s="4">
        <v>10</v>
      </c>
      <c r="T567" s="3">
        <v>83000000</v>
      </c>
      <c r="U567" t="s">
        <v>42</v>
      </c>
      <c r="V567" t="s">
        <v>59</v>
      </c>
      <c r="W567" t="s">
        <v>157</v>
      </c>
      <c r="Y567" t="s">
        <v>165</v>
      </c>
      <c r="Z567" t="s">
        <v>3177</v>
      </c>
      <c r="AA567" t="s">
        <v>118</v>
      </c>
      <c r="AB567" t="s">
        <v>63</v>
      </c>
      <c r="AC567" t="s">
        <v>118</v>
      </c>
    </row>
    <row r="568" spans="1:29">
      <c r="A568" t="s">
        <v>977</v>
      </c>
      <c r="B568" s="2">
        <v>46186</v>
      </c>
      <c r="C568" t="s">
        <v>30</v>
      </c>
      <c r="D568" t="s">
        <v>99</v>
      </c>
      <c r="E568" t="s">
        <v>75</v>
      </c>
      <c r="F568" t="s">
        <v>76</v>
      </c>
      <c r="G568" t="s">
        <v>162</v>
      </c>
      <c r="H568" t="s">
        <v>388</v>
      </c>
      <c r="I568" t="s">
        <v>556</v>
      </c>
      <c r="J568" t="s">
        <v>3118</v>
      </c>
      <c r="K568" t="s">
        <v>116</v>
      </c>
      <c r="L568" t="s">
        <v>68</v>
      </c>
      <c r="M568" t="s">
        <v>81</v>
      </c>
      <c r="N568" t="s">
        <v>94</v>
      </c>
      <c r="O568" s="4">
        <v>4</v>
      </c>
      <c r="P568" s="4">
        <v>11</v>
      </c>
      <c r="Q568" t="s">
        <v>142</v>
      </c>
      <c r="R568" s="2">
        <v>46180</v>
      </c>
      <c r="S568" s="4">
        <v>23</v>
      </c>
      <c r="T568" s="3">
        <v>72000000</v>
      </c>
      <c r="U568" t="s">
        <v>260</v>
      </c>
      <c r="V568" t="s">
        <v>59</v>
      </c>
      <c r="W568" t="s">
        <v>188</v>
      </c>
      <c r="X568" t="s">
        <v>179</v>
      </c>
      <c r="Y568" t="s">
        <v>96</v>
      </c>
      <c r="Z568" t="s">
        <v>3179</v>
      </c>
      <c r="AA568" t="s">
        <v>86</v>
      </c>
      <c r="AB568" t="s">
        <v>97</v>
      </c>
      <c r="AC568" t="s">
        <v>86</v>
      </c>
    </row>
    <row r="569" spans="1:29">
      <c r="A569" t="s">
        <v>978</v>
      </c>
      <c r="B569" s="2">
        <v>46175</v>
      </c>
      <c r="C569" t="s">
        <v>30</v>
      </c>
      <c r="D569" t="s">
        <v>134</v>
      </c>
      <c r="E569" t="s">
        <v>120</v>
      </c>
      <c r="F569" t="s">
        <v>246</v>
      </c>
      <c r="G569" t="s">
        <v>224</v>
      </c>
      <c r="H569" t="s">
        <v>123</v>
      </c>
      <c r="I569" t="s">
        <v>225</v>
      </c>
      <c r="J569" t="s">
        <v>3030</v>
      </c>
      <c r="K569" t="s">
        <v>92</v>
      </c>
      <c r="L569" t="s">
        <v>80</v>
      </c>
      <c r="M569" t="s">
        <v>106</v>
      </c>
      <c r="N569" t="s">
        <v>57</v>
      </c>
      <c r="O569" s="4">
        <v>3</v>
      </c>
      <c r="P569" s="4">
        <v>4</v>
      </c>
      <c r="Q569" t="s">
        <v>83</v>
      </c>
      <c r="R569" s="2">
        <v>46167</v>
      </c>
      <c r="S569" s="4">
        <v>36</v>
      </c>
      <c r="T569" s="3">
        <v>69000000</v>
      </c>
      <c r="U569" t="s">
        <v>42</v>
      </c>
      <c r="V569" t="s">
        <v>43</v>
      </c>
      <c r="W569" t="s">
        <v>71</v>
      </c>
      <c r="Y569" t="s">
        <v>72</v>
      </c>
      <c r="Z569" t="s">
        <v>3177</v>
      </c>
      <c r="AA569" t="s">
        <v>97</v>
      </c>
      <c r="AB569" t="s">
        <v>63</v>
      </c>
      <c r="AC569" t="s">
        <v>97</v>
      </c>
    </row>
    <row r="570" spans="1:29">
      <c r="A570" t="s">
        <v>979</v>
      </c>
      <c r="B570" s="2">
        <v>46193</v>
      </c>
      <c r="C570" t="s">
        <v>30</v>
      </c>
      <c r="D570" t="s">
        <v>74</v>
      </c>
      <c r="E570" t="s">
        <v>152</v>
      </c>
      <c r="F570" t="s">
        <v>153</v>
      </c>
      <c r="G570" t="s">
        <v>206</v>
      </c>
      <c r="H570" t="s">
        <v>207</v>
      </c>
      <c r="I570" t="s">
        <v>365</v>
      </c>
      <c r="J570" t="s">
        <v>3063</v>
      </c>
      <c r="K570" t="s">
        <v>92</v>
      </c>
      <c r="L570" t="s">
        <v>80</v>
      </c>
      <c r="M570" t="s">
        <v>81</v>
      </c>
      <c r="N570" t="s">
        <v>130</v>
      </c>
      <c r="O570" s="4">
        <v>5</v>
      </c>
      <c r="P570" s="4">
        <v>17</v>
      </c>
      <c r="Q570" t="s">
        <v>142</v>
      </c>
      <c r="R570" s="2">
        <v>46188</v>
      </c>
      <c r="S570" s="4">
        <v>15</v>
      </c>
      <c r="T570" s="3">
        <v>174000000</v>
      </c>
      <c r="U570" t="s">
        <v>42</v>
      </c>
      <c r="V570" t="s">
        <v>59</v>
      </c>
      <c r="W570" t="s">
        <v>252</v>
      </c>
      <c r="X570" t="s">
        <v>117</v>
      </c>
      <c r="Y570" t="s">
        <v>254</v>
      </c>
      <c r="Z570" t="s">
        <v>3179</v>
      </c>
      <c r="AA570" t="s">
        <v>159</v>
      </c>
      <c r="AB570" t="s">
        <v>97</v>
      </c>
      <c r="AC570" t="s">
        <v>159</v>
      </c>
    </row>
    <row r="571" spans="1:29">
      <c r="A571" t="s">
        <v>980</v>
      </c>
      <c r="B571" s="2">
        <v>46193</v>
      </c>
      <c r="C571" t="s">
        <v>30</v>
      </c>
      <c r="D571" t="s">
        <v>74</v>
      </c>
      <c r="E571" t="s">
        <v>172</v>
      </c>
      <c r="F571" t="s">
        <v>277</v>
      </c>
      <c r="G571" t="s">
        <v>174</v>
      </c>
      <c r="H571" t="s">
        <v>175</v>
      </c>
      <c r="I571" t="s">
        <v>516</v>
      </c>
      <c r="J571" t="s">
        <v>3108</v>
      </c>
      <c r="K571" t="s">
        <v>37</v>
      </c>
      <c r="L571" t="s">
        <v>187</v>
      </c>
      <c r="M571" t="s">
        <v>129</v>
      </c>
      <c r="N571" t="s">
        <v>40</v>
      </c>
      <c r="O571" s="4">
        <v>2</v>
      </c>
      <c r="P571" s="4">
        <v>10</v>
      </c>
      <c r="Q571" t="s">
        <v>69</v>
      </c>
      <c r="R571" s="2">
        <v>46188</v>
      </c>
      <c r="S571" s="4">
        <v>15</v>
      </c>
      <c r="T571" s="3">
        <v>212000000</v>
      </c>
      <c r="U571" t="s">
        <v>42</v>
      </c>
      <c r="V571" t="s">
        <v>59</v>
      </c>
      <c r="W571" t="s">
        <v>298</v>
      </c>
      <c r="Y571" t="s">
        <v>309</v>
      </c>
      <c r="Z571" t="s">
        <v>3178</v>
      </c>
      <c r="AA571" t="s">
        <v>181</v>
      </c>
      <c r="AB571" t="s">
        <v>87</v>
      </c>
      <c r="AC571" t="s">
        <v>181</v>
      </c>
    </row>
    <row r="572" spans="1:29">
      <c r="A572" t="s">
        <v>981</v>
      </c>
      <c r="B572" s="2">
        <v>46195</v>
      </c>
      <c r="C572" t="s">
        <v>30</v>
      </c>
      <c r="D572" t="s">
        <v>49</v>
      </c>
      <c r="E572" t="s">
        <v>120</v>
      </c>
      <c r="F572" t="s">
        <v>121</v>
      </c>
      <c r="G572" t="s">
        <v>224</v>
      </c>
      <c r="H572" t="s">
        <v>123</v>
      </c>
      <c r="I572" t="s">
        <v>225</v>
      </c>
      <c r="J572" t="s">
        <v>3030</v>
      </c>
      <c r="K572" t="s">
        <v>56</v>
      </c>
      <c r="L572" t="s">
        <v>150</v>
      </c>
      <c r="M572" t="s">
        <v>164</v>
      </c>
      <c r="N572" t="s">
        <v>82</v>
      </c>
      <c r="O572" s="4">
        <v>1</v>
      </c>
      <c r="P572" s="4">
        <v>9</v>
      </c>
      <c r="Q572" t="s">
        <v>58</v>
      </c>
      <c r="R572" s="2">
        <v>46185</v>
      </c>
      <c r="S572" s="4">
        <v>18</v>
      </c>
      <c r="T572" s="3">
        <v>382000000</v>
      </c>
      <c r="U572" t="s">
        <v>42</v>
      </c>
      <c r="V572" t="s">
        <v>43</v>
      </c>
      <c r="W572" t="s">
        <v>290</v>
      </c>
      <c r="Y572" t="s">
        <v>291</v>
      </c>
      <c r="Z572" t="s">
        <v>3178</v>
      </c>
      <c r="AA572" t="s">
        <v>97</v>
      </c>
      <c r="AB572" t="s">
        <v>87</v>
      </c>
      <c r="AC572" t="s">
        <v>97</v>
      </c>
    </row>
    <row r="573" spans="1:29">
      <c r="A573" t="s">
        <v>982</v>
      </c>
      <c r="B573" s="2">
        <v>46186</v>
      </c>
      <c r="C573" t="s">
        <v>30</v>
      </c>
      <c r="D573" t="s">
        <v>99</v>
      </c>
      <c r="E573" t="s">
        <v>152</v>
      </c>
      <c r="F573" t="s">
        <v>153</v>
      </c>
      <c r="G573" t="s">
        <v>206</v>
      </c>
      <c r="H573" t="s">
        <v>283</v>
      </c>
      <c r="I573" t="s">
        <v>393</v>
      </c>
      <c r="J573" t="s">
        <v>3072</v>
      </c>
      <c r="K573" t="s">
        <v>56</v>
      </c>
      <c r="L573" t="s">
        <v>80</v>
      </c>
      <c r="M573" t="s">
        <v>39</v>
      </c>
      <c r="N573" t="s">
        <v>40</v>
      </c>
      <c r="O573" s="4">
        <v>2</v>
      </c>
      <c r="P573" s="4">
        <v>13</v>
      </c>
      <c r="Q573" t="s">
        <v>58</v>
      </c>
      <c r="R573" s="2">
        <v>46182</v>
      </c>
      <c r="S573" s="4">
        <v>21</v>
      </c>
      <c r="T573" s="3">
        <v>240000000</v>
      </c>
      <c r="U573" t="s">
        <v>42</v>
      </c>
      <c r="V573" t="s">
        <v>43</v>
      </c>
      <c r="W573" t="s">
        <v>44</v>
      </c>
      <c r="Y573" t="s">
        <v>45</v>
      </c>
      <c r="Z573" t="s">
        <v>3180</v>
      </c>
      <c r="AA573" t="s">
        <v>159</v>
      </c>
      <c r="AB573" t="s">
        <v>193</v>
      </c>
      <c r="AC573" t="s">
        <v>159</v>
      </c>
    </row>
    <row r="574" spans="1:29">
      <c r="A574" t="s">
        <v>983</v>
      </c>
      <c r="B574" s="2">
        <v>46200</v>
      </c>
      <c r="C574" t="s">
        <v>30</v>
      </c>
      <c r="D574" t="s">
        <v>49</v>
      </c>
      <c r="E574" t="s">
        <v>120</v>
      </c>
      <c r="F574" t="s">
        <v>246</v>
      </c>
      <c r="G574" t="s">
        <v>227</v>
      </c>
      <c r="H574" t="s">
        <v>123</v>
      </c>
      <c r="I574" t="s">
        <v>336</v>
      </c>
      <c r="J574" t="s">
        <v>3055</v>
      </c>
      <c r="K574" t="s">
        <v>37</v>
      </c>
      <c r="L574" t="s">
        <v>80</v>
      </c>
      <c r="M574" t="s">
        <v>56</v>
      </c>
      <c r="N574" t="s">
        <v>196</v>
      </c>
      <c r="O574" s="4">
        <v>7</v>
      </c>
      <c r="P574" s="4">
        <v>14</v>
      </c>
      <c r="Q574" t="s">
        <v>83</v>
      </c>
      <c r="R574" s="2">
        <v>46190</v>
      </c>
      <c r="S574" s="4">
        <v>13</v>
      </c>
      <c r="T574" s="3">
        <v>231000000</v>
      </c>
      <c r="U574" t="s">
        <v>564</v>
      </c>
      <c r="V574" t="s">
        <v>70</v>
      </c>
      <c r="W574" t="s">
        <v>243</v>
      </c>
      <c r="Y574" t="s">
        <v>210</v>
      </c>
      <c r="Z574" t="s">
        <v>3181</v>
      </c>
      <c r="AA574" t="s">
        <v>97</v>
      </c>
      <c r="AB574" t="s">
        <v>199</v>
      </c>
      <c r="AC574" t="s">
        <v>97</v>
      </c>
    </row>
    <row r="575" spans="1:29">
      <c r="A575" t="s">
        <v>984</v>
      </c>
      <c r="B575" s="2">
        <v>46193</v>
      </c>
      <c r="C575" t="s">
        <v>30</v>
      </c>
      <c r="D575" t="s">
        <v>74</v>
      </c>
      <c r="E575" t="s">
        <v>111</v>
      </c>
      <c r="F575" t="s">
        <v>264</v>
      </c>
      <c r="G575" t="s">
        <v>265</v>
      </c>
      <c r="H575" t="s">
        <v>191</v>
      </c>
      <c r="I575" t="s">
        <v>578</v>
      </c>
      <c r="J575" t="s">
        <v>3124</v>
      </c>
      <c r="K575" t="s">
        <v>105</v>
      </c>
      <c r="L575" t="s">
        <v>68</v>
      </c>
      <c r="M575" t="s">
        <v>164</v>
      </c>
      <c r="N575" t="s">
        <v>94</v>
      </c>
      <c r="O575" s="4">
        <v>4</v>
      </c>
      <c r="P575" s="4">
        <v>5</v>
      </c>
      <c r="Q575" t="s">
        <v>142</v>
      </c>
      <c r="R575" s="2">
        <v>46193</v>
      </c>
      <c r="S575" s="4">
        <v>10</v>
      </c>
      <c r="T575" s="3">
        <v>173000000</v>
      </c>
      <c r="U575" t="s">
        <v>426</v>
      </c>
      <c r="V575" t="s">
        <v>59</v>
      </c>
      <c r="W575" t="s">
        <v>170</v>
      </c>
      <c r="X575" t="s">
        <v>308</v>
      </c>
      <c r="Y575" t="s">
        <v>96</v>
      </c>
      <c r="Z575" t="s">
        <v>3179</v>
      </c>
      <c r="AA575" t="s">
        <v>118</v>
      </c>
      <c r="AB575" t="s">
        <v>97</v>
      </c>
      <c r="AC575" t="s">
        <v>118</v>
      </c>
    </row>
    <row r="576" spans="1:29">
      <c r="A576" t="s">
        <v>985</v>
      </c>
      <c r="B576" s="2">
        <v>46187</v>
      </c>
      <c r="C576" t="s">
        <v>30</v>
      </c>
      <c r="D576" t="s">
        <v>99</v>
      </c>
      <c r="E576" t="s">
        <v>120</v>
      </c>
      <c r="F576" t="s">
        <v>246</v>
      </c>
      <c r="G576" t="s">
        <v>224</v>
      </c>
      <c r="H576" t="s">
        <v>136</v>
      </c>
      <c r="I576" t="s">
        <v>168</v>
      </c>
      <c r="J576" t="s">
        <v>3022</v>
      </c>
      <c r="K576" t="s">
        <v>92</v>
      </c>
      <c r="L576" t="s">
        <v>38</v>
      </c>
      <c r="M576" t="s">
        <v>39</v>
      </c>
      <c r="N576" t="s">
        <v>94</v>
      </c>
      <c r="O576" s="4">
        <v>4</v>
      </c>
      <c r="P576" s="4">
        <v>9</v>
      </c>
      <c r="Q576" t="s">
        <v>58</v>
      </c>
      <c r="R576" s="2">
        <v>46177</v>
      </c>
      <c r="S576" s="4">
        <v>26</v>
      </c>
      <c r="T576" s="3">
        <v>232000000</v>
      </c>
      <c r="U576" t="s">
        <v>42</v>
      </c>
      <c r="V576" t="s">
        <v>59</v>
      </c>
      <c r="W576" t="s">
        <v>95</v>
      </c>
      <c r="Y576" t="s">
        <v>228</v>
      </c>
      <c r="Z576" t="s">
        <v>3179</v>
      </c>
      <c r="AA576" t="s">
        <v>97</v>
      </c>
      <c r="AB576" t="s">
        <v>97</v>
      </c>
      <c r="AC576" t="s">
        <v>97</v>
      </c>
    </row>
    <row r="577" spans="1:29">
      <c r="A577" t="s">
        <v>986</v>
      </c>
      <c r="B577" s="2">
        <v>46179</v>
      </c>
      <c r="C577" t="s">
        <v>30</v>
      </c>
      <c r="D577" t="s">
        <v>134</v>
      </c>
      <c r="E577" t="s">
        <v>75</v>
      </c>
      <c r="F577" t="s">
        <v>161</v>
      </c>
      <c r="G577" t="s">
        <v>77</v>
      </c>
      <c r="H577" t="s">
        <v>388</v>
      </c>
      <c r="I577" t="s">
        <v>630</v>
      </c>
      <c r="J577" t="s">
        <v>3135</v>
      </c>
      <c r="K577" t="s">
        <v>37</v>
      </c>
      <c r="L577" t="s">
        <v>80</v>
      </c>
      <c r="M577" t="s">
        <v>93</v>
      </c>
      <c r="N577" t="s">
        <v>82</v>
      </c>
      <c r="O577" s="4">
        <v>1</v>
      </c>
      <c r="P577" s="4">
        <v>5</v>
      </c>
      <c r="Q577" t="s">
        <v>69</v>
      </c>
      <c r="R577" s="2">
        <v>46172</v>
      </c>
      <c r="S577" s="4">
        <v>31</v>
      </c>
      <c r="T577" s="3">
        <v>148000000</v>
      </c>
      <c r="U577" t="s">
        <v>42</v>
      </c>
      <c r="V577" t="s">
        <v>43</v>
      </c>
      <c r="W577" t="s">
        <v>404</v>
      </c>
      <c r="Y577" t="s">
        <v>305</v>
      </c>
      <c r="Z577" t="s">
        <v>3178</v>
      </c>
      <c r="AA577" t="s">
        <v>86</v>
      </c>
      <c r="AB577" t="s">
        <v>87</v>
      </c>
      <c r="AC577" t="s">
        <v>86</v>
      </c>
    </row>
    <row r="578" spans="1:29">
      <c r="A578" t="s">
        <v>987</v>
      </c>
      <c r="B578" s="2">
        <v>46175</v>
      </c>
      <c r="C578" t="s">
        <v>30</v>
      </c>
      <c r="D578" t="s">
        <v>134</v>
      </c>
      <c r="E578" t="s">
        <v>111</v>
      </c>
      <c r="F578" t="s">
        <v>112</v>
      </c>
      <c r="G578" t="s">
        <v>113</v>
      </c>
      <c r="H578" t="s">
        <v>114</v>
      </c>
      <c r="I578" t="s">
        <v>988</v>
      </c>
      <c r="J578" t="s">
        <v>3168</v>
      </c>
      <c r="K578" t="s">
        <v>56</v>
      </c>
      <c r="L578" t="s">
        <v>55</v>
      </c>
      <c r="M578" t="s">
        <v>81</v>
      </c>
      <c r="N578" t="s">
        <v>57</v>
      </c>
      <c r="O578" s="4">
        <v>3</v>
      </c>
      <c r="P578" s="4">
        <v>11</v>
      </c>
      <c r="Q578" t="s">
        <v>138</v>
      </c>
      <c r="R578" s="2">
        <v>46168</v>
      </c>
      <c r="S578" s="4">
        <v>35</v>
      </c>
      <c r="T578" s="3">
        <v>213000000</v>
      </c>
      <c r="U578" t="s">
        <v>42</v>
      </c>
      <c r="V578" t="s">
        <v>59</v>
      </c>
      <c r="W578" t="s">
        <v>157</v>
      </c>
      <c r="Y578" t="s">
        <v>61</v>
      </c>
      <c r="Z578" t="s">
        <v>3177</v>
      </c>
      <c r="AA578" t="s">
        <v>118</v>
      </c>
      <c r="AB578" t="s">
        <v>63</v>
      </c>
      <c r="AC578" t="s">
        <v>118</v>
      </c>
    </row>
    <row r="579" spans="1:29">
      <c r="A579" t="s">
        <v>989</v>
      </c>
      <c r="B579" s="2">
        <v>46178</v>
      </c>
      <c r="C579" t="s">
        <v>30</v>
      </c>
      <c r="D579" t="s">
        <v>134</v>
      </c>
      <c r="E579" t="s">
        <v>111</v>
      </c>
      <c r="F579" t="s">
        <v>264</v>
      </c>
      <c r="G579" t="s">
        <v>348</v>
      </c>
      <c r="H579" t="s">
        <v>114</v>
      </c>
      <c r="I579" t="s">
        <v>115</v>
      </c>
      <c r="J579" t="s">
        <v>3014</v>
      </c>
      <c r="K579" t="s">
        <v>37</v>
      </c>
      <c r="L579" t="s">
        <v>38</v>
      </c>
      <c r="M579" t="s">
        <v>39</v>
      </c>
      <c r="N579" t="s">
        <v>82</v>
      </c>
      <c r="O579" s="4">
        <v>1</v>
      </c>
      <c r="P579" s="4">
        <v>8</v>
      </c>
      <c r="Q579" t="s">
        <v>58</v>
      </c>
      <c r="R579" s="2">
        <v>46173</v>
      </c>
      <c r="S579" s="4">
        <v>30</v>
      </c>
      <c r="T579" s="3">
        <v>154000000</v>
      </c>
      <c r="U579" t="s">
        <v>42</v>
      </c>
      <c r="V579" t="s">
        <v>59</v>
      </c>
      <c r="W579" t="s">
        <v>290</v>
      </c>
      <c r="Y579" t="s">
        <v>291</v>
      </c>
      <c r="Z579" t="s">
        <v>3178</v>
      </c>
      <c r="AA579" t="s">
        <v>118</v>
      </c>
      <c r="AB579" t="s">
        <v>87</v>
      </c>
      <c r="AC579" t="s">
        <v>118</v>
      </c>
    </row>
    <row r="580" spans="1:29">
      <c r="A580" t="s">
        <v>990</v>
      </c>
      <c r="B580" s="2">
        <v>46178</v>
      </c>
      <c r="C580" t="s">
        <v>30</v>
      </c>
      <c r="D580" t="s">
        <v>134</v>
      </c>
      <c r="E580" t="s">
        <v>100</v>
      </c>
      <c r="F580" t="s">
        <v>101</v>
      </c>
      <c r="G580" t="s">
        <v>212</v>
      </c>
      <c r="H580" t="s">
        <v>201</v>
      </c>
      <c r="I580" t="s">
        <v>371</v>
      </c>
      <c r="J580" t="s">
        <v>3065</v>
      </c>
      <c r="K580" t="s">
        <v>105</v>
      </c>
      <c r="L580" t="s">
        <v>80</v>
      </c>
      <c r="M580" t="s">
        <v>39</v>
      </c>
      <c r="N580" t="s">
        <v>130</v>
      </c>
      <c r="O580" s="4">
        <v>5</v>
      </c>
      <c r="P580" s="4">
        <v>14</v>
      </c>
      <c r="Q580" t="s">
        <v>107</v>
      </c>
      <c r="R580" s="2">
        <v>46170</v>
      </c>
      <c r="S580" s="4">
        <v>33</v>
      </c>
      <c r="T580" s="3">
        <v>93000000</v>
      </c>
      <c r="U580" t="s">
        <v>42</v>
      </c>
      <c r="V580" t="s">
        <v>70</v>
      </c>
      <c r="W580" t="s">
        <v>252</v>
      </c>
      <c r="Y580" t="s">
        <v>132</v>
      </c>
      <c r="Z580" t="s">
        <v>3179</v>
      </c>
      <c r="AA580" t="s">
        <v>109</v>
      </c>
      <c r="AB580" t="s">
        <v>97</v>
      </c>
      <c r="AC580" t="s">
        <v>109</v>
      </c>
    </row>
    <row r="581" spans="1:29">
      <c r="A581" t="s">
        <v>991</v>
      </c>
      <c r="B581" s="2">
        <v>46194</v>
      </c>
      <c r="C581" t="s">
        <v>30</v>
      </c>
      <c r="D581" t="s">
        <v>74</v>
      </c>
      <c r="E581" t="s">
        <v>100</v>
      </c>
      <c r="F581" t="s">
        <v>101</v>
      </c>
      <c r="G581" t="s">
        <v>313</v>
      </c>
      <c r="H581" t="s">
        <v>148</v>
      </c>
      <c r="I581" t="s">
        <v>800</v>
      </c>
      <c r="J581" t="s">
        <v>3156</v>
      </c>
      <c r="K581" t="s">
        <v>37</v>
      </c>
      <c r="L581" t="s">
        <v>150</v>
      </c>
      <c r="M581" t="s">
        <v>129</v>
      </c>
      <c r="N581" t="s">
        <v>130</v>
      </c>
      <c r="O581" s="4">
        <v>5</v>
      </c>
      <c r="P581" s="4">
        <v>21</v>
      </c>
      <c r="Q581" t="s">
        <v>107</v>
      </c>
      <c r="R581" s="2">
        <v>46187</v>
      </c>
      <c r="S581" s="4">
        <v>16</v>
      </c>
      <c r="T581" s="3">
        <v>248000000</v>
      </c>
      <c r="U581" t="s">
        <v>42</v>
      </c>
      <c r="V581" t="s">
        <v>143</v>
      </c>
      <c r="W581" t="s">
        <v>355</v>
      </c>
      <c r="X581" t="s">
        <v>253</v>
      </c>
      <c r="Y581" t="s">
        <v>262</v>
      </c>
      <c r="Z581" t="s">
        <v>3179</v>
      </c>
      <c r="AA581" t="s">
        <v>109</v>
      </c>
      <c r="AB581" t="s">
        <v>97</v>
      </c>
      <c r="AC581" t="s">
        <v>109</v>
      </c>
    </row>
    <row r="582" spans="1:29">
      <c r="A582" t="s">
        <v>992</v>
      </c>
      <c r="B582" s="2">
        <v>46182</v>
      </c>
      <c r="C582" t="s">
        <v>30</v>
      </c>
      <c r="D582" t="s">
        <v>99</v>
      </c>
      <c r="E582" t="s">
        <v>172</v>
      </c>
      <c r="F582" t="s">
        <v>195</v>
      </c>
      <c r="G582" t="s">
        <v>476</v>
      </c>
      <c r="H582" t="s">
        <v>317</v>
      </c>
      <c r="I582" t="s">
        <v>478</v>
      </c>
      <c r="J582" t="s">
        <v>3099</v>
      </c>
      <c r="K582" t="s">
        <v>56</v>
      </c>
      <c r="L582" t="s">
        <v>187</v>
      </c>
      <c r="M582" t="s">
        <v>106</v>
      </c>
      <c r="N582" t="s">
        <v>196</v>
      </c>
      <c r="O582" s="4">
        <v>7</v>
      </c>
      <c r="P582" s="4">
        <v>12</v>
      </c>
      <c r="Q582" t="s">
        <v>107</v>
      </c>
      <c r="R582" s="2">
        <v>46180</v>
      </c>
      <c r="S582" s="4">
        <v>23</v>
      </c>
      <c r="T582" s="3">
        <v>359000000</v>
      </c>
      <c r="U582" t="s">
        <v>564</v>
      </c>
      <c r="V582" t="s">
        <v>70</v>
      </c>
      <c r="W582" t="s">
        <v>209</v>
      </c>
      <c r="Y582" t="s">
        <v>210</v>
      </c>
      <c r="Z582" t="s">
        <v>3181</v>
      </c>
      <c r="AA582" t="s">
        <v>181</v>
      </c>
      <c r="AB582" t="s">
        <v>199</v>
      </c>
      <c r="AC582" t="s">
        <v>181</v>
      </c>
    </row>
    <row r="583" spans="1:29">
      <c r="A583" t="s">
        <v>993</v>
      </c>
      <c r="B583" s="2">
        <v>46202</v>
      </c>
      <c r="C583" t="s">
        <v>30</v>
      </c>
      <c r="D583" t="s">
        <v>31</v>
      </c>
      <c r="E583" t="s">
        <v>100</v>
      </c>
      <c r="F583" t="s">
        <v>146</v>
      </c>
      <c r="G583" t="s">
        <v>102</v>
      </c>
      <c r="H583" t="s">
        <v>103</v>
      </c>
      <c r="I583" t="s">
        <v>994</v>
      </c>
      <c r="J583" t="s">
        <v>3169</v>
      </c>
      <c r="K583" t="s">
        <v>56</v>
      </c>
      <c r="L583" t="s">
        <v>169</v>
      </c>
      <c r="M583" t="s">
        <v>93</v>
      </c>
      <c r="N583" t="s">
        <v>57</v>
      </c>
      <c r="O583" s="4">
        <v>3</v>
      </c>
      <c r="P583" s="4">
        <v>13</v>
      </c>
      <c r="Q583" t="s">
        <v>107</v>
      </c>
      <c r="R583" s="2">
        <v>46196</v>
      </c>
      <c r="S583" s="4">
        <v>7</v>
      </c>
      <c r="T583" s="3">
        <v>334000000</v>
      </c>
      <c r="U583" t="s">
        <v>260</v>
      </c>
      <c r="V583" t="s">
        <v>59</v>
      </c>
      <c r="W583" t="s">
        <v>157</v>
      </c>
      <c r="X583" t="s">
        <v>179</v>
      </c>
      <c r="Y583" t="s">
        <v>158</v>
      </c>
      <c r="Z583" t="s">
        <v>3180</v>
      </c>
      <c r="AA583" t="s">
        <v>109</v>
      </c>
      <c r="AB583" t="s">
        <v>193</v>
      </c>
      <c r="AC583" t="s">
        <v>109</v>
      </c>
    </row>
    <row r="584" spans="1:29">
      <c r="A584" t="s">
        <v>995</v>
      </c>
      <c r="B584" s="2">
        <v>46191</v>
      </c>
      <c r="C584" t="s">
        <v>30</v>
      </c>
      <c r="D584" t="s">
        <v>74</v>
      </c>
      <c r="E584" t="s">
        <v>100</v>
      </c>
      <c r="F584" t="s">
        <v>140</v>
      </c>
      <c r="G584" t="s">
        <v>237</v>
      </c>
      <c r="H584" t="s">
        <v>103</v>
      </c>
      <c r="I584" t="s">
        <v>104</v>
      </c>
      <c r="J584" t="s">
        <v>3013</v>
      </c>
      <c r="K584" t="s">
        <v>56</v>
      </c>
      <c r="L584" t="s">
        <v>169</v>
      </c>
      <c r="M584" t="s">
        <v>56</v>
      </c>
      <c r="N584" t="s">
        <v>94</v>
      </c>
      <c r="O584" s="4">
        <v>4</v>
      </c>
      <c r="P584" s="4">
        <v>17</v>
      </c>
      <c r="Q584" t="s">
        <v>107</v>
      </c>
      <c r="R584" s="2">
        <v>46181</v>
      </c>
      <c r="S584" s="4">
        <v>22</v>
      </c>
      <c r="T584" s="3">
        <v>446000000</v>
      </c>
      <c r="U584" t="s">
        <v>42</v>
      </c>
      <c r="V584" t="s">
        <v>59</v>
      </c>
      <c r="W584" t="s">
        <v>95</v>
      </c>
      <c r="Y584" t="s">
        <v>96</v>
      </c>
      <c r="Z584" t="s">
        <v>3179</v>
      </c>
      <c r="AA584" t="s">
        <v>109</v>
      </c>
      <c r="AB584" t="s">
        <v>97</v>
      </c>
      <c r="AC584" t="s">
        <v>109</v>
      </c>
    </row>
    <row r="585" spans="1:29">
      <c r="A585" t="s">
        <v>996</v>
      </c>
      <c r="B585" s="2">
        <v>46199</v>
      </c>
      <c r="C585" t="s">
        <v>30</v>
      </c>
      <c r="D585" t="s">
        <v>49</v>
      </c>
      <c r="E585" t="s">
        <v>32</v>
      </c>
      <c r="F585" t="s">
        <v>33</v>
      </c>
      <c r="G585" t="s">
        <v>361</v>
      </c>
      <c r="H585" t="s">
        <v>35</v>
      </c>
      <c r="I585" t="s">
        <v>595</v>
      </c>
      <c r="J585" t="s">
        <v>3128</v>
      </c>
      <c r="K585" t="s">
        <v>105</v>
      </c>
      <c r="L585" t="s">
        <v>80</v>
      </c>
      <c r="M585" t="s">
        <v>39</v>
      </c>
      <c r="N585" t="s">
        <v>57</v>
      </c>
      <c r="O585" s="4">
        <v>3</v>
      </c>
      <c r="P585" s="4">
        <v>2</v>
      </c>
      <c r="Q585" t="s">
        <v>69</v>
      </c>
      <c r="R585" s="2">
        <v>46196</v>
      </c>
      <c r="S585" s="4">
        <v>7</v>
      </c>
      <c r="T585" s="3">
        <v>317000000</v>
      </c>
      <c r="U585" t="s">
        <v>42</v>
      </c>
      <c r="V585" t="s">
        <v>59</v>
      </c>
      <c r="W585" t="s">
        <v>203</v>
      </c>
      <c r="Y585" t="s">
        <v>72</v>
      </c>
      <c r="Z585" t="s">
        <v>3177</v>
      </c>
      <c r="AA585" t="s">
        <v>46</v>
      </c>
      <c r="AB585" t="s">
        <v>63</v>
      </c>
      <c r="AC585" t="s">
        <v>46</v>
      </c>
    </row>
    <row r="586" spans="1:29">
      <c r="A586" t="s">
        <v>997</v>
      </c>
      <c r="B586" s="2">
        <v>46197</v>
      </c>
      <c r="C586" t="s">
        <v>30</v>
      </c>
      <c r="D586" t="s">
        <v>49</v>
      </c>
      <c r="E586" t="s">
        <v>120</v>
      </c>
      <c r="F586" t="s">
        <v>246</v>
      </c>
      <c r="G586" t="s">
        <v>227</v>
      </c>
      <c r="H586" t="s">
        <v>136</v>
      </c>
      <c r="I586" t="s">
        <v>137</v>
      </c>
      <c r="J586" t="s">
        <v>3017</v>
      </c>
      <c r="K586" t="s">
        <v>56</v>
      </c>
      <c r="L586" t="s">
        <v>80</v>
      </c>
      <c r="M586" t="s">
        <v>39</v>
      </c>
      <c r="N586" t="s">
        <v>213</v>
      </c>
      <c r="O586" s="4">
        <v>6</v>
      </c>
      <c r="P586" s="4">
        <v>10</v>
      </c>
      <c r="Q586" t="s">
        <v>83</v>
      </c>
      <c r="R586" s="2">
        <v>46195</v>
      </c>
      <c r="S586" s="4">
        <v>8</v>
      </c>
      <c r="T586" s="3">
        <v>130000000</v>
      </c>
      <c r="U586" t="s">
        <v>214</v>
      </c>
      <c r="V586" t="s">
        <v>70</v>
      </c>
      <c r="W586" t="s">
        <v>248</v>
      </c>
      <c r="Y586" t="s">
        <v>249</v>
      </c>
      <c r="Z586" t="s">
        <v>3179</v>
      </c>
      <c r="AA586" t="s">
        <v>97</v>
      </c>
      <c r="AB586" t="s">
        <v>97</v>
      </c>
      <c r="AC586" t="s">
        <v>97</v>
      </c>
    </row>
    <row r="587" spans="1:29">
      <c r="A587" t="s">
        <v>998</v>
      </c>
      <c r="B587" s="2">
        <v>46182</v>
      </c>
      <c r="C587" t="s">
        <v>30</v>
      </c>
      <c r="D587" t="s">
        <v>99</v>
      </c>
      <c r="E587" t="s">
        <v>50</v>
      </c>
      <c r="F587" t="s">
        <v>89</v>
      </c>
      <c r="G587" t="s">
        <v>270</v>
      </c>
      <c r="H587" t="s">
        <v>53</v>
      </c>
      <c r="I587" t="s">
        <v>307</v>
      </c>
      <c r="J587" t="s">
        <v>3047</v>
      </c>
      <c r="K587" t="s">
        <v>56</v>
      </c>
      <c r="L587" t="s">
        <v>68</v>
      </c>
      <c r="M587" t="s">
        <v>164</v>
      </c>
      <c r="N587" t="s">
        <v>94</v>
      </c>
      <c r="O587" s="4">
        <v>4</v>
      </c>
      <c r="P587" s="4">
        <v>7</v>
      </c>
      <c r="Q587" t="s">
        <v>107</v>
      </c>
      <c r="R587" s="2">
        <v>46179</v>
      </c>
      <c r="S587" s="4">
        <v>24</v>
      </c>
      <c r="T587" s="3">
        <v>171000000</v>
      </c>
      <c r="U587" t="s">
        <v>426</v>
      </c>
      <c r="V587" t="s">
        <v>59</v>
      </c>
      <c r="W587" t="s">
        <v>188</v>
      </c>
      <c r="X587" t="s">
        <v>308</v>
      </c>
      <c r="Y587" t="s">
        <v>96</v>
      </c>
      <c r="Z587" t="s">
        <v>3179</v>
      </c>
      <c r="AA587" t="s">
        <v>62</v>
      </c>
      <c r="AB587" t="s">
        <v>97</v>
      </c>
      <c r="AC587" t="s">
        <v>62</v>
      </c>
    </row>
    <row r="588" spans="1:29">
      <c r="A588" t="s">
        <v>999</v>
      </c>
      <c r="B588" s="2">
        <v>46178</v>
      </c>
      <c r="C588" t="s">
        <v>30</v>
      </c>
      <c r="D588" t="s">
        <v>134</v>
      </c>
      <c r="E588" t="s">
        <v>111</v>
      </c>
      <c r="F588" t="s">
        <v>190</v>
      </c>
      <c r="G588" t="s">
        <v>126</v>
      </c>
      <c r="H588" t="s">
        <v>191</v>
      </c>
      <c r="I588" t="s">
        <v>578</v>
      </c>
      <c r="J588" t="s">
        <v>3124</v>
      </c>
      <c r="K588" t="s">
        <v>37</v>
      </c>
      <c r="L588" t="s">
        <v>38</v>
      </c>
      <c r="M588" t="s">
        <v>93</v>
      </c>
      <c r="N588" t="s">
        <v>196</v>
      </c>
      <c r="O588" s="4">
        <v>7</v>
      </c>
      <c r="P588" s="4">
        <v>12</v>
      </c>
      <c r="Q588" t="s">
        <v>142</v>
      </c>
      <c r="R588" s="2">
        <v>46169</v>
      </c>
      <c r="S588" s="4">
        <v>34</v>
      </c>
      <c r="T588" s="3">
        <v>115000000</v>
      </c>
      <c r="U588" t="s">
        <v>196</v>
      </c>
      <c r="V588" t="s">
        <v>70</v>
      </c>
      <c r="W588" t="s">
        <v>209</v>
      </c>
      <c r="Y588" t="s">
        <v>198</v>
      </c>
      <c r="Z588" t="s">
        <v>3181</v>
      </c>
      <c r="AA588" t="s">
        <v>118</v>
      </c>
      <c r="AB588" t="s">
        <v>199</v>
      </c>
      <c r="AC588" t="s">
        <v>118</v>
      </c>
    </row>
    <row r="589" spans="1:29">
      <c r="A589" t="s">
        <v>1000</v>
      </c>
      <c r="B589" s="2">
        <v>46179</v>
      </c>
      <c r="C589" t="s">
        <v>30</v>
      </c>
      <c r="D589" t="s">
        <v>134</v>
      </c>
      <c r="E589" t="s">
        <v>120</v>
      </c>
      <c r="F589" t="s">
        <v>167</v>
      </c>
      <c r="G589" t="s">
        <v>122</v>
      </c>
      <c r="H589" t="s">
        <v>300</v>
      </c>
      <c r="I589" t="s">
        <v>830</v>
      </c>
      <c r="J589" t="s">
        <v>3159</v>
      </c>
      <c r="K589" t="s">
        <v>105</v>
      </c>
      <c r="L589" t="s">
        <v>80</v>
      </c>
      <c r="M589" t="s">
        <v>81</v>
      </c>
      <c r="N589" t="s">
        <v>94</v>
      </c>
      <c r="O589" s="4">
        <v>4</v>
      </c>
      <c r="P589" s="4">
        <v>9</v>
      </c>
      <c r="Q589" t="s">
        <v>142</v>
      </c>
      <c r="R589" s="2">
        <v>46174</v>
      </c>
      <c r="S589" s="4">
        <v>29</v>
      </c>
      <c r="T589" s="3">
        <v>215000000</v>
      </c>
      <c r="U589" t="s">
        <v>426</v>
      </c>
      <c r="V589" t="s">
        <v>59</v>
      </c>
      <c r="W589" t="s">
        <v>188</v>
      </c>
      <c r="X589" t="s">
        <v>179</v>
      </c>
      <c r="Y589" t="s">
        <v>108</v>
      </c>
      <c r="Z589" t="s">
        <v>3179</v>
      </c>
      <c r="AA589" t="s">
        <v>97</v>
      </c>
      <c r="AB589" t="s">
        <v>97</v>
      </c>
      <c r="AC589" t="s">
        <v>97</v>
      </c>
    </row>
    <row r="590" spans="1:29">
      <c r="A590" t="s">
        <v>1001</v>
      </c>
      <c r="B590" s="2">
        <v>46201</v>
      </c>
      <c r="C590" t="s">
        <v>30</v>
      </c>
      <c r="D590" t="s">
        <v>49</v>
      </c>
      <c r="E590" t="s">
        <v>111</v>
      </c>
      <c r="F590" t="s">
        <v>112</v>
      </c>
      <c r="G590" t="s">
        <v>126</v>
      </c>
      <c r="H590" t="s">
        <v>191</v>
      </c>
      <c r="I590" t="s">
        <v>455</v>
      </c>
      <c r="J590" t="s">
        <v>3091</v>
      </c>
      <c r="K590" t="s">
        <v>37</v>
      </c>
      <c r="L590" t="s">
        <v>38</v>
      </c>
      <c r="M590" t="s">
        <v>56</v>
      </c>
      <c r="N590" t="s">
        <v>57</v>
      </c>
      <c r="O590" s="4">
        <v>3</v>
      </c>
      <c r="P590" s="4">
        <v>4</v>
      </c>
      <c r="Q590" t="s">
        <v>107</v>
      </c>
      <c r="R590" s="2">
        <v>46192</v>
      </c>
      <c r="S590" s="4">
        <v>11</v>
      </c>
      <c r="T590" s="3">
        <v>68000000</v>
      </c>
      <c r="U590" t="s">
        <v>42</v>
      </c>
      <c r="V590" t="s">
        <v>59</v>
      </c>
      <c r="W590" t="s">
        <v>71</v>
      </c>
      <c r="Y590" t="s">
        <v>61</v>
      </c>
      <c r="Z590" t="s">
        <v>3177</v>
      </c>
      <c r="AA590" t="s">
        <v>118</v>
      </c>
      <c r="AB590" t="s">
        <v>63</v>
      </c>
      <c r="AC590" t="s">
        <v>118</v>
      </c>
    </row>
    <row r="591" spans="1:29">
      <c r="A591" t="s">
        <v>1002</v>
      </c>
      <c r="B591" s="2">
        <v>46203</v>
      </c>
      <c r="C591" t="s">
        <v>30</v>
      </c>
      <c r="D591" t="s">
        <v>31</v>
      </c>
      <c r="E591" t="s">
        <v>111</v>
      </c>
      <c r="F591" t="s">
        <v>112</v>
      </c>
      <c r="G591" t="s">
        <v>265</v>
      </c>
      <c r="H591" t="s">
        <v>191</v>
      </c>
      <c r="I591" t="s">
        <v>578</v>
      </c>
      <c r="J591" t="s">
        <v>3124</v>
      </c>
      <c r="K591" t="s">
        <v>37</v>
      </c>
      <c r="L591" t="s">
        <v>80</v>
      </c>
      <c r="M591" t="s">
        <v>39</v>
      </c>
      <c r="N591" t="s">
        <v>94</v>
      </c>
      <c r="O591" s="4">
        <v>4</v>
      </c>
      <c r="P591" s="4">
        <v>6</v>
      </c>
      <c r="Q591" t="s">
        <v>69</v>
      </c>
      <c r="R591" s="2">
        <v>46196</v>
      </c>
      <c r="S591" s="4">
        <v>7</v>
      </c>
      <c r="T591" s="3">
        <v>156000000</v>
      </c>
      <c r="U591" t="s">
        <v>260</v>
      </c>
      <c r="V591" t="s">
        <v>70</v>
      </c>
      <c r="W591" t="s">
        <v>267</v>
      </c>
      <c r="X591" t="s">
        <v>381</v>
      </c>
      <c r="Y591" t="s">
        <v>96</v>
      </c>
      <c r="Z591" t="s">
        <v>3179</v>
      </c>
      <c r="AA591" t="s">
        <v>118</v>
      </c>
      <c r="AB591" t="s">
        <v>97</v>
      </c>
      <c r="AC591" t="s">
        <v>118</v>
      </c>
    </row>
    <row r="592" spans="1:29">
      <c r="A592" t="s">
        <v>1003</v>
      </c>
      <c r="B592" s="2">
        <v>46201</v>
      </c>
      <c r="C592" t="s">
        <v>30</v>
      </c>
      <c r="D592" t="s">
        <v>49</v>
      </c>
      <c r="E592" t="s">
        <v>120</v>
      </c>
      <c r="F592" t="s">
        <v>167</v>
      </c>
      <c r="G592" t="s">
        <v>224</v>
      </c>
      <c r="H592" t="s">
        <v>136</v>
      </c>
      <c r="I592" t="s">
        <v>581</v>
      </c>
      <c r="J592" t="s">
        <v>3125</v>
      </c>
      <c r="K592" t="s">
        <v>105</v>
      </c>
      <c r="L592" t="s">
        <v>55</v>
      </c>
      <c r="M592" t="s">
        <v>56</v>
      </c>
      <c r="N592" t="s">
        <v>82</v>
      </c>
      <c r="O592" s="4">
        <v>1</v>
      </c>
      <c r="P592" s="4">
        <v>9</v>
      </c>
      <c r="Q592" t="s">
        <v>107</v>
      </c>
      <c r="R592" s="2">
        <v>46194</v>
      </c>
      <c r="S592" s="4">
        <v>9</v>
      </c>
      <c r="T592" s="3">
        <v>107000000</v>
      </c>
      <c r="U592" t="s">
        <v>42</v>
      </c>
      <c r="V592" t="s">
        <v>43</v>
      </c>
      <c r="W592" t="s">
        <v>84</v>
      </c>
      <c r="Y592" t="s">
        <v>305</v>
      </c>
      <c r="Z592" t="s">
        <v>3178</v>
      </c>
      <c r="AA592" t="s">
        <v>97</v>
      </c>
      <c r="AB592" t="s">
        <v>87</v>
      </c>
      <c r="AC592" t="s">
        <v>97</v>
      </c>
    </row>
    <row r="593" spans="1:29">
      <c r="A593" t="s">
        <v>1004</v>
      </c>
      <c r="B593" s="2">
        <v>46200</v>
      </c>
      <c r="C593" t="s">
        <v>30</v>
      </c>
      <c r="D593" t="s">
        <v>49</v>
      </c>
      <c r="E593" t="s">
        <v>172</v>
      </c>
      <c r="F593" t="s">
        <v>173</v>
      </c>
      <c r="G593" t="s">
        <v>289</v>
      </c>
      <c r="H593" t="s">
        <v>175</v>
      </c>
      <c r="I593" t="s">
        <v>485</v>
      </c>
      <c r="J593" t="s">
        <v>3101</v>
      </c>
      <c r="K593" t="s">
        <v>37</v>
      </c>
      <c r="L593" t="s">
        <v>80</v>
      </c>
      <c r="M593" t="s">
        <v>93</v>
      </c>
      <c r="N593" t="s">
        <v>94</v>
      </c>
      <c r="O593" s="4">
        <v>4</v>
      </c>
      <c r="P593" s="4">
        <v>11</v>
      </c>
      <c r="Q593" t="s">
        <v>58</v>
      </c>
      <c r="R593" s="2">
        <v>46197</v>
      </c>
      <c r="S593" s="4">
        <v>6</v>
      </c>
      <c r="T593" s="3">
        <v>118000000</v>
      </c>
      <c r="U593" t="s">
        <v>42</v>
      </c>
      <c r="V593" t="s">
        <v>59</v>
      </c>
      <c r="W593" t="s">
        <v>170</v>
      </c>
      <c r="Y593" t="s">
        <v>96</v>
      </c>
      <c r="Z593" t="s">
        <v>3179</v>
      </c>
      <c r="AA593" t="s">
        <v>181</v>
      </c>
      <c r="AB593" t="s">
        <v>97</v>
      </c>
      <c r="AC593" t="s">
        <v>181</v>
      </c>
    </row>
    <row r="594" spans="1:29">
      <c r="A594" t="s">
        <v>1005</v>
      </c>
      <c r="B594" s="2">
        <v>46192</v>
      </c>
      <c r="C594" t="s">
        <v>30</v>
      </c>
      <c r="D594" t="s">
        <v>74</v>
      </c>
      <c r="E594" t="s">
        <v>120</v>
      </c>
      <c r="F594" t="s">
        <v>167</v>
      </c>
      <c r="G594" t="s">
        <v>420</v>
      </c>
      <c r="H594" t="s">
        <v>136</v>
      </c>
      <c r="I594" t="s">
        <v>658</v>
      </c>
      <c r="J594" t="s">
        <v>3143</v>
      </c>
      <c r="K594" t="s">
        <v>105</v>
      </c>
      <c r="L594" t="s">
        <v>80</v>
      </c>
      <c r="M594" t="s">
        <v>164</v>
      </c>
      <c r="N594" t="s">
        <v>40</v>
      </c>
      <c r="O594" s="4">
        <v>2</v>
      </c>
      <c r="P594" s="4">
        <v>10</v>
      </c>
      <c r="Q594" t="s">
        <v>41</v>
      </c>
      <c r="R594" s="2">
        <v>46188</v>
      </c>
      <c r="S594" s="4">
        <v>15</v>
      </c>
      <c r="T594" s="3">
        <v>208000000</v>
      </c>
      <c r="U594" t="s">
        <v>42</v>
      </c>
      <c r="V594" t="s">
        <v>43</v>
      </c>
      <c r="W594" t="s">
        <v>239</v>
      </c>
      <c r="Y594" t="s">
        <v>309</v>
      </c>
      <c r="Z594" t="s">
        <v>3178</v>
      </c>
      <c r="AA594" t="s">
        <v>97</v>
      </c>
      <c r="AB594" t="s">
        <v>87</v>
      </c>
      <c r="AC594" t="s">
        <v>97</v>
      </c>
    </row>
    <row r="595" spans="1:29">
      <c r="A595" t="s">
        <v>1006</v>
      </c>
      <c r="B595" s="2">
        <v>46196</v>
      </c>
      <c r="C595" t="s">
        <v>30</v>
      </c>
      <c r="D595" t="s">
        <v>49</v>
      </c>
      <c r="E595" t="s">
        <v>32</v>
      </c>
      <c r="F595" t="s">
        <v>33</v>
      </c>
      <c r="G595" t="s">
        <v>218</v>
      </c>
      <c r="H595" t="s">
        <v>35</v>
      </c>
      <c r="I595" t="s">
        <v>604</v>
      </c>
      <c r="J595" t="s">
        <v>3130</v>
      </c>
      <c r="K595" t="s">
        <v>92</v>
      </c>
      <c r="L595" t="s">
        <v>55</v>
      </c>
      <c r="M595" t="s">
        <v>164</v>
      </c>
      <c r="N595" t="s">
        <v>82</v>
      </c>
      <c r="O595" s="4">
        <v>1</v>
      </c>
      <c r="P595" s="4">
        <v>1</v>
      </c>
      <c r="Q595" t="s">
        <v>142</v>
      </c>
      <c r="R595" s="2">
        <v>46189</v>
      </c>
      <c r="S595" s="4">
        <v>14</v>
      </c>
      <c r="T595" s="3">
        <v>64000000</v>
      </c>
      <c r="U595" t="s">
        <v>42</v>
      </c>
      <c r="V595" t="s">
        <v>43</v>
      </c>
      <c r="W595" t="s">
        <v>404</v>
      </c>
      <c r="Y595" t="s">
        <v>85</v>
      </c>
      <c r="Z595" t="s">
        <v>3176</v>
      </c>
      <c r="AA595" t="s">
        <v>46</v>
      </c>
      <c r="AB595" t="s">
        <v>47</v>
      </c>
      <c r="AC595" t="s">
        <v>46</v>
      </c>
    </row>
    <row r="596" spans="1:29">
      <c r="A596" t="s">
        <v>1007</v>
      </c>
      <c r="B596" s="2">
        <v>46181</v>
      </c>
      <c r="C596" t="s">
        <v>30</v>
      </c>
      <c r="D596" t="s">
        <v>99</v>
      </c>
      <c r="E596" t="s">
        <v>32</v>
      </c>
      <c r="F596" t="s">
        <v>273</v>
      </c>
      <c r="G596" t="s">
        <v>463</v>
      </c>
      <c r="H596" t="s">
        <v>258</v>
      </c>
      <c r="I596" t="s">
        <v>1008</v>
      </c>
      <c r="J596" t="s">
        <v>3170</v>
      </c>
      <c r="K596" t="s">
        <v>105</v>
      </c>
      <c r="L596" t="s">
        <v>38</v>
      </c>
      <c r="M596" t="s">
        <v>164</v>
      </c>
      <c r="N596" t="s">
        <v>40</v>
      </c>
      <c r="O596" s="4">
        <v>2</v>
      </c>
      <c r="P596" s="4">
        <v>7</v>
      </c>
      <c r="Q596" t="s">
        <v>83</v>
      </c>
      <c r="R596" s="2">
        <v>46172</v>
      </c>
      <c r="S596" s="4">
        <v>31</v>
      </c>
      <c r="T596" s="3">
        <v>277000000</v>
      </c>
      <c r="U596" t="s">
        <v>42</v>
      </c>
      <c r="V596" t="s">
        <v>59</v>
      </c>
      <c r="W596" t="s">
        <v>298</v>
      </c>
      <c r="Y596" t="s">
        <v>309</v>
      </c>
      <c r="Z596" t="s">
        <v>3178</v>
      </c>
      <c r="AA596" t="s">
        <v>46</v>
      </c>
      <c r="AB596" t="s">
        <v>87</v>
      </c>
      <c r="AC596" t="s">
        <v>46</v>
      </c>
    </row>
    <row r="597" spans="1:29">
      <c r="A597" t="s">
        <v>1009</v>
      </c>
      <c r="B597" s="2">
        <v>46178</v>
      </c>
      <c r="C597" t="s">
        <v>30</v>
      </c>
      <c r="D597" t="s">
        <v>134</v>
      </c>
      <c r="E597" t="s">
        <v>152</v>
      </c>
      <c r="F597" t="s">
        <v>205</v>
      </c>
      <c r="G597" t="s">
        <v>328</v>
      </c>
      <c r="H597" t="s">
        <v>155</v>
      </c>
      <c r="I597" t="s">
        <v>537</v>
      </c>
      <c r="J597" t="s">
        <v>3113</v>
      </c>
      <c r="K597" t="s">
        <v>92</v>
      </c>
      <c r="L597" t="s">
        <v>187</v>
      </c>
      <c r="M597" t="s">
        <v>93</v>
      </c>
      <c r="N597" t="s">
        <v>57</v>
      </c>
      <c r="O597" s="4">
        <v>3</v>
      </c>
      <c r="P597" s="4">
        <v>19</v>
      </c>
      <c r="Q597" t="s">
        <v>83</v>
      </c>
      <c r="R597" s="2">
        <v>46172</v>
      </c>
      <c r="S597" s="4">
        <v>31</v>
      </c>
      <c r="T597" s="3">
        <v>91000000</v>
      </c>
      <c r="U597" t="s">
        <v>42</v>
      </c>
      <c r="V597" t="s">
        <v>43</v>
      </c>
      <c r="W597" t="s">
        <v>60</v>
      </c>
      <c r="Y597" t="s">
        <v>61</v>
      </c>
      <c r="Z597" t="s">
        <v>3180</v>
      </c>
      <c r="AA597" t="s">
        <v>159</v>
      </c>
      <c r="AB597" t="s">
        <v>193</v>
      </c>
      <c r="AC597" t="s">
        <v>159</v>
      </c>
    </row>
    <row r="598" spans="1:29">
      <c r="A598" t="s">
        <v>1010</v>
      </c>
      <c r="B598" s="2">
        <v>46201</v>
      </c>
      <c r="C598" t="s">
        <v>30</v>
      </c>
      <c r="D598" t="s">
        <v>49</v>
      </c>
      <c r="E598" t="s">
        <v>50</v>
      </c>
      <c r="F598" t="s">
        <v>351</v>
      </c>
      <c r="G598" t="s">
        <v>270</v>
      </c>
      <c r="H598" t="s">
        <v>90</v>
      </c>
      <c r="I598" t="s">
        <v>842</v>
      </c>
      <c r="J598" t="s">
        <v>3161</v>
      </c>
      <c r="K598" t="s">
        <v>56</v>
      </c>
      <c r="L598" t="s">
        <v>80</v>
      </c>
      <c r="M598" t="s">
        <v>129</v>
      </c>
      <c r="N598" t="s">
        <v>130</v>
      </c>
      <c r="O598" s="4">
        <v>5</v>
      </c>
      <c r="P598" s="4">
        <v>14</v>
      </c>
      <c r="Q598" t="s">
        <v>107</v>
      </c>
      <c r="R598" s="2">
        <v>46199</v>
      </c>
      <c r="S598" s="4">
        <v>4</v>
      </c>
      <c r="T598" s="3">
        <v>123000000</v>
      </c>
      <c r="U598" t="s">
        <v>42</v>
      </c>
      <c r="V598" t="s">
        <v>59</v>
      </c>
      <c r="W598" t="s">
        <v>355</v>
      </c>
      <c r="X598" t="s">
        <v>117</v>
      </c>
      <c r="Y598" t="s">
        <v>334</v>
      </c>
      <c r="Z598" t="s">
        <v>3179</v>
      </c>
      <c r="AA598" t="s">
        <v>62</v>
      </c>
      <c r="AB598" t="s">
        <v>97</v>
      </c>
      <c r="AC598" t="s">
        <v>62</v>
      </c>
    </row>
    <row r="599" spans="1:29">
      <c r="A599" t="s">
        <v>1011</v>
      </c>
      <c r="B599" s="2">
        <v>46178</v>
      </c>
      <c r="C599" t="s">
        <v>30</v>
      </c>
      <c r="D599" t="s">
        <v>134</v>
      </c>
      <c r="E599" t="s">
        <v>75</v>
      </c>
      <c r="F599" t="s">
        <v>183</v>
      </c>
      <c r="G599" t="s">
        <v>387</v>
      </c>
      <c r="H599" t="s">
        <v>388</v>
      </c>
      <c r="I599" t="s">
        <v>661</v>
      </c>
      <c r="J599" t="s">
        <v>3144</v>
      </c>
      <c r="K599" t="s">
        <v>37</v>
      </c>
      <c r="L599" t="s">
        <v>187</v>
      </c>
      <c r="M599" t="s">
        <v>93</v>
      </c>
      <c r="N599" t="s">
        <v>57</v>
      </c>
      <c r="O599" s="4">
        <v>3</v>
      </c>
      <c r="P599" s="4">
        <v>8</v>
      </c>
      <c r="Q599" t="s">
        <v>58</v>
      </c>
      <c r="R599" s="2">
        <v>46170</v>
      </c>
      <c r="S599" s="4">
        <v>33</v>
      </c>
      <c r="T599" s="3">
        <v>168000000</v>
      </c>
      <c r="U599" t="s">
        <v>42</v>
      </c>
      <c r="V599" t="s">
        <v>70</v>
      </c>
      <c r="W599" t="s">
        <v>157</v>
      </c>
      <c r="Y599" t="s">
        <v>158</v>
      </c>
      <c r="Z599" t="s">
        <v>3177</v>
      </c>
      <c r="AA599" t="s">
        <v>86</v>
      </c>
      <c r="AB599" t="s">
        <v>63</v>
      </c>
      <c r="AC599" t="s">
        <v>86</v>
      </c>
    </row>
    <row r="600" spans="1:29">
      <c r="A600" t="s">
        <v>1012</v>
      </c>
      <c r="B600" s="2">
        <v>46196</v>
      </c>
      <c r="C600" t="s">
        <v>30</v>
      </c>
      <c r="D600" t="s">
        <v>49</v>
      </c>
      <c r="E600" t="s">
        <v>111</v>
      </c>
      <c r="F600" t="s">
        <v>190</v>
      </c>
      <c r="G600" t="s">
        <v>251</v>
      </c>
      <c r="H600" t="s">
        <v>191</v>
      </c>
      <c r="I600" t="s">
        <v>455</v>
      </c>
      <c r="J600" t="s">
        <v>3091</v>
      </c>
      <c r="K600" t="s">
        <v>92</v>
      </c>
      <c r="L600" t="s">
        <v>68</v>
      </c>
      <c r="M600" t="s">
        <v>164</v>
      </c>
      <c r="N600" t="s">
        <v>57</v>
      </c>
      <c r="O600" s="4">
        <v>3</v>
      </c>
      <c r="P600" s="4">
        <v>6</v>
      </c>
      <c r="Q600" t="s">
        <v>138</v>
      </c>
      <c r="R600" s="2">
        <v>46193</v>
      </c>
      <c r="S600" s="4">
        <v>10</v>
      </c>
      <c r="T600" s="3">
        <v>220000000</v>
      </c>
      <c r="U600" t="s">
        <v>42</v>
      </c>
      <c r="V600" t="s">
        <v>59</v>
      </c>
      <c r="W600" t="s">
        <v>203</v>
      </c>
      <c r="Y600" t="s">
        <v>158</v>
      </c>
      <c r="Z600" t="s">
        <v>3177</v>
      </c>
      <c r="AA600" t="s">
        <v>118</v>
      </c>
      <c r="AB600" t="s">
        <v>63</v>
      </c>
      <c r="AC600" t="s">
        <v>118</v>
      </c>
    </row>
    <row r="601" spans="1:29">
      <c r="A601" t="s">
        <v>1013</v>
      </c>
      <c r="B601" s="2">
        <v>46202</v>
      </c>
      <c r="C601" t="s">
        <v>30</v>
      </c>
      <c r="D601" t="s">
        <v>31</v>
      </c>
      <c r="E601" t="s">
        <v>100</v>
      </c>
      <c r="F601" t="s">
        <v>101</v>
      </c>
      <c r="G601" t="s">
        <v>212</v>
      </c>
      <c r="H601" t="s">
        <v>148</v>
      </c>
      <c r="I601" t="s">
        <v>532</v>
      </c>
      <c r="J601" t="s">
        <v>3111</v>
      </c>
      <c r="K601" t="s">
        <v>105</v>
      </c>
      <c r="L601" t="s">
        <v>80</v>
      </c>
      <c r="M601" t="s">
        <v>129</v>
      </c>
      <c r="N601" t="s">
        <v>94</v>
      </c>
      <c r="O601" s="4">
        <v>4</v>
      </c>
      <c r="P601" s="4">
        <v>12</v>
      </c>
      <c r="Q601" t="s">
        <v>138</v>
      </c>
      <c r="R601" s="2">
        <v>46198</v>
      </c>
      <c r="S601" s="4">
        <v>5</v>
      </c>
      <c r="T601" s="3">
        <v>165000000</v>
      </c>
      <c r="U601" t="s">
        <v>42</v>
      </c>
      <c r="V601" t="s">
        <v>59</v>
      </c>
      <c r="W601" t="s">
        <v>188</v>
      </c>
      <c r="Y601" t="s">
        <v>108</v>
      </c>
      <c r="Z601" t="s">
        <v>3179</v>
      </c>
      <c r="AA601" t="s">
        <v>109</v>
      </c>
      <c r="AB601" t="s">
        <v>97</v>
      </c>
      <c r="AC601" t="s">
        <v>109</v>
      </c>
    </row>
    <row r="602" spans="1:29">
      <c r="A602" t="s">
        <v>1014</v>
      </c>
      <c r="B602" s="2">
        <v>46180</v>
      </c>
      <c r="C602" t="s">
        <v>30</v>
      </c>
      <c r="D602" t="s">
        <v>134</v>
      </c>
      <c r="E602" t="s">
        <v>111</v>
      </c>
      <c r="F602" t="s">
        <v>112</v>
      </c>
      <c r="G602" t="s">
        <v>251</v>
      </c>
      <c r="H602" t="s">
        <v>127</v>
      </c>
      <c r="I602" t="s">
        <v>734</v>
      </c>
      <c r="J602" t="s">
        <v>3150</v>
      </c>
      <c r="K602" t="s">
        <v>92</v>
      </c>
      <c r="L602" t="s">
        <v>80</v>
      </c>
      <c r="M602" t="s">
        <v>129</v>
      </c>
      <c r="N602" t="s">
        <v>57</v>
      </c>
      <c r="O602" s="4">
        <v>3</v>
      </c>
      <c r="P602" s="4">
        <v>5</v>
      </c>
      <c r="Q602" t="s">
        <v>142</v>
      </c>
      <c r="R602" s="2">
        <v>46171</v>
      </c>
      <c r="S602" s="4">
        <v>32</v>
      </c>
      <c r="T602" s="3">
        <v>59000000</v>
      </c>
      <c r="U602" t="s">
        <v>42</v>
      </c>
      <c r="V602" t="s">
        <v>43</v>
      </c>
      <c r="W602" t="s">
        <v>203</v>
      </c>
      <c r="Y602" t="s">
        <v>158</v>
      </c>
      <c r="Z602" t="s">
        <v>3177</v>
      </c>
      <c r="AA602" t="s">
        <v>118</v>
      </c>
      <c r="AB602" t="s">
        <v>63</v>
      </c>
      <c r="AC602" t="s">
        <v>118</v>
      </c>
    </row>
    <row r="603" spans="1:29">
      <c r="A603" t="s">
        <v>1015</v>
      </c>
      <c r="B603" s="2">
        <v>46178</v>
      </c>
      <c r="C603" t="s">
        <v>30</v>
      </c>
      <c r="D603" t="s">
        <v>134</v>
      </c>
      <c r="E603" t="s">
        <v>120</v>
      </c>
      <c r="F603" t="s">
        <v>167</v>
      </c>
      <c r="G603" t="s">
        <v>122</v>
      </c>
      <c r="H603" t="s">
        <v>300</v>
      </c>
      <c r="I603" t="s">
        <v>301</v>
      </c>
      <c r="J603" t="s">
        <v>3045</v>
      </c>
      <c r="K603" t="s">
        <v>92</v>
      </c>
      <c r="L603" t="s">
        <v>80</v>
      </c>
      <c r="M603" t="s">
        <v>93</v>
      </c>
      <c r="N603" t="s">
        <v>57</v>
      </c>
      <c r="O603" s="4">
        <v>3</v>
      </c>
      <c r="P603" s="4">
        <v>10</v>
      </c>
      <c r="Q603" t="s">
        <v>41</v>
      </c>
      <c r="R603" s="2">
        <v>46171</v>
      </c>
      <c r="S603" s="4">
        <v>32</v>
      </c>
      <c r="T603" s="3">
        <v>209000000</v>
      </c>
      <c r="U603" t="s">
        <v>42</v>
      </c>
      <c r="V603" t="s">
        <v>59</v>
      </c>
      <c r="W603" t="s">
        <v>157</v>
      </c>
      <c r="Y603" t="s">
        <v>158</v>
      </c>
      <c r="Z603" t="s">
        <v>3177</v>
      </c>
      <c r="AA603" t="s">
        <v>97</v>
      </c>
      <c r="AB603" t="s">
        <v>63</v>
      </c>
      <c r="AC603" t="s">
        <v>97</v>
      </c>
    </row>
    <row r="604" spans="1:29">
      <c r="A604" t="s">
        <v>1016</v>
      </c>
      <c r="B604" s="2">
        <v>46174</v>
      </c>
      <c r="C604" t="s">
        <v>30</v>
      </c>
      <c r="D604" t="s">
        <v>134</v>
      </c>
      <c r="E604" t="s">
        <v>32</v>
      </c>
      <c r="F604" t="s">
        <v>256</v>
      </c>
      <c r="G604" t="s">
        <v>463</v>
      </c>
      <c r="H604" t="s">
        <v>258</v>
      </c>
      <c r="I604" t="s">
        <v>259</v>
      </c>
      <c r="J604" t="s">
        <v>3036</v>
      </c>
      <c r="K604" t="s">
        <v>56</v>
      </c>
      <c r="L604" t="s">
        <v>80</v>
      </c>
      <c r="M604" t="s">
        <v>39</v>
      </c>
      <c r="N604" t="s">
        <v>94</v>
      </c>
      <c r="O604" s="4">
        <v>4</v>
      </c>
      <c r="P604" s="4">
        <v>5</v>
      </c>
      <c r="Q604" t="s">
        <v>107</v>
      </c>
      <c r="R604" s="2">
        <v>46164</v>
      </c>
      <c r="S604" s="4">
        <v>39</v>
      </c>
      <c r="T604" s="3">
        <v>314000000</v>
      </c>
      <c r="U604" t="s">
        <v>42</v>
      </c>
      <c r="V604" t="s">
        <v>59</v>
      </c>
      <c r="W604" t="s">
        <v>267</v>
      </c>
      <c r="X604" t="s">
        <v>117</v>
      </c>
      <c r="Y604" t="s">
        <v>96</v>
      </c>
      <c r="Z604" t="s">
        <v>3179</v>
      </c>
      <c r="AA604" t="s">
        <v>46</v>
      </c>
      <c r="AB604" t="s">
        <v>97</v>
      </c>
      <c r="AC604" t="s">
        <v>46</v>
      </c>
    </row>
    <row r="605" spans="1:29">
      <c r="A605" t="s">
        <v>1017</v>
      </c>
      <c r="B605" s="2">
        <v>46185</v>
      </c>
      <c r="C605" t="s">
        <v>30</v>
      </c>
      <c r="D605" t="s">
        <v>99</v>
      </c>
      <c r="E605" t="s">
        <v>172</v>
      </c>
      <c r="F605" t="s">
        <v>277</v>
      </c>
      <c r="G605" t="s">
        <v>476</v>
      </c>
      <c r="H605" t="s">
        <v>241</v>
      </c>
      <c r="I605" t="s">
        <v>379</v>
      </c>
      <c r="J605" t="s">
        <v>3069</v>
      </c>
      <c r="K605" t="s">
        <v>56</v>
      </c>
      <c r="L605" t="s">
        <v>80</v>
      </c>
      <c r="M605" t="s">
        <v>93</v>
      </c>
      <c r="N605" t="s">
        <v>82</v>
      </c>
      <c r="O605" s="4">
        <v>1</v>
      </c>
      <c r="P605" s="4">
        <v>4</v>
      </c>
      <c r="Q605" t="s">
        <v>83</v>
      </c>
      <c r="R605" s="2">
        <v>46180</v>
      </c>
      <c r="S605" s="4">
        <v>23</v>
      </c>
      <c r="T605" s="3">
        <v>117000000</v>
      </c>
      <c r="U605" t="s">
        <v>42</v>
      </c>
      <c r="V605" t="s">
        <v>43</v>
      </c>
      <c r="W605" t="s">
        <v>290</v>
      </c>
      <c r="Y605" t="s">
        <v>85</v>
      </c>
      <c r="Z605" t="s">
        <v>3176</v>
      </c>
      <c r="AA605" t="s">
        <v>181</v>
      </c>
      <c r="AB605" t="s">
        <v>47</v>
      </c>
      <c r="AC605" t="s">
        <v>181</v>
      </c>
    </row>
    <row r="606" spans="1:29">
      <c r="A606" t="s">
        <v>1018</v>
      </c>
      <c r="B606" s="2">
        <v>46196</v>
      </c>
      <c r="C606" t="s">
        <v>30</v>
      </c>
      <c r="D606" t="s">
        <v>49</v>
      </c>
      <c r="E606" t="s">
        <v>32</v>
      </c>
      <c r="F606" t="s">
        <v>33</v>
      </c>
      <c r="G606" t="s">
        <v>34</v>
      </c>
      <c r="H606" t="s">
        <v>303</v>
      </c>
      <c r="I606" t="s">
        <v>483</v>
      </c>
      <c r="J606" t="s">
        <v>3100</v>
      </c>
      <c r="K606" t="s">
        <v>105</v>
      </c>
      <c r="L606" t="s">
        <v>80</v>
      </c>
      <c r="M606" t="s">
        <v>56</v>
      </c>
      <c r="N606" t="s">
        <v>82</v>
      </c>
      <c r="O606" s="4">
        <v>1</v>
      </c>
      <c r="P606" s="4">
        <v>8</v>
      </c>
      <c r="Q606" t="s">
        <v>138</v>
      </c>
      <c r="R606" s="2">
        <v>46193</v>
      </c>
      <c r="S606" s="4">
        <v>10</v>
      </c>
      <c r="T606" s="3">
        <v>175000000</v>
      </c>
      <c r="U606" t="s">
        <v>177</v>
      </c>
      <c r="V606" t="s">
        <v>59</v>
      </c>
      <c r="W606" t="s">
        <v>404</v>
      </c>
      <c r="X606" t="s">
        <v>179</v>
      </c>
      <c r="Y606" t="s">
        <v>85</v>
      </c>
      <c r="Z606" t="s">
        <v>3178</v>
      </c>
      <c r="AA606" t="s">
        <v>46</v>
      </c>
      <c r="AB606" t="s">
        <v>87</v>
      </c>
      <c r="AC606" t="s">
        <v>46</v>
      </c>
    </row>
    <row r="607" spans="1:29">
      <c r="A607" t="s">
        <v>1019</v>
      </c>
      <c r="B607" s="2">
        <v>46192</v>
      </c>
      <c r="C607" t="s">
        <v>30</v>
      </c>
      <c r="D607" t="s">
        <v>74</v>
      </c>
      <c r="E607" t="s">
        <v>50</v>
      </c>
      <c r="F607" t="s">
        <v>51</v>
      </c>
      <c r="G607" t="s">
        <v>234</v>
      </c>
      <c r="H607" t="s">
        <v>90</v>
      </c>
      <c r="I607" t="s">
        <v>842</v>
      </c>
      <c r="J607" t="s">
        <v>3161</v>
      </c>
      <c r="K607" t="s">
        <v>105</v>
      </c>
      <c r="L607" t="s">
        <v>80</v>
      </c>
      <c r="M607" t="s">
        <v>106</v>
      </c>
      <c r="N607" t="s">
        <v>82</v>
      </c>
      <c r="O607" s="4">
        <v>1</v>
      </c>
      <c r="P607" s="4">
        <v>13</v>
      </c>
      <c r="Q607" t="s">
        <v>69</v>
      </c>
      <c r="R607" s="2">
        <v>46187</v>
      </c>
      <c r="S607" s="4">
        <v>16</v>
      </c>
      <c r="T607" s="3">
        <v>138000000</v>
      </c>
      <c r="U607" t="s">
        <v>42</v>
      </c>
      <c r="V607" t="s">
        <v>43</v>
      </c>
      <c r="W607" t="s">
        <v>359</v>
      </c>
      <c r="Y607" t="s">
        <v>330</v>
      </c>
      <c r="Z607" t="s">
        <v>3180</v>
      </c>
      <c r="AA607" t="s">
        <v>62</v>
      </c>
      <c r="AB607" t="s">
        <v>193</v>
      </c>
      <c r="AC607" t="s">
        <v>62</v>
      </c>
    </row>
    <row r="608" spans="1:29">
      <c r="A608" t="s">
        <v>1020</v>
      </c>
      <c r="B608" s="2">
        <v>46174</v>
      </c>
      <c r="C608" t="s">
        <v>30</v>
      </c>
      <c r="D608" t="s">
        <v>134</v>
      </c>
      <c r="E608" t="s">
        <v>32</v>
      </c>
      <c r="F608" t="s">
        <v>273</v>
      </c>
      <c r="G608" t="s">
        <v>218</v>
      </c>
      <c r="H608" t="s">
        <v>303</v>
      </c>
      <c r="I608" t="s">
        <v>1021</v>
      </c>
      <c r="J608" t="s">
        <v>3171</v>
      </c>
      <c r="K608" t="s">
        <v>37</v>
      </c>
      <c r="L608" t="s">
        <v>38</v>
      </c>
      <c r="M608" t="s">
        <v>56</v>
      </c>
      <c r="N608" t="s">
        <v>82</v>
      </c>
      <c r="O608" s="4">
        <v>1</v>
      </c>
      <c r="P608" s="4">
        <v>5</v>
      </c>
      <c r="Q608" t="s">
        <v>69</v>
      </c>
      <c r="R608" s="2">
        <v>46167</v>
      </c>
      <c r="S608" s="4">
        <v>36</v>
      </c>
      <c r="T608" s="3">
        <v>240000000</v>
      </c>
      <c r="U608" t="s">
        <v>42</v>
      </c>
      <c r="V608" t="s">
        <v>43</v>
      </c>
      <c r="W608" t="s">
        <v>290</v>
      </c>
      <c r="Y608" t="s">
        <v>291</v>
      </c>
      <c r="Z608" t="s">
        <v>3178</v>
      </c>
      <c r="AA608" t="s">
        <v>46</v>
      </c>
      <c r="AB608" t="s">
        <v>87</v>
      </c>
      <c r="AC608" t="s">
        <v>46</v>
      </c>
    </row>
    <row r="609" spans="1:29">
      <c r="A609" t="s">
        <v>1022</v>
      </c>
      <c r="B609" s="2">
        <v>46202</v>
      </c>
      <c r="C609" t="s">
        <v>30</v>
      </c>
      <c r="D609" t="s">
        <v>31</v>
      </c>
      <c r="E609" t="s">
        <v>111</v>
      </c>
      <c r="F609" t="s">
        <v>190</v>
      </c>
      <c r="G609" t="s">
        <v>126</v>
      </c>
      <c r="H609" t="s">
        <v>127</v>
      </c>
      <c r="I609" t="s">
        <v>734</v>
      </c>
      <c r="J609" t="s">
        <v>3150</v>
      </c>
      <c r="K609" t="s">
        <v>37</v>
      </c>
      <c r="L609" t="s">
        <v>150</v>
      </c>
      <c r="M609" t="s">
        <v>106</v>
      </c>
      <c r="N609" t="s">
        <v>130</v>
      </c>
      <c r="O609" s="4">
        <v>5</v>
      </c>
      <c r="P609" s="4">
        <v>9</v>
      </c>
      <c r="Q609" t="s">
        <v>107</v>
      </c>
      <c r="R609" s="2">
        <v>46198</v>
      </c>
      <c r="S609" s="4">
        <v>5</v>
      </c>
      <c r="T609" s="3">
        <v>158000000</v>
      </c>
      <c r="U609" t="s">
        <v>42</v>
      </c>
      <c r="V609" t="s">
        <v>70</v>
      </c>
      <c r="W609" t="s">
        <v>355</v>
      </c>
      <c r="Y609" t="s">
        <v>262</v>
      </c>
      <c r="Z609" t="s">
        <v>3179</v>
      </c>
      <c r="AA609" t="s">
        <v>118</v>
      </c>
      <c r="AB609" t="s">
        <v>97</v>
      </c>
      <c r="AC609" t="s">
        <v>118</v>
      </c>
    </row>
    <row r="610" spans="1:29">
      <c r="A610" t="s">
        <v>1023</v>
      </c>
      <c r="B610" s="2">
        <v>46201</v>
      </c>
      <c r="C610" t="s">
        <v>30</v>
      </c>
      <c r="D610" t="s">
        <v>49</v>
      </c>
      <c r="E610" t="s">
        <v>32</v>
      </c>
      <c r="F610" t="s">
        <v>256</v>
      </c>
      <c r="G610" t="s">
        <v>257</v>
      </c>
      <c r="H610" t="s">
        <v>35</v>
      </c>
      <c r="I610" t="s">
        <v>862</v>
      </c>
      <c r="J610" t="s">
        <v>3164</v>
      </c>
      <c r="K610" t="s">
        <v>92</v>
      </c>
      <c r="L610" t="s">
        <v>55</v>
      </c>
      <c r="M610" t="s">
        <v>39</v>
      </c>
      <c r="N610" t="s">
        <v>57</v>
      </c>
      <c r="O610" s="4">
        <v>3</v>
      </c>
      <c r="P610" s="4">
        <v>5</v>
      </c>
      <c r="Q610" t="s">
        <v>58</v>
      </c>
      <c r="R610" s="2">
        <v>46201</v>
      </c>
      <c r="S610" s="4">
        <v>2</v>
      </c>
      <c r="T610" s="3">
        <v>45000000</v>
      </c>
      <c r="U610" t="s">
        <v>177</v>
      </c>
      <c r="V610" t="s">
        <v>59</v>
      </c>
      <c r="W610" t="s">
        <v>157</v>
      </c>
      <c r="X610" t="s">
        <v>261</v>
      </c>
      <c r="Y610" t="s">
        <v>61</v>
      </c>
      <c r="Z610" t="s">
        <v>3177</v>
      </c>
      <c r="AA610" t="s">
        <v>46</v>
      </c>
      <c r="AB610" t="s">
        <v>63</v>
      </c>
      <c r="AC610" t="s">
        <v>46</v>
      </c>
    </row>
    <row r="611" spans="1:29">
      <c r="A611" t="s">
        <v>1024</v>
      </c>
      <c r="B611" s="2">
        <v>46182</v>
      </c>
      <c r="C611" t="s">
        <v>30</v>
      </c>
      <c r="D611" t="s">
        <v>99</v>
      </c>
      <c r="E611" t="s">
        <v>32</v>
      </c>
      <c r="F611" t="s">
        <v>273</v>
      </c>
      <c r="G611" t="s">
        <v>257</v>
      </c>
      <c r="H611" t="s">
        <v>35</v>
      </c>
      <c r="I611" t="s">
        <v>604</v>
      </c>
      <c r="J611" t="s">
        <v>3130</v>
      </c>
      <c r="K611" t="s">
        <v>56</v>
      </c>
      <c r="L611" t="s">
        <v>80</v>
      </c>
      <c r="M611" t="s">
        <v>106</v>
      </c>
      <c r="N611" t="s">
        <v>130</v>
      </c>
      <c r="O611" s="4">
        <v>5</v>
      </c>
      <c r="P611" s="4">
        <v>4</v>
      </c>
      <c r="Q611" t="s">
        <v>142</v>
      </c>
      <c r="R611" s="2">
        <v>46175</v>
      </c>
      <c r="S611" s="4">
        <v>28</v>
      </c>
      <c r="T611" s="3">
        <v>464000000</v>
      </c>
      <c r="U611" t="s">
        <v>42</v>
      </c>
      <c r="V611" t="s">
        <v>59</v>
      </c>
      <c r="W611" t="s">
        <v>144</v>
      </c>
      <c r="Y611" t="s">
        <v>254</v>
      </c>
      <c r="Z611" t="s">
        <v>3179</v>
      </c>
      <c r="AA611" t="s">
        <v>46</v>
      </c>
      <c r="AB611" t="s">
        <v>97</v>
      </c>
      <c r="AC611" t="s">
        <v>46</v>
      </c>
    </row>
    <row r="612" spans="1:29">
      <c r="A612" t="s">
        <v>1025</v>
      </c>
      <c r="B612" s="2">
        <v>46174</v>
      </c>
      <c r="C612" t="s">
        <v>30</v>
      </c>
      <c r="D612" t="s">
        <v>134</v>
      </c>
      <c r="E612" t="s">
        <v>152</v>
      </c>
      <c r="F612" t="s">
        <v>205</v>
      </c>
      <c r="G612" t="s">
        <v>154</v>
      </c>
      <c r="H612" t="s">
        <v>207</v>
      </c>
      <c r="I612" t="s">
        <v>773</v>
      </c>
      <c r="J612" t="s">
        <v>3153</v>
      </c>
      <c r="K612" t="s">
        <v>105</v>
      </c>
      <c r="L612" t="s">
        <v>55</v>
      </c>
      <c r="M612" t="s">
        <v>39</v>
      </c>
      <c r="N612" t="s">
        <v>82</v>
      </c>
      <c r="O612" s="4">
        <v>1</v>
      </c>
      <c r="P612" s="4">
        <v>13</v>
      </c>
      <c r="Q612" t="s">
        <v>83</v>
      </c>
      <c r="R612" s="2">
        <v>46174</v>
      </c>
      <c r="S612" s="4">
        <v>29</v>
      </c>
      <c r="T612" s="3">
        <v>300000000</v>
      </c>
      <c r="U612" t="s">
        <v>42</v>
      </c>
      <c r="V612" t="s">
        <v>59</v>
      </c>
      <c r="W612" t="s">
        <v>404</v>
      </c>
      <c r="Y612" t="s">
        <v>85</v>
      </c>
      <c r="Z612" t="s">
        <v>3180</v>
      </c>
      <c r="AA612" t="s">
        <v>159</v>
      </c>
      <c r="AB612" t="s">
        <v>193</v>
      </c>
      <c r="AC612" t="s">
        <v>159</v>
      </c>
    </row>
    <row r="613" spans="1:29">
      <c r="A613" t="s">
        <v>1026</v>
      </c>
      <c r="B613" s="2">
        <v>46175</v>
      </c>
      <c r="C613" t="s">
        <v>30</v>
      </c>
      <c r="D613" t="s">
        <v>134</v>
      </c>
      <c r="E613" t="s">
        <v>75</v>
      </c>
      <c r="F613" t="s">
        <v>161</v>
      </c>
      <c r="G613" t="s">
        <v>162</v>
      </c>
      <c r="H613" t="s">
        <v>78</v>
      </c>
      <c r="I613" t="s">
        <v>163</v>
      </c>
      <c r="J613" t="s">
        <v>3021</v>
      </c>
      <c r="K613" t="s">
        <v>116</v>
      </c>
      <c r="L613" t="s">
        <v>169</v>
      </c>
      <c r="M613" t="s">
        <v>56</v>
      </c>
      <c r="N613" t="s">
        <v>130</v>
      </c>
      <c r="O613" s="4">
        <v>5</v>
      </c>
      <c r="P613" s="4">
        <v>12</v>
      </c>
      <c r="Q613" t="s">
        <v>58</v>
      </c>
      <c r="R613" s="2">
        <v>46166</v>
      </c>
      <c r="S613" s="4">
        <v>37</v>
      </c>
      <c r="T613" s="3">
        <v>177000000</v>
      </c>
      <c r="U613" t="s">
        <v>42</v>
      </c>
      <c r="V613" t="s">
        <v>70</v>
      </c>
      <c r="W613" t="s">
        <v>144</v>
      </c>
      <c r="Y613" t="s">
        <v>254</v>
      </c>
      <c r="Z613" t="s">
        <v>3179</v>
      </c>
      <c r="AA613" t="s">
        <v>86</v>
      </c>
      <c r="AB613" t="s">
        <v>97</v>
      </c>
      <c r="AC613" t="s">
        <v>86</v>
      </c>
    </row>
    <row r="614" spans="1:29">
      <c r="A614" t="s">
        <v>1027</v>
      </c>
      <c r="B614" s="2">
        <v>46185</v>
      </c>
      <c r="C614" t="s">
        <v>30</v>
      </c>
      <c r="D614" t="s">
        <v>99</v>
      </c>
      <c r="E614" t="s">
        <v>32</v>
      </c>
      <c r="F614" t="s">
        <v>273</v>
      </c>
      <c r="G614" t="s">
        <v>361</v>
      </c>
      <c r="H614" t="s">
        <v>35</v>
      </c>
      <c r="I614" t="s">
        <v>323</v>
      </c>
      <c r="J614" t="s">
        <v>3052</v>
      </c>
      <c r="K614" t="s">
        <v>56</v>
      </c>
      <c r="L614" t="s">
        <v>150</v>
      </c>
      <c r="M614" t="s">
        <v>81</v>
      </c>
      <c r="N614" t="s">
        <v>40</v>
      </c>
      <c r="O614" s="4">
        <v>2</v>
      </c>
      <c r="P614" s="4">
        <v>2</v>
      </c>
      <c r="Q614" t="s">
        <v>69</v>
      </c>
      <c r="R614" s="2">
        <v>46181</v>
      </c>
      <c r="S614" s="4">
        <v>22</v>
      </c>
      <c r="T614" s="3">
        <v>354000000</v>
      </c>
      <c r="U614" t="s">
        <v>42</v>
      </c>
      <c r="V614" t="s">
        <v>59</v>
      </c>
      <c r="W614" t="s">
        <v>298</v>
      </c>
      <c r="Y614" t="s">
        <v>180</v>
      </c>
      <c r="Z614" t="s">
        <v>3176</v>
      </c>
      <c r="AA614" t="s">
        <v>46</v>
      </c>
      <c r="AB614" t="s">
        <v>47</v>
      </c>
      <c r="AC614" t="s">
        <v>46</v>
      </c>
    </row>
    <row r="615" spans="1:29">
      <c r="A615" t="s">
        <v>1028</v>
      </c>
      <c r="B615" s="2">
        <v>46200</v>
      </c>
      <c r="C615" t="s">
        <v>30</v>
      </c>
      <c r="D615" t="s">
        <v>49</v>
      </c>
      <c r="E615" t="s">
        <v>172</v>
      </c>
      <c r="F615" t="s">
        <v>195</v>
      </c>
      <c r="G615" t="s">
        <v>476</v>
      </c>
      <c r="H615" t="s">
        <v>241</v>
      </c>
      <c r="I615" t="s">
        <v>457</v>
      </c>
      <c r="J615" t="s">
        <v>3092</v>
      </c>
      <c r="K615" t="s">
        <v>105</v>
      </c>
      <c r="L615" t="s">
        <v>187</v>
      </c>
      <c r="M615" t="s">
        <v>81</v>
      </c>
      <c r="N615" t="s">
        <v>94</v>
      </c>
      <c r="O615" s="4">
        <v>4</v>
      </c>
      <c r="P615" s="4">
        <v>6</v>
      </c>
      <c r="Q615" t="s">
        <v>58</v>
      </c>
      <c r="R615" s="2">
        <v>46198</v>
      </c>
      <c r="S615" s="4">
        <v>5</v>
      </c>
      <c r="T615" s="3">
        <v>173000000</v>
      </c>
      <c r="U615" t="s">
        <v>260</v>
      </c>
      <c r="V615" t="s">
        <v>143</v>
      </c>
      <c r="W615" t="s">
        <v>267</v>
      </c>
      <c r="X615" t="s">
        <v>520</v>
      </c>
      <c r="Y615" t="s">
        <v>96</v>
      </c>
      <c r="Z615" t="s">
        <v>3179</v>
      </c>
      <c r="AA615" t="s">
        <v>181</v>
      </c>
      <c r="AB615" t="s">
        <v>97</v>
      </c>
      <c r="AC615" t="s">
        <v>181</v>
      </c>
    </row>
    <row r="616" spans="1:29">
      <c r="A616" t="s">
        <v>1029</v>
      </c>
      <c r="B616" s="2">
        <v>46195</v>
      </c>
      <c r="C616" t="s">
        <v>30</v>
      </c>
      <c r="D616" t="s">
        <v>49</v>
      </c>
      <c r="E616" t="s">
        <v>100</v>
      </c>
      <c r="F616" t="s">
        <v>140</v>
      </c>
      <c r="G616" t="s">
        <v>102</v>
      </c>
      <c r="H616" t="s">
        <v>103</v>
      </c>
      <c r="I616" t="s">
        <v>141</v>
      </c>
      <c r="J616" t="s">
        <v>3018</v>
      </c>
      <c r="K616" t="s">
        <v>56</v>
      </c>
      <c r="L616" t="s">
        <v>80</v>
      </c>
      <c r="M616" t="s">
        <v>39</v>
      </c>
      <c r="N616" t="s">
        <v>130</v>
      </c>
      <c r="O616" s="4">
        <v>5</v>
      </c>
      <c r="P616" s="4">
        <v>14</v>
      </c>
      <c r="Q616" t="s">
        <v>107</v>
      </c>
      <c r="R616" s="2">
        <v>46189</v>
      </c>
      <c r="S616" s="4">
        <v>14</v>
      </c>
      <c r="T616" s="3">
        <v>494000000</v>
      </c>
      <c r="U616" t="s">
        <v>42</v>
      </c>
      <c r="V616" t="s">
        <v>143</v>
      </c>
      <c r="W616" t="s">
        <v>252</v>
      </c>
      <c r="X616" t="s">
        <v>117</v>
      </c>
      <c r="Y616" t="s">
        <v>132</v>
      </c>
      <c r="Z616" t="s">
        <v>3179</v>
      </c>
      <c r="AA616" t="s">
        <v>109</v>
      </c>
      <c r="AB616" t="s">
        <v>97</v>
      </c>
      <c r="AC616" t="s">
        <v>109</v>
      </c>
    </row>
    <row r="617" spans="1:29">
      <c r="A617" t="s">
        <v>1030</v>
      </c>
      <c r="B617" s="2">
        <v>46177</v>
      </c>
      <c r="C617" t="s">
        <v>30</v>
      </c>
      <c r="D617" t="s">
        <v>134</v>
      </c>
      <c r="E617" t="s">
        <v>75</v>
      </c>
      <c r="F617" t="s">
        <v>183</v>
      </c>
      <c r="G617" t="s">
        <v>230</v>
      </c>
      <c r="H617" t="s">
        <v>388</v>
      </c>
      <c r="I617" t="s">
        <v>630</v>
      </c>
      <c r="J617" t="s">
        <v>3135</v>
      </c>
      <c r="K617" t="s">
        <v>105</v>
      </c>
      <c r="L617" t="s">
        <v>187</v>
      </c>
      <c r="M617" t="s">
        <v>56</v>
      </c>
      <c r="N617" t="s">
        <v>130</v>
      </c>
      <c r="O617" s="4">
        <v>5</v>
      </c>
      <c r="P617" s="4">
        <v>11</v>
      </c>
      <c r="Q617" t="s">
        <v>142</v>
      </c>
      <c r="R617" s="2">
        <v>46174</v>
      </c>
      <c r="S617" s="4">
        <v>29</v>
      </c>
      <c r="T617" s="3">
        <v>127000000</v>
      </c>
      <c r="U617" t="s">
        <v>42</v>
      </c>
      <c r="V617" t="s">
        <v>59</v>
      </c>
      <c r="W617" t="s">
        <v>355</v>
      </c>
      <c r="Y617" t="s">
        <v>254</v>
      </c>
      <c r="Z617" t="s">
        <v>3179</v>
      </c>
      <c r="AA617" t="s">
        <v>86</v>
      </c>
      <c r="AB617" t="s">
        <v>97</v>
      </c>
      <c r="AC617" t="s">
        <v>86</v>
      </c>
    </row>
    <row r="618" spans="1:29">
      <c r="A618" t="s">
        <v>1031</v>
      </c>
      <c r="B618" s="2">
        <v>46175</v>
      </c>
      <c r="C618" t="s">
        <v>30</v>
      </c>
      <c r="D618" t="s">
        <v>134</v>
      </c>
      <c r="E618" t="s">
        <v>32</v>
      </c>
      <c r="F618" t="s">
        <v>273</v>
      </c>
      <c r="G618" t="s">
        <v>34</v>
      </c>
      <c r="H618" t="s">
        <v>35</v>
      </c>
      <c r="I618" t="s">
        <v>219</v>
      </c>
      <c r="J618" t="s">
        <v>3028</v>
      </c>
      <c r="K618" t="s">
        <v>105</v>
      </c>
      <c r="L618" t="s">
        <v>187</v>
      </c>
      <c r="M618" t="s">
        <v>164</v>
      </c>
      <c r="N618" t="s">
        <v>57</v>
      </c>
      <c r="O618" s="4">
        <v>3</v>
      </c>
      <c r="P618" s="4">
        <v>3</v>
      </c>
      <c r="Q618" t="s">
        <v>41</v>
      </c>
      <c r="R618" s="2">
        <v>46168</v>
      </c>
      <c r="S618" s="4">
        <v>35</v>
      </c>
      <c r="T618" s="3">
        <v>197000000</v>
      </c>
      <c r="U618" t="s">
        <v>42</v>
      </c>
      <c r="V618" t="s">
        <v>59</v>
      </c>
      <c r="W618" t="s">
        <v>71</v>
      </c>
      <c r="Y618" t="s">
        <v>61</v>
      </c>
      <c r="Z618" t="s">
        <v>3177</v>
      </c>
      <c r="AA618" t="s">
        <v>46</v>
      </c>
      <c r="AB618" t="s">
        <v>63</v>
      </c>
      <c r="AC618" t="s">
        <v>46</v>
      </c>
    </row>
    <row r="619" spans="1:29">
      <c r="A619" t="s">
        <v>1032</v>
      </c>
      <c r="B619" s="2">
        <v>46200</v>
      </c>
      <c r="C619" t="s">
        <v>30</v>
      </c>
      <c r="D619" t="s">
        <v>49</v>
      </c>
      <c r="E619" t="s">
        <v>100</v>
      </c>
      <c r="F619" t="s">
        <v>140</v>
      </c>
      <c r="G619" t="s">
        <v>212</v>
      </c>
      <c r="H619" t="s">
        <v>201</v>
      </c>
      <c r="I619" t="s">
        <v>202</v>
      </c>
      <c r="J619" t="s">
        <v>3026</v>
      </c>
      <c r="K619" t="s">
        <v>37</v>
      </c>
      <c r="L619" t="s">
        <v>38</v>
      </c>
      <c r="M619" t="s">
        <v>106</v>
      </c>
      <c r="N619" t="s">
        <v>40</v>
      </c>
      <c r="O619" s="4">
        <v>2</v>
      </c>
      <c r="P619" s="4">
        <v>7</v>
      </c>
      <c r="Q619" t="s">
        <v>41</v>
      </c>
      <c r="R619" s="2">
        <v>46190</v>
      </c>
      <c r="S619" s="4">
        <v>13</v>
      </c>
      <c r="T619" s="3">
        <v>154000000</v>
      </c>
      <c r="U619" t="s">
        <v>42</v>
      </c>
      <c r="V619" t="s">
        <v>43</v>
      </c>
      <c r="W619" t="s">
        <v>298</v>
      </c>
      <c r="Y619" t="s">
        <v>281</v>
      </c>
      <c r="Z619" t="s">
        <v>3178</v>
      </c>
      <c r="AA619" t="s">
        <v>109</v>
      </c>
      <c r="AB619" t="s">
        <v>87</v>
      </c>
      <c r="AC619" t="s">
        <v>109</v>
      </c>
    </row>
    <row r="620" spans="1:29">
      <c r="A620" t="s">
        <v>1033</v>
      </c>
      <c r="B620" s="2">
        <v>46196</v>
      </c>
      <c r="C620" t="s">
        <v>30</v>
      </c>
      <c r="D620" t="s">
        <v>49</v>
      </c>
      <c r="E620" t="s">
        <v>100</v>
      </c>
      <c r="F620" t="s">
        <v>140</v>
      </c>
      <c r="G620" t="s">
        <v>313</v>
      </c>
      <c r="H620" t="s">
        <v>201</v>
      </c>
      <c r="I620" t="s">
        <v>238</v>
      </c>
      <c r="J620" t="s">
        <v>3033</v>
      </c>
      <c r="K620" t="s">
        <v>56</v>
      </c>
      <c r="L620" t="s">
        <v>150</v>
      </c>
      <c r="M620" t="s">
        <v>56</v>
      </c>
      <c r="N620" t="s">
        <v>130</v>
      </c>
      <c r="O620" s="4">
        <v>5</v>
      </c>
      <c r="P620" s="4">
        <v>15</v>
      </c>
      <c r="Q620" t="s">
        <v>83</v>
      </c>
      <c r="R620" s="2">
        <v>46187</v>
      </c>
      <c r="S620" s="4">
        <v>16</v>
      </c>
      <c r="T620" s="3">
        <v>157000000</v>
      </c>
      <c r="U620" t="s">
        <v>42</v>
      </c>
      <c r="V620" t="s">
        <v>70</v>
      </c>
      <c r="W620" t="s">
        <v>252</v>
      </c>
      <c r="Y620" t="s">
        <v>132</v>
      </c>
      <c r="Z620" t="s">
        <v>3179</v>
      </c>
      <c r="AA620" t="s">
        <v>109</v>
      </c>
      <c r="AB620" t="s">
        <v>97</v>
      </c>
      <c r="AC620" t="s">
        <v>109</v>
      </c>
    </row>
    <row r="621" spans="1:29">
      <c r="A621" t="s">
        <v>1034</v>
      </c>
      <c r="B621" s="2">
        <v>46179</v>
      </c>
      <c r="C621" t="s">
        <v>30</v>
      </c>
      <c r="D621" t="s">
        <v>134</v>
      </c>
      <c r="E621" t="s">
        <v>120</v>
      </c>
      <c r="F621" t="s">
        <v>121</v>
      </c>
      <c r="G621" t="s">
        <v>420</v>
      </c>
      <c r="H621" t="s">
        <v>300</v>
      </c>
      <c r="I621" t="s">
        <v>830</v>
      </c>
      <c r="J621" t="s">
        <v>3159</v>
      </c>
      <c r="K621" t="s">
        <v>37</v>
      </c>
      <c r="L621" t="s">
        <v>38</v>
      </c>
      <c r="M621" t="s">
        <v>39</v>
      </c>
      <c r="N621" t="s">
        <v>130</v>
      </c>
      <c r="O621" s="4">
        <v>5</v>
      </c>
      <c r="P621" s="4">
        <v>11</v>
      </c>
      <c r="Q621" t="s">
        <v>69</v>
      </c>
      <c r="R621" s="2">
        <v>46176</v>
      </c>
      <c r="S621" s="4">
        <v>27</v>
      </c>
      <c r="T621" s="3">
        <v>238000000</v>
      </c>
      <c r="U621" t="s">
        <v>42</v>
      </c>
      <c r="V621" t="s">
        <v>59</v>
      </c>
      <c r="W621" t="s">
        <v>252</v>
      </c>
      <c r="Y621" t="s">
        <v>254</v>
      </c>
      <c r="Z621" t="s">
        <v>3179</v>
      </c>
      <c r="AA621" t="s">
        <v>97</v>
      </c>
      <c r="AB621" t="s">
        <v>97</v>
      </c>
      <c r="AC621" t="s">
        <v>97</v>
      </c>
    </row>
    <row r="622" spans="1:29">
      <c r="A622" t="s">
        <v>1035</v>
      </c>
      <c r="B622" s="2">
        <v>46182</v>
      </c>
      <c r="C622" t="s">
        <v>30</v>
      </c>
      <c r="D622" t="s">
        <v>99</v>
      </c>
      <c r="E622" t="s">
        <v>75</v>
      </c>
      <c r="F622" t="s">
        <v>161</v>
      </c>
      <c r="G622" t="s">
        <v>387</v>
      </c>
      <c r="H622" t="s">
        <v>185</v>
      </c>
      <c r="I622" t="s">
        <v>795</v>
      </c>
      <c r="J622" t="s">
        <v>3155</v>
      </c>
      <c r="K622" t="s">
        <v>56</v>
      </c>
      <c r="L622" t="s">
        <v>80</v>
      </c>
      <c r="M622" t="s">
        <v>56</v>
      </c>
      <c r="N622" t="s">
        <v>40</v>
      </c>
      <c r="O622" s="4">
        <v>2</v>
      </c>
      <c r="P622" s="4">
        <v>10</v>
      </c>
      <c r="Q622" t="s">
        <v>83</v>
      </c>
      <c r="R622" s="2">
        <v>46176</v>
      </c>
      <c r="S622" s="4">
        <v>27</v>
      </c>
      <c r="T622" s="3">
        <v>130000000</v>
      </c>
      <c r="U622" t="s">
        <v>42</v>
      </c>
      <c r="V622" t="s">
        <v>43</v>
      </c>
      <c r="W622" t="s">
        <v>178</v>
      </c>
      <c r="Y622" t="s">
        <v>281</v>
      </c>
      <c r="Z622" t="s">
        <v>3178</v>
      </c>
      <c r="AA622" t="s">
        <v>86</v>
      </c>
      <c r="AB622" t="s">
        <v>87</v>
      </c>
      <c r="AC622" t="s">
        <v>86</v>
      </c>
    </row>
    <row r="623" spans="1:29">
      <c r="A623" t="s">
        <v>1036</v>
      </c>
      <c r="B623" s="2">
        <v>46199</v>
      </c>
      <c r="C623" t="s">
        <v>30</v>
      </c>
      <c r="D623" t="s">
        <v>49</v>
      </c>
      <c r="E623" t="s">
        <v>75</v>
      </c>
      <c r="F623" t="s">
        <v>161</v>
      </c>
      <c r="G623" t="s">
        <v>230</v>
      </c>
      <c r="H623" t="s">
        <v>388</v>
      </c>
      <c r="I623" t="s">
        <v>661</v>
      </c>
      <c r="J623" t="s">
        <v>3144</v>
      </c>
      <c r="K623" t="s">
        <v>56</v>
      </c>
      <c r="L623" t="s">
        <v>150</v>
      </c>
      <c r="M623" t="s">
        <v>129</v>
      </c>
      <c r="N623" t="s">
        <v>94</v>
      </c>
      <c r="O623" s="4">
        <v>4</v>
      </c>
      <c r="P623" s="4">
        <v>7</v>
      </c>
      <c r="Q623" t="s">
        <v>138</v>
      </c>
      <c r="R623" s="2">
        <v>46189</v>
      </c>
      <c r="S623" s="4">
        <v>14</v>
      </c>
      <c r="T623" s="3">
        <v>153000000</v>
      </c>
      <c r="U623" t="s">
        <v>42</v>
      </c>
      <c r="V623" t="s">
        <v>70</v>
      </c>
      <c r="W623" t="s">
        <v>267</v>
      </c>
      <c r="Y623" t="s">
        <v>268</v>
      </c>
      <c r="Z623" t="s">
        <v>3179</v>
      </c>
      <c r="AA623" t="s">
        <v>86</v>
      </c>
      <c r="AB623" t="s">
        <v>97</v>
      </c>
      <c r="AC623" t="s">
        <v>86</v>
      </c>
    </row>
    <row r="624" spans="1:29">
      <c r="A624" t="s">
        <v>1037</v>
      </c>
      <c r="B624" s="2">
        <v>46189</v>
      </c>
      <c r="C624" t="s">
        <v>30</v>
      </c>
      <c r="D624" t="s">
        <v>74</v>
      </c>
      <c r="E624" t="s">
        <v>111</v>
      </c>
      <c r="F624" t="s">
        <v>264</v>
      </c>
      <c r="G624" t="s">
        <v>113</v>
      </c>
      <c r="H624" t="s">
        <v>114</v>
      </c>
      <c r="I624" t="s">
        <v>266</v>
      </c>
      <c r="J624" t="s">
        <v>3037</v>
      </c>
      <c r="K624" t="s">
        <v>37</v>
      </c>
      <c r="L624" t="s">
        <v>68</v>
      </c>
      <c r="M624" t="s">
        <v>39</v>
      </c>
      <c r="N624" t="s">
        <v>213</v>
      </c>
      <c r="O624" s="4">
        <v>6</v>
      </c>
      <c r="P624" s="4">
        <v>14</v>
      </c>
      <c r="Q624" t="s">
        <v>138</v>
      </c>
      <c r="R624" s="2">
        <v>46182</v>
      </c>
      <c r="S624" s="4">
        <v>21</v>
      </c>
      <c r="T624" s="3">
        <v>120000000</v>
      </c>
      <c r="U624" t="s">
        <v>214</v>
      </c>
      <c r="V624" t="s">
        <v>70</v>
      </c>
      <c r="W624" t="s">
        <v>248</v>
      </c>
      <c r="Y624" t="s">
        <v>424</v>
      </c>
      <c r="Z624" t="s">
        <v>3179</v>
      </c>
      <c r="AA624" t="s">
        <v>118</v>
      </c>
      <c r="AB624" t="s">
        <v>97</v>
      </c>
      <c r="AC624" t="s">
        <v>118</v>
      </c>
    </row>
    <row r="625" spans="1:29">
      <c r="A625" t="s">
        <v>1038</v>
      </c>
      <c r="B625" s="2">
        <v>46187</v>
      </c>
      <c r="C625" t="s">
        <v>30</v>
      </c>
      <c r="D625" t="s">
        <v>99</v>
      </c>
      <c r="E625" t="s">
        <v>50</v>
      </c>
      <c r="F625" t="s">
        <v>351</v>
      </c>
      <c r="G625" t="s">
        <v>343</v>
      </c>
      <c r="H625" t="s">
        <v>90</v>
      </c>
      <c r="I625" t="s">
        <v>585</v>
      </c>
      <c r="J625" t="s">
        <v>3126</v>
      </c>
      <c r="K625" t="s">
        <v>92</v>
      </c>
      <c r="L625" t="s">
        <v>169</v>
      </c>
      <c r="M625" t="s">
        <v>93</v>
      </c>
      <c r="N625" t="s">
        <v>196</v>
      </c>
      <c r="O625" s="4">
        <v>7</v>
      </c>
      <c r="P625" s="4">
        <v>20</v>
      </c>
      <c r="Q625" t="s">
        <v>107</v>
      </c>
      <c r="R625" s="2">
        <v>46187</v>
      </c>
      <c r="S625" s="4">
        <v>16</v>
      </c>
      <c r="T625" s="3">
        <v>168000000</v>
      </c>
      <c r="U625" t="s">
        <v>196</v>
      </c>
      <c r="V625" t="s">
        <v>70</v>
      </c>
      <c r="W625" t="s">
        <v>243</v>
      </c>
      <c r="Y625" t="s">
        <v>244</v>
      </c>
      <c r="Z625" t="s">
        <v>3181</v>
      </c>
      <c r="AA625" t="s">
        <v>62</v>
      </c>
      <c r="AB625" t="s">
        <v>199</v>
      </c>
      <c r="AC625" t="s">
        <v>62</v>
      </c>
    </row>
    <row r="626" spans="1:29">
      <c r="A626" t="s">
        <v>1039</v>
      </c>
      <c r="B626" s="2">
        <v>46198</v>
      </c>
      <c r="C626" t="s">
        <v>30</v>
      </c>
      <c r="D626" t="s">
        <v>49</v>
      </c>
      <c r="E626" t="s">
        <v>172</v>
      </c>
      <c r="F626" t="s">
        <v>195</v>
      </c>
      <c r="G626" t="s">
        <v>338</v>
      </c>
      <c r="H626" t="s">
        <v>241</v>
      </c>
      <c r="I626" t="s">
        <v>441</v>
      </c>
      <c r="J626" t="s">
        <v>3085</v>
      </c>
      <c r="K626" t="s">
        <v>105</v>
      </c>
      <c r="L626" t="s">
        <v>187</v>
      </c>
      <c r="M626" t="s">
        <v>129</v>
      </c>
      <c r="N626" t="s">
        <v>213</v>
      </c>
      <c r="O626" s="4">
        <v>6</v>
      </c>
      <c r="P626" s="4">
        <v>8</v>
      </c>
      <c r="Q626" t="s">
        <v>142</v>
      </c>
      <c r="R626" s="2">
        <v>46188</v>
      </c>
      <c r="S626" s="4">
        <v>15</v>
      </c>
      <c r="T626" s="3">
        <v>371000000</v>
      </c>
      <c r="U626" t="s">
        <v>214</v>
      </c>
      <c r="V626" t="s">
        <v>143</v>
      </c>
      <c r="W626" t="s">
        <v>390</v>
      </c>
      <c r="Y626" t="s">
        <v>432</v>
      </c>
      <c r="Z626" t="s">
        <v>3179</v>
      </c>
      <c r="AA626" t="s">
        <v>181</v>
      </c>
      <c r="AB626" t="s">
        <v>97</v>
      </c>
      <c r="AC626" t="s">
        <v>181</v>
      </c>
    </row>
    <row r="627" spans="1:29">
      <c r="A627" t="s">
        <v>1040</v>
      </c>
      <c r="B627" s="2">
        <v>46189</v>
      </c>
      <c r="C627" t="s">
        <v>30</v>
      </c>
      <c r="D627" t="s">
        <v>74</v>
      </c>
      <c r="E627" t="s">
        <v>152</v>
      </c>
      <c r="F627" t="s">
        <v>221</v>
      </c>
      <c r="G627" t="s">
        <v>294</v>
      </c>
      <c r="H627" t="s">
        <v>283</v>
      </c>
      <c r="I627" t="s">
        <v>472</v>
      </c>
      <c r="J627" t="s">
        <v>3097</v>
      </c>
      <c r="K627" t="s">
        <v>56</v>
      </c>
      <c r="L627" t="s">
        <v>150</v>
      </c>
      <c r="M627" t="s">
        <v>81</v>
      </c>
      <c r="N627" t="s">
        <v>40</v>
      </c>
      <c r="O627" s="4">
        <v>2</v>
      </c>
      <c r="P627" s="4">
        <v>13</v>
      </c>
      <c r="Q627" t="s">
        <v>138</v>
      </c>
      <c r="R627" s="2">
        <v>46181</v>
      </c>
      <c r="S627" s="4">
        <v>22</v>
      </c>
      <c r="T627" s="3">
        <v>461000000</v>
      </c>
      <c r="U627" t="s">
        <v>42</v>
      </c>
      <c r="V627" t="s">
        <v>43</v>
      </c>
      <c r="W627" t="s">
        <v>298</v>
      </c>
      <c r="Y627" t="s">
        <v>45</v>
      </c>
      <c r="Z627" t="s">
        <v>3180</v>
      </c>
      <c r="AA627" t="s">
        <v>159</v>
      </c>
      <c r="AB627" t="s">
        <v>193</v>
      </c>
      <c r="AC627" t="s">
        <v>159</v>
      </c>
    </row>
    <row r="628" spans="1:29">
      <c r="A628" t="s">
        <v>1041</v>
      </c>
      <c r="B628" s="2">
        <v>46203</v>
      </c>
      <c r="C628" t="s">
        <v>30</v>
      </c>
      <c r="D628" t="s">
        <v>31</v>
      </c>
      <c r="E628" t="s">
        <v>120</v>
      </c>
      <c r="F628" t="s">
        <v>167</v>
      </c>
      <c r="G628" t="s">
        <v>227</v>
      </c>
      <c r="H628" t="s">
        <v>300</v>
      </c>
      <c r="I628" t="s">
        <v>445</v>
      </c>
      <c r="J628" t="s">
        <v>3087</v>
      </c>
      <c r="K628" t="s">
        <v>37</v>
      </c>
      <c r="L628" t="s">
        <v>55</v>
      </c>
      <c r="M628" t="s">
        <v>129</v>
      </c>
      <c r="N628" t="s">
        <v>94</v>
      </c>
      <c r="O628" s="4">
        <v>4</v>
      </c>
      <c r="P628" s="4">
        <v>8</v>
      </c>
      <c r="Q628" t="s">
        <v>69</v>
      </c>
      <c r="R628" s="2">
        <v>46198</v>
      </c>
      <c r="S628" s="4">
        <v>5</v>
      </c>
      <c r="T628" s="3">
        <v>165000000</v>
      </c>
      <c r="U628" t="s">
        <v>426</v>
      </c>
      <c r="V628" t="s">
        <v>59</v>
      </c>
      <c r="W628" t="s">
        <v>170</v>
      </c>
      <c r="X628" t="s">
        <v>422</v>
      </c>
      <c r="Y628" t="s">
        <v>96</v>
      </c>
      <c r="Z628" t="s">
        <v>3179</v>
      </c>
      <c r="AA628" t="s">
        <v>97</v>
      </c>
      <c r="AB628" t="s">
        <v>97</v>
      </c>
      <c r="AC628" t="s">
        <v>97</v>
      </c>
    </row>
    <row r="629" spans="1:29">
      <c r="A629" t="s">
        <v>1042</v>
      </c>
      <c r="B629" s="2">
        <v>46188</v>
      </c>
      <c r="C629" t="s">
        <v>30</v>
      </c>
      <c r="D629" t="s">
        <v>74</v>
      </c>
      <c r="E629" t="s">
        <v>172</v>
      </c>
      <c r="F629" t="s">
        <v>195</v>
      </c>
      <c r="G629" t="s">
        <v>338</v>
      </c>
      <c r="H629" t="s">
        <v>175</v>
      </c>
      <c r="I629" t="s">
        <v>602</v>
      </c>
      <c r="J629" t="s">
        <v>3129</v>
      </c>
      <c r="K629" t="s">
        <v>37</v>
      </c>
      <c r="L629" t="s">
        <v>38</v>
      </c>
      <c r="M629" t="s">
        <v>106</v>
      </c>
      <c r="N629" t="s">
        <v>94</v>
      </c>
      <c r="O629" s="4">
        <v>4</v>
      </c>
      <c r="P629" s="4">
        <v>6</v>
      </c>
      <c r="Q629" t="s">
        <v>107</v>
      </c>
      <c r="R629" s="2">
        <v>46179</v>
      </c>
      <c r="S629" s="4">
        <v>24</v>
      </c>
      <c r="T629" s="3">
        <v>273000000</v>
      </c>
      <c r="U629" t="s">
        <v>260</v>
      </c>
      <c r="V629" t="s">
        <v>70</v>
      </c>
      <c r="W629" t="s">
        <v>95</v>
      </c>
      <c r="X629" t="s">
        <v>520</v>
      </c>
      <c r="Y629" t="s">
        <v>108</v>
      </c>
      <c r="Z629" t="s">
        <v>3179</v>
      </c>
      <c r="AA629" t="s">
        <v>181</v>
      </c>
      <c r="AB629" t="s">
        <v>97</v>
      </c>
      <c r="AC629" t="s">
        <v>181</v>
      </c>
    </row>
    <row r="630" spans="1:29">
      <c r="A630" t="s">
        <v>1043</v>
      </c>
      <c r="B630" s="2">
        <v>46186</v>
      </c>
      <c r="C630" t="s">
        <v>30</v>
      </c>
      <c r="D630" t="s">
        <v>99</v>
      </c>
      <c r="E630" t="s">
        <v>152</v>
      </c>
      <c r="F630" t="s">
        <v>153</v>
      </c>
      <c r="G630" t="s">
        <v>294</v>
      </c>
      <c r="H630" t="s">
        <v>283</v>
      </c>
      <c r="I630" t="s">
        <v>287</v>
      </c>
      <c r="J630" t="s">
        <v>3042</v>
      </c>
      <c r="K630" t="s">
        <v>37</v>
      </c>
      <c r="L630" t="s">
        <v>80</v>
      </c>
      <c r="M630" t="s">
        <v>164</v>
      </c>
      <c r="N630" t="s">
        <v>82</v>
      </c>
      <c r="O630" s="4">
        <v>1</v>
      </c>
      <c r="P630" s="4">
        <v>16</v>
      </c>
      <c r="Q630" t="s">
        <v>138</v>
      </c>
      <c r="R630" s="2">
        <v>46178</v>
      </c>
      <c r="S630" s="4">
        <v>25</v>
      </c>
      <c r="T630" s="3">
        <v>128000000</v>
      </c>
      <c r="U630" t="s">
        <v>177</v>
      </c>
      <c r="V630" t="s">
        <v>43</v>
      </c>
      <c r="W630" t="s">
        <v>84</v>
      </c>
      <c r="X630" t="s">
        <v>308</v>
      </c>
      <c r="Y630" t="s">
        <v>85</v>
      </c>
      <c r="Z630" t="s">
        <v>3180</v>
      </c>
      <c r="AA630" t="s">
        <v>159</v>
      </c>
      <c r="AB630" t="s">
        <v>193</v>
      </c>
      <c r="AC630" t="s">
        <v>159</v>
      </c>
    </row>
    <row r="631" spans="1:29">
      <c r="A631" t="s">
        <v>1044</v>
      </c>
      <c r="B631" s="2">
        <v>46175</v>
      </c>
      <c r="C631" t="s">
        <v>30</v>
      </c>
      <c r="D631" t="s">
        <v>134</v>
      </c>
      <c r="E631" t="s">
        <v>152</v>
      </c>
      <c r="F631" t="s">
        <v>205</v>
      </c>
      <c r="G631" t="s">
        <v>206</v>
      </c>
      <c r="H631" t="s">
        <v>155</v>
      </c>
      <c r="I631" t="s">
        <v>434</v>
      </c>
      <c r="J631" t="s">
        <v>3083</v>
      </c>
      <c r="K631" t="s">
        <v>92</v>
      </c>
      <c r="L631" t="s">
        <v>187</v>
      </c>
      <c r="M631" t="s">
        <v>106</v>
      </c>
      <c r="N631" t="s">
        <v>57</v>
      </c>
      <c r="O631" s="4">
        <v>3</v>
      </c>
      <c r="P631" s="4">
        <v>7</v>
      </c>
      <c r="Q631" t="s">
        <v>41</v>
      </c>
      <c r="R631" s="2">
        <v>46175</v>
      </c>
      <c r="S631" s="4">
        <v>28</v>
      </c>
      <c r="T631" s="3">
        <v>197000000</v>
      </c>
      <c r="U631" t="s">
        <v>42</v>
      </c>
      <c r="V631" t="s">
        <v>59</v>
      </c>
      <c r="W631" t="s">
        <v>203</v>
      </c>
      <c r="Y631" t="s">
        <v>72</v>
      </c>
      <c r="Z631" t="s">
        <v>3177</v>
      </c>
      <c r="AA631" t="s">
        <v>159</v>
      </c>
      <c r="AB631" t="s">
        <v>63</v>
      </c>
      <c r="AC631" t="s">
        <v>159</v>
      </c>
    </row>
    <row r="632" spans="1:29">
      <c r="A632" t="s">
        <v>1045</v>
      </c>
      <c r="B632" s="2">
        <v>46198</v>
      </c>
      <c r="C632" t="s">
        <v>30</v>
      </c>
      <c r="D632" t="s">
        <v>49</v>
      </c>
      <c r="E632" t="s">
        <v>75</v>
      </c>
      <c r="F632" t="s">
        <v>76</v>
      </c>
      <c r="G632" t="s">
        <v>77</v>
      </c>
      <c r="H632" t="s">
        <v>388</v>
      </c>
      <c r="I632" t="s">
        <v>409</v>
      </c>
      <c r="J632" t="s">
        <v>3076</v>
      </c>
      <c r="K632" t="s">
        <v>105</v>
      </c>
      <c r="L632" t="s">
        <v>169</v>
      </c>
      <c r="M632" t="s">
        <v>106</v>
      </c>
      <c r="N632" t="s">
        <v>57</v>
      </c>
      <c r="O632" s="4">
        <v>3</v>
      </c>
      <c r="P632" s="4">
        <v>9</v>
      </c>
      <c r="Q632" t="s">
        <v>41</v>
      </c>
      <c r="R632" s="2">
        <v>46194</v>
      </c>
      <c r="S632" s="4">
        <v>9</v>
      </c>
      <c r="T632" s="3">
        <v>138000000</v>
      </c>
      <c r="U632" t="s">
        <v>42</v>
      </c>
      <c r="V632" t="s">
        <v>43</v>
      </c>
      <c r="W632" t="s">
        <v>203</v>
      </c>
      <c r="Y632" t="s">
        <v>165</v>
      </c>
      <c r="Z632" t="s">
        <v>3177</v>
      </c>
      <c r="AA632" t="s">
        <v>86</v>
      </c>
      <c r="AB632" t="s">
        <v>63</v>
      </c>
      <c r="AC632" t="s">
        <v>86</v>
      </c>
    </row>
    <row r="633" spans="1:29">
      <c r="A633" t="s">
        <v>1046</v>
      </c>
      <c r="B633" s="2">
        <v>46181</v>
      </c>
      <c r="C633" t="s">
        <v>30</v>
      </c>
      <c r="D633" t="s">
        <v>99</v>
      </c>
      <c r="E633" t="s">
        <v>111</v>
      </c>
      <c r="F633" t="s">
        <v>190</v>
      </c>
      <c r="G633" t="s">
        <v>126</v>
      </c>
      <c r="H633" t="s">
        <v>127</v>
      </c>
      <c r="I633" t="s">
        <v>311</v>
      </c>
      <c r="J633" t="s">
        <v>3048</v>
      </c>
      <c r="K633" t="s">
        <v>92</v>
      </c>
      <c r="L633" t="s">
        <v>80</v>
      </c>
      <c r="M633" t="s">
        <v>81</v>
      </c>
      <c r="N633" t="s">
        <v>40</v>
      </c>
      <c r="O633" s="4">
        <v>2</v>
      </c>
      <c r="P633" s="4">
        <v>11</v>
      </c>
      <c r="Q633" t="s">
        <v>69</v>
      </c>
      <c r="R633" s="2">
        <v>46178</v>
      </c>
      <c r="S633" s="4">
        <v>25</v>
      </c>
      <c r="T633" s="3">
        <v>89000000</v>
      </c>
      <c r="U633" t="s">
        <v>177</v>
      </c>
      <c r="V633" t="s">
        <v>43</v>
      </c>
      <c r="W633" t="s">
        <v>298</v>
      </c>
      <c r="X633" t="s">
        <v>381</v>
      </c>
      <c r="Y633" t="s">
        <v>281</v>
      </c>
      <c r="Z633" t="s">
        <v>3178</v>
      </c>
      <c r="AA633" t="s">
        <v>118</v>
      </c>
      <c r="AB633" t="s">
        <v>87</v>
      </c>
      <c r="AC633" t="s">
        <v>118</v>
      </c>
    </row>
    <row r="634" spans="1:29">
      <c r="A634" t="s">
        <v>1047</v>
      </c>
      <c r="B634" s="2">
        <v>46198</v>
      </c>
      <c r="C634" t="s">
        <v>30</v>
      </c>
      <c r="D634" t="s">
        <v>49</v>
      </c>
      <c r="E634" t="s">
        <v>152</v>
      </c>
      <c r="F634" t="s">
        <v>153</v>
      </c>
      <c r="G634" t="s">
        <v>294</v>
      </c>
      <c r="H634" t="s">
        <v>155</v>
      </c>
      <c r="I634" t="s">
        <v>443</v>
      </c>
      <c r="J634" t="s">
        <v>3086</v>
      </c>
      <c r="K634" t="s">
        <v>37</v>
      </c>
      <c r="L634" t="s">
        <v>55</v>
      </c>
      <c r="M634" t="s">
        <v>81</v>
      </c>
      <c r="N634" t="s">
        <v>94</v>
      </c>
      <c r="O634" s="4">
        <v>4</v>
      </c>
      <c r="P634" s="4">
        <v>10</v>
      </c>
      <c r="Q634" t="s">
        <v>138</v>
      </c>
      <c r="R634" s="2">
        <v>46194</v>
      </c>
      <c r="S634" s="4">
        <v>9</v>
      </c>
      <c r="T634" s="3">
        <v>206000000</v>
      </c>
      <c r="U634" t="s">
        <v>42</v>
      </c>
      <c r="V634" t="s">
        <v>59</v>
      </c>
      <c r="W634" t="s">
        <v>170</v>
      </c>
      <c r="Y634" t="s">
        <v>228</v>
      </c>
      <c r="Z634" t="s">
        <v>3179</v>
      </c>
      <c r="AA634" t="s">
        <v>159</v>
      </c>
      <c r="AB634" t="s">
        <v>97</v>
      </c>
      <c r="AC634" t="s">
        <v>159</v>
      </c>
    </row>
    <row r="635" spans="1:29">
      <c r="A635" t="s">
        <v>1048</v>
      </c>
      <c r="B635" s="2">
        <v>46196</v>
      </c>
      <c r="C635" t="s">
        <v>30</v>
      </c>
      <c r="D635" t="s">
        <v>49</v>
      </c>
      <c r="E635" t="s">
        <v>152</v>
      </c>
      <c r="F635" t="s">
        <v>205</v>
      </c>
      <c r="G635" t="s">
        <v>328</v>
      </c>
      <c r="H635" t="s">
        <v>283</v>
      </c>
      <c r="I635" t="s">
        <v>287</v>
      </c>
      <c r="J635" t="s">
        <v>3042</v>
      </c>
      <c r="K635" t="s">
        <v>37</v>
      </c>
      <c r="L635" t="s">
        <v>150</v>
      </c>
      <c r="M635" t="s">
        <v>164</v>
      </c>
      <c r="N635" t="s">
        <v>40</v>
      </c>
      <c r="O635" s="4">
        <v>2</v>
      </c>
      <c r="P635" s="4">
        <v>9</v>
      </c>
      <c r="Q635" t="s">
        <v>107</v>
      </c>
      <c r="R635" s="2">
        <v>46192</v>
      </c>
      <c r="S635" s="4">
        <v>11</v>
      </c>
      <c r="T635" s="3">
        <v>191000000</v>
      </c>
      <c r="U635" t="s">
        <v>260</v>
      </c>
      <c r="V635" t="s">
        <v>43</v>
      </c>
      <c r="W635" t="s">
        <v>239</v>
      </c>
      <c r="X635" t="s">
        <v>520</v>
      </c>
      <c r="Y635" t="s">
        <v>281</v>
      </c>
      <c r="Z635" t="s">
        <v>3178</v>
      </c>
      <c r="AA635" t="s">
        <v>159</v>
      </c>
      <c r="AB635" t="s">
        <v>87</v>
      </c>
      <c r="AC635" t="s">
        <v>159</v>
      </c>
    </row>
    <row r="636" spans="1:29">
      <c r="A636" t="s">
        <v>1049</v>
      </c>
      <c r="B636" s="2">
        <v>46182</v>
      </c>
      <c r="C636" t="s">
        <v>30</v>
      </c>
      <c r="D636" t="s">
        <v>99</v>
      </c>
      <c r="E636" t="s">
        <v>111</v>
      </c>
      <c r="F636" t="s">
        <v>190</v>
      </c>
      <c r="G636" t="s">
        <v>348</v>
      </c>
      <c r="H636" t="s">
        <v>114</v>
      </c>
      <c r="I636" t="s">
        <v>645</v>
      </c>
      <c r="J636" t="s">
        <v>3139</v>
      </c>
      <c r="K636" t="s">
        <v>56</v>
      </c>
      <c r="L636" t="s">
        <v>169</v>
      </c>
      <c r="M636" t="s">
        <v>106</v>
      </c>
      <c r="N636" t="s">
        <v>57</v>
      </c>
      <c r="O636" s="4">
        <v>3</v>
      </c>
      <c r="P636" s="4">
        <v>6</v>
      </c>
      <c r="Q636" t="s">
        <v>41</v>
      </c>
      <c r="R636" s="2">
        <v>46175</v>
      </c>
      <c r="S636" s="4">
        <v>28</v>
      </c>
      <c r="T636" s="3">
        <v>414000000</v>
      </c>
      <c r="U636" t="s">
        <v>42</v>
      </c>
      <c r="V636" t="s">
        <v>59</v>
      </c>
      <c r="W636" t="s">
        <v>203</v>
      </c>
      <c r="Y636" t="s">
        <v>165</v>
      </c>
      <c r="Z636" t="s">
        <v>3177</v>
      </c>
      <c r="AA636" t="s">
        <v>118</v>
      </c>
      <c r="AB636" t="s">
        <v>63</v>
      </c>
      <c r="AC636" t="s">
        <v>118</v>
      </c>
    </row>
    <row r="637" spans="1:29">
      <c r="A637" t="s">
        <v>1050</v>
      </c>
      <c r="B637" s="2">
        <v>46187</v>
      </c>
      <c r="C637" t="s">
        <v>30</v>
      </c>
      <c r="D637" t="s">
        <v>99</v>
      </c>
      <c r="E637" t="s">
        <v>120</v>
      </c>
      <c r="F637" t="s">
        <v>167</v>
      </c>
      <c r="G637" t="s">
        <v>135</v>
      </c>
      <c r="H637" t="s">
        <v>136</v>
      </c>
      <c r="I637" t="s">
        <v>168</v>
      </c>
      <c r="J637" t="s">
        <v>3022</v>
      </c>
      <c r="K637" t="s">
        <v>37</v>
      </c>
      <c r="L637" t="s">
        <v>150</v>
      </c>
      <c r="M637" t="s">
        <v>164</v>
      </c>
      <c r="N637" t="s">
        <v>40</v>
      </c>
      <c r="O637" s="4">
        <v>2</v>
      </c>
      <c r="P637" s="4">
        <v>6</v>
      </c>
      <c r="Q637" t="s">
        <v>138</v>
      </c>
      <c r="R637" s="2">
        <v>46183</v>
      </c>
      <c r="S637" s="4">
        <v>20</v>
      </c>
      <c r="T637" s="3">
        <v>147000000</v>
      </c>
      <c r="U637" t="s">
        <v>42</v>
      </c>
      <c r="V637" t="s">
        <v>59</v>
      </c>
      <c r="W637" t="s">
        <v>44</v>
      </c>
      <c r="Y637" t="s">
        <v>45</v>
      </c>
      <c r="Z637" t="s">
        <v>3178</v>
      </c>
      <c r="AA637" t="s">
        <v>97</v>
      </c>
      <c r="AB637" t="s">
        <v>87</v>
      </c>
      <c r="AC637" t="s">
        <v>97</v>
      </c>
    </row>
    <row r="638" spans="1:29">
      <c r="A638" t="s">
        <v>1051</v>
      </c>
      <c r="B638" s="2">
        <v>46177</v>
      </c>
      <c r="C638" t="s">
        <v>30</v>
      </c>
      <c r="D638" t="s">
        <v>134</v>
      </c>
      <c r="E638" t="s">
        <v>111</v>
      </c>
      <c r="F638" t="s">
        <v>264</v>
      </c>
      <c r="G638" t="s">
        <v>251</v>
      </c>
      <c r="H638" t="s">
        <v>114</v>
      </c>
      <c r="I638" t="s">
        <v>988</v>
      </c>
      <c r="J638" t="s">
        <v>3168</v>
      </c>
      <c r="K638" t="s">
        <v>37</v>
      </c>
      <c r="L638" t="s">
        <v>150</v>
      </c>
      <c r="M638" t="s">
        <v>39</v>
      </c>
      <c r="N638" t="s">
        <v>130</v>
      </c>
      <c r="O638" s="4">
        <v>5</v>
      </c>
      <c r="P638" s="4">
        <v>8</v>
      </c>
      <c r="Q638" t="s">
        <v>138</v>
      </c>
      <c r="R638" s="2">
        <v>46173</v>
      </c>
      <c r="S638" s="4">
        <v>30</v>
      </c>
      <c r="T638" s="3">
        <v>203000000</v>
      </c>
      <c r="U638" t="s">
        <v>42</v>
      </c>
      <c r="V638" t="s">
        <v>143</v>
      </c>
      <c r="W638" t="s">
        <v>144</v>
      </c>
      <c r="X638" t="s">
        <v>117</v>
      </c>
      <c r="Y638" t="s">
        <v>132</v>
      </c>
      <c r="Z638" t="s">
        <v>3179</v>
      </c>
      <c r="AA638" t="s">
        <v>118</v>
      </c>
      <c r="AB638" t="s">
        <v>97</v>
      </c>
      <c r="AC638" t="s">
        <v>118</v>
      </c>
    </row>
    <row r="639" spans="1:29">
      <c r="A639" t="s">
        <v>1052</v>
      </c>
      <c r="B639" s="2">
        <v>46193</v>
      </c>
      <c r="C639" t="s">
        <v>30</v>
      </c>
      <c r="D639" t="s">
        <v>74</v>
      </c>
      <c r="E639" t="s">
        <v>152</v>
      </c>
      <c r="F639" t="s">
        <v>153</v>
      </c>
      <c r="G639" t="s">
        <v>154</v>
      </c>
      <c r="H639" t="s">
        <v>155</v>
      </c>
      <c r="I639" t="s">
        <v>156</v>
      </c>
      <c r="J639" t="s">
        <v>3020</v>
      </c>
      <c r="K639" t="s">
        <v>37</v>
      </c>
      <c r="L639" t="s">
        <v>150</v>
      </c>
      <c r="M639" t="s">
        <v>164</v>
      </c>
      <c r="N639" t="s">
        <v>130</v>
      </c>
      <c r="O639" s="4">
        <v>5</v>
      </c>
      <c r="P639" s="4">
        <v>17</v>
      </c>
      <c r="Q639" t="s">
        <v>107</v>
      </c>
      <c r="R639" s="2">
        <v>46188</v>
      </c>
      <c r="S639" s="4">
        <v>15</v>
      </c>
      <c r="T639" s="3">
        <v>203000000</v>
      </c>
      <c r="U639" t="s">
        <v>42</v>
      </c>
      <c r="V639" t="s">
        <v>143</v>
      </c>
      <c r="W639" t="s">
        <v>355</v>
      </c>
      <c r="Y639" t="s">
        <v>254</v>
      </c>
      <c r="Z639" t="s">
        <v>3179</v>
      </c>
      <c r="AA639" t="s">
        <v>159</v>
      </c>
      <c r="AB639" t="s">
        <v>97</v>
      </c>
      <c r="AC639" t="s">
        <v>159</v>
      </c>
    </row>
    <row r="640" spans="1:29">
      <c r="A640" t="s">
        <v>1053</v>
      </c>
      <c r="B640" s="2">
        <v>46194</v>
      </c>
      <c r="C640" t="s">
        <v>30</v>
      </c>
      <c r="D640" t="s">
        <v>74</v>
      </c>
      <c r="E640" t="s">
        <v>75</v>
      </c>
      <c r="F640" t="s">
        <v>161</v>
      </c>
      <c r="G640" t="s">
        <v>162</v>
      </c>
      <c r="H640" t="s">
        <v>388</v>
      </c>
      <c r="I640" t="s">
        <v>389</v>
      </c>
      <c r="J640" t="s">
        <v>3071</v>
      </c>
      <c r="K640" t="s">
        <v>56</v>
      </c>
      <c r="L640" t="s">
        <v>169</v>
      </c>
      <c r="M640" t="s">
        <v>129</v>
      </c>
      <c r="N640" t="s">
        <v>213</v>
      </c>
      <c r="O640" s="4">
        <v>6</v>
      </c>
      <c r="P640" s="4">
        <v>12</v>
      </c>
      <c r="Q640" t="s">
        <v>41</v>
      </c>
      <c r="R640" s="2">
        <v>46186</v>
      </c>
      <c r="S640" s="4">
        <v>17</v>
      </c>
      <c r="T640" s="3">
        <v>439000000</v>
      </c>
      <c r="U640" t="s">
        <v>214</v>
      </c>
      <c r="V640" t="s">
        <v>70</v>
      </c>
      <c r="W640" t="s">
        <v>248</v>
      </c>
      <c r="Y640" t="s">
        <v>249</v>
      </c>
      <c r="Z640" t="s">
        <v>3179</v>
      </c>
      <c r="AA640" t="s">
        <v>86</v>
      </c>
      <c r="AB640" t="s">
        <v>97</v>
      </c>
      <c r="AC640" t="s">
        <v>86</v>
      </c>
    </row>
    <row r="641" spans="1:29">
      <c r="A641" t="s">
        <v>1054</v>
      </c>
      <c r="B641" s="2">
        <v>46184</v>
      </c>
      <c r="C641" t="s">
        <v>30</v>
      </c>
      <c r="D641" t="s">
        <v>99</v>
      </c>
      <c r="E641" t="s">
        <v>100</v>
      </c>
      <c r="F641" t="s">
        <v>140</v>
      </c>
      <c r="G641" t="s">
        <v>147</v>
      </c>
      <c r="H641" t="s">
        <v>201</v>
      </c>
      <c r="I641" t="s">
        <v>238</v>
      </c>
      <c r="J641" t="s">
        <v>3033</v>
      </c>
      <c r="K641" t="s">
        <v>56</v>
      </c>
      <c r="L641" t="s">
        <v>187</v>
      </c>
      <c r="M641" t="s">
        <v>164</v>
      </c>
      <c r="N641" t="s">
        <v>94</v>
      </c>
      <c r="O641" s="4">
        <v>4</v>
      </c>
      <c r="P641" s="4">
        <v>11</v>
      </c>
      <c r="Q641" t="s">
        <v>107</v>
      </c>
      <c r="R641" s="2">
        <v>46177</v>
      </c>
      <c r="S641" s="4">
        <v>26</v>
      </c>
      <c r="T641" s="3">
        <v>454000000</v>
      </c>
      <c r="U641" t="s">
        <v>42</v>
      </c>
      <c r="V641" t="s">
        <v>59</v>
      </c>
      <c r="W641" t="s">
        <v>170</v>
      </c>
      <c r="Y641" t="s">
        <v>96</v>
      </c>
      <c r="Z641" t="s">
        <v>3179</v>
      </c>
      <c r="AA641" t="s">
        <v>109</v>
      </c>
      <c r="AB641" t="s">
        <v>97</v>
      </c>
      <c r="AC641" t="s">
        <v>109</v>
      </c>
    </row>
    <row r="642" spans="1:29">
      <c r="A642" t="s">
        <v>1055</v>
      </c>
      <c r="B642" s="2">
        <v>46181</v>
      </c>
      <c r="C642" t="s">
        <v>30</v>
      </c>
      <c r="D642" t="s">
        <v>99</v>
      </c>
      <c r="E642" t="s">
        <v>152</v>
      </c>
      <c r="F642" t="s">
        <v>205</v>
      </c>
      <c r="G642" t="s">
        <v>286</v>
      </c>
      <c r="H642" t="s">
        <v>283</v>
      </c>
      <c r="I642" t="s">
        <v>472</v>
      </c>
      <c r="J642" t="s">
        <v>3097</v>
      </c>
      <c r="K642" t="s">
        <v>116</v>
      </c>
      <c r="L642" t="s">
        <v>55</v>
      </c>
      <c r="M642" t="s">
        <v>39</v>
      </c>
      <c r="N642" t="s">
        <v>82</v>
      </c>
      <c r="O642" s="4">
        <v>1</v>
      </c>
      <c r="P642" s="4">
        <v>16</v>
      </c>
      <c r="Q642" t="s">
        <v>69</v>
      </c>
      <c r="R642" s="2">
        <v>46179</v>
      </c>
      <c r="S642" s="4">
        <v>24</v>
      </c>
      <c r="T642" s="3">
        <v>109000000</v>
      </c>
      <c r="U642" t="s">
        <v>42</v>
      </c>
      <c r="V642" t="s">
        <v>43</v>
      </c>
      <c r="W642" t="s">
        <v>359</v>
      </c>
      <c r="Y642" t="s">
        <v>305</v>
      </c>
      <c r="Z642" t="s">
        <v>3180</v>
      </c>
      <c r="AA642" t="s">
        <v>159</v>
      </c>
      <c r="AB642" t="s">
        <v>193</v>
      </c>
      <c r="AC642" t="s">
        <v>159</v>
      </c>
    </row>
    <row r="643" spans="1:29">
      <c r="A643" t="s">
        <v>1056</v>
      </c>
      <c r="B643" s="2">
        <v>46197</v>
      </c>
      <c r="C643" t="s">
        <v>30</v>
      </c>
      <c r="D643" t="s">
        <v>49</v>
      </c>
      <c r="E643" t="s">
        <v>32</v>
      </c>
      <c r="F643" t="s">
        <v>33</v>
      </c>
      <c r="G643" t="s">
        <v>361</v>
      </c>
      <c r="H643" t="s">
        <v>303</v>
      </c>
      <c r="I643" t="s">
        <v>1021</v>
      </c>
      <c r="J643" t="s">
        <v>3171</v>
      </c>
      <c r="K643" t="s">
        <v>37</v>
      </c>
      <c r="L643" t="s">
        <v>55</v>
      </c>
      <c r="M643" t="s">
        <v>106</v>
      </c>
      <c r="N643" t="s">
        <v>82</v>
      </c>
      <c r="O643" s="4">
        <v>1</v>
      </c>
      <c r="P643" s="4">
        <v>3</v>
      </c>
      <c r="Q643" t="s">
        <v>41</v>
      </c>
      <c r="R643" s="2">
        <v>46189</v>
      </c>
      <c r="S643" s="4">
        <v>14</v>
      </c>
      <c r="T643" s="3">
        <v>197000000</v>
      </c>
      <c r="U643" t="s">
        <v>42</v>
      </c>
      <c r="V643" t="s">
        <v>43</v>
      </c>
      <c r="W643" t="s">
        <v>404</v>
      </c>
      <c r="Y643" t="s">
        <v>291</v>
      </c>
      <c r="Z643" t="s">
        <v>3176</v>
      </c>
      <c r="AA643" t="s">
        <v>46</v>
      </c>
      <c r="AB643" t="s">
        <v>47</v>
      </c>
      <c r="AC643" t="s">
        <v>46</v>
      </c>
    </row>
    <row r="644" spans="1:29">
      <c r="A644" t="s">
        <v>1057</v>
      </c>
      <c r="B644" s="2">
        <v>46198</v>
      </c>
      <c r="C644" t="s">
        <v>30</v>
      </c>
      <c r="D644" t="s">
        <v>49</v>
      </c>
      <c r="E644" t="s">
        <v>120</v>
      </c>
      <c r="F644" t="s">
        <v>167</v>
      </c>
      <c r="G644" t="s">
        <v>135</v>
      </c>
      <c r="H644" t="s">
        <v>123</v>
      </c>
      <c r="I644" t="s">
        <v>225</v>
      </c>
      <c r="J644" t="s">
        <v>3030</v>
      </c>
      <c r="K644" t="s">
        <v>37</v>
      </c>
      <c r="L644" t="s">
        <v>187</v>
      </c>
      <c r="M644" t="s">
        <v>39</v>
      </c>
      <c r="N644" t="s">
        <v>130</v>
      </c>
      <c r="O644" s="4">
        <v>5</v>
      </c>
      <c r="P644" s="4">
        <v>14</v>
      </c>
      <c r="Q644" t="s">
        <v>142</v>
      </c>
      <c r="R644" s="2">
        <v>46190</v>
      </c>
      <c r="S644" s="4">
        <v>13</v>
      </c>
      <c r="T644" s="3">
        <v>111000000</v>
      </c>
      <c r="U644" t="s">
        <v>260</v>
      </c>
      <c r="V644" t="s">
        <v>70</v>
      </c>
      <c r="W644" t="s">
        <v>144</v>
      </c>
      <c r="X644" t="s">
        <v>381</v>
      </c>
      <c r="Y644" t="s">
        <v>334</v>
      </c>
      <c r="Z644" t="s">
        <v>3179</v>
      </c>
      <c r="AA644" t="s">
        <v>97</v>
      </c>
      <c r="AB644" t="s">
        <v>97</v>
      </c>
      <c r="AC644" t="s">
        <v>97</v>
      </c>
    </row>
    <row r="645" spans="1:29">
      <c r="A645" t="s">
        <v>1058</v>
      </c>
      <c r="B645" s="2">
        <v>46200</v>
      </c>
      <c r="C645" t="s">
        <v>30</v>
      </c>
      <c r="D645" t="s">
        <v>49</v>
      </c>
      <c r="E645" t="s">
        <v>120</v>
      </c>
      <c r="F645" t="s">
        <v>246</v>
      </c>
      <c r="G645" t="s">
        <v>135</v>
      </c>
      <c r="H645" t="s">
        <v>136</v>
      </c>
      <c r="I645" t="s">
        <v>627</v>
      </c>
      <c r="J645" t="s">
        <v>3134</v>
      </c>
      <c r="K645" t="s">
        <v>56</v>
      </c>
      <c r="L645" t="s">
        <v>150</v>
      </c>
      <c r="M645" t="s">
        <v>39</v>
      </c>
      <c r="N645" t="s">
        <v>94</v>
      </c>
      <c r="O645" s="4">
        <v>4</v>
      </c>
      <c r="P645" s="4">
        <v>11</v>
      </c>
      <c r="Q645" t="s">
        <v>58</v>
      </c>
      <c r="R645" s="2">
        <v>46198</v>
      </c>
      <c r="S645" s="4">
        <v>5</v>
      </c>
      <c r="T645" s="3">
        <v>233000000</v>
      </c>
      <c r="U645" t="s">
        <v>426</v>
      </c>
      <c r="V645" t="s">
        <v>59</v>
      </c>
      <c r="W645" t="s">
        <v>170</v>
      </c>
      <c r="X645" t="s">
        <v>179</v>
      </c>
      <c r="Y645" t="s">
        <v>96</v>
      </c>
      <c r="Z645" t="s">
        <v>3179</v>
      </c>
      <c r="AA645" t="s">
        <v>97</v>
      </c>
      <c r="AB645" t="s">
        <v>97</v>
      </c>
      <c r="AC645" t="s">
        <v>97</v>
      </c>
    </row>
    <row r="646" spans="1:29">
      <c r="A646" t="s">
        <v>1059</v>
      </c>
      <c r="B646" s="2">
        <v>46182</v>
      </c>
      <c r="C646" t="s">
        <v>30</v>
      </c>
      <c r="D646" t="s">
        <v>99</v>
      </c>
      <c r="E646" t="s">
        <v>75</v>
      </c>
      <c r="F646" t="s">
        <v>161</v>
      </c>
      <c r="G646" t="s">
        <v>230</v>
      </c>
      <c r="H646" t="s">
        <v>388</v>
      </c>
      <c r="I646" t="s">
        <v>389</v>
      </c>
      <c r="J646" t="s">
        <v>3071</v>
      </c>
      <c r="K646" t="s">
        <v>116</v>
      </c>
      <c r="L646" t="s">
        <v>80</v>
      </c>
      <c r="M646" t="s">
        <v>164</v>
      </c>
      <c r="N646" t="s">
        <v>213</v>
      </c>
      <c r="O646" s="4">
        <v>6</v>
      </c>
      <c r="P646" s="4">
        <v>12</v>
      </c>
      <c r="Q646" t="s">
        <v>69</v>
      </c>
      <c r="R646" s="2">
        <v>46173</v>
      </c>
      <c r="S646" s="4">
        <v>30</v>
      </c>
      <c r="T646" s="3">
        <v>132000000</v>
      </c>
      <c r="U646" t="s">
        <v>214</v>
      </c>
      <c r="V646" t="s">
        <v>70</v>
      </c>
      <c r="W646" t="s">
        <v>390</v>
      </c>
      <c r="Y646" t="s">
        <v>249</v>
      </c>
      <c r="Z646" t="s">
        <v>3179</v>
      </c>
      <c r="AA646" t="s">
        <v>86</v>
      </c>
      <c r="AB646" t="s">
        <v>97</v>
      </c>
      <c r="AC646" t="s">
        <v>86</v>
      </c>
    </row>
    <row r="647" spans="1:29">
      <c r="A647" t="s">
        <v>1060</v>
      </c>
      <c r="B647" s="2">
        <v>46199</v>
      </c>
      <c r="C647" t="s">
        <v>30</v>
      </c>
      <c r="D647" t="s">
        <v>49</v>
      </c>
      <c r="E647" t="s">
        <v>32</v>
      </c>
      <c r="F647" t="s">
        <v>273</v>
      </c>
      <c r="G647" t="s">
        <v>218</v>
      </c>
      <c r="H647" t="s">
        <v>35</v>
      </c>
      <c r="I647" t="s">
        <v>323</v>
      </c>
      <c r="J647" t="s">
        <v>3052</v>
      </c>
      <c r="K647" t="s">
        <v>105</v>
      </c>
      <c r="L647" t="s">
        <v>187</v>
      </c>
      <c r="M647" t="s">
        <v>106</v>
      </c>
      <c r="N647" t="s">
        <v>82</v>
      </c>
      <c r="O647" s="4">
        <v>1</v>
      </c>
      <c r="P647" s="4">
        <v>1</v>
      </c>
      <c r="Q647" t="s">
        <v>58</v>
      </c>
      <c r="R647" s="2">
        <v>46195</v>
      </c>
      <c r="S647" s="4">
        <v>8</v>
      </c>
      <c r="T647" s="3">
        <v>348000000</v>
      </c>
      <c r="U647" t="s">
        <v>42</v>
      </c>
      <c r="V647" t="s">
        <v>43</v>
      </c>
      <c r="W647" t="s">
        <v>404</v>
      </c>
      <c r="Y647" t="s">
        <v>85</v>
      </c>
      <c r="Z647" t="s">
        <v>3176</v>
      </c>
      <c r="AA647" t="s">
        <v>46</v>
      </c>
      <c r="AB647" t="s">
        <v>47</v>
      </c>
      <c r="AC647" t="s">
        <v>46</v>
      </c>
    </row>
    <row r="648" spans="1:29">
      <c r="A648" t="s">
        <v>1061</v>
      </c>
      <c r="B648" s="2">
        <v>46176</v>
      </c>
      <c r="C648" t="s">
        <v>30</v>
      </c>
      <c r="D648" t="s">
        <v>134</v>
      </c>
      <c r="E648" t="s">
        <v>32</v>
      </c>
      <c r="F648" t="s">
        <v>256</v>
      </c>
      <c r="G648" t="s">
        <v>34</v>
      </c>
      <c r="H648" t="s">
        <v>303</v>
      </c>
      <c r="I648" t="s">
        <v>487</v>
      </c>
      <c r="J648" t="s">
        <v>3102</v>
      </c>
      <c r="K648" t="s">
        <v>116</v>
      </c>
      <c r="L648" t="s">
        <v>80</v>
      </c>
      <c r="M648" t="s">
        <v>164</v>
      </c>
      <c r="N648" t="s">
        <v>40</v>
      </c>
      <c r="O648" s="4">
        <v>2</v>
      </c>
      <c r="P648" s="4">
        <v>1</v>
      </c>
      <c r="Q648" t="s">
        <v>138</v>
      </c>
      <c r="R648" s="2">
        <v>46171</v>
      </c>
      <c r="S648" s="4">
        <v>32</v>
      </c>
      <c r="T648" s="3">
        <v>150000000</v>
      </c>
      <c r="U648" t="s">
        <v>42</v>
      </c>
      <c r="V648" t="s">
        <v>43</v>
      </c>
      <c r="W648" t="s">
        <v>298</v>
      </c>
      <c r="Y648" t="s">
        <v>180</v>
      </c>
      <c r="Z648" t="s">
        <v>3176</v>
      </c>
      <c r="AA648" t="s">
        <v>46</v>
      </c>
      <c r="AB648" t="s">
        <v>47</v>
      </c>
      <c r="AC648" t="s">
        <v>46</v>
      </c>
    </row>
    <row r="649" spans="1:29">
      <c r="A649" t="s">
        <v>1062</v>
      </c>
      <c r="B649" s="2">
        <v>46192</v>
      </c>
      <c r="C649" t="s">
        <v>30</v>
      </c>
      <c r="D649" t="s">
        <v>74</v>
      </c>
      <c r="E649" t="s">
        <v>100</v>
      </c>
      <c r="F649" t="s">
        <v>146</v>
      </c>
      <c r="G649" t="s">
        <v>237</v>
      </c>
      <c r="H649" t="s">
        <v>103</v>
      </c>
      <c r="I649" t="s">
        <v>994</v>
      </c>
      <c r="J649" t="s">
        <v>3169</v>
      </c>
      <c r="K649" t="s">
        <v>105</v>
      </c>
      <c r="L649" t="s">
        <v>80</v>
      </c>
      <c r="M649" t="s">
        <v>93</v>
      </c>
      <c r="N649" t="s">
        <v>94</v>
      </c>
      <c r="O649" s="4">
        <v>4</v>
      </c>
      <c r="P649" s="4">
        <v>9</v>
      </c>
      <c r="Q649" t="s">
        <v>41</v>
      </c>
      <c r="R649" s="2">
        <v>46186</v>
      </c>
      <c r="S649" s="4">
        <v>17</v>
      </c>
      <c r="T649" s="3">
        <v>59000000</v>
      </c>
      <c r="U649" t="s">
        <v>42</v>
      </c>
      <c r="V649" t="s">
        <v>70</v>
      </c>
      <c r="W649" t="s">
        <v>267</v>
      </c>
      <c r="Y649" t="s">
        <v>96</v>
      </c>
      <c r="Z649" t="s">
        <v>3179</v>
      </c>
      <c r="AA649" t="s">
        <v>109</v>
      </c>
      <c r="AB649" t="s">
        <v>97</v>
      </c>
      <c r="AC649" t="s">
        <v>109</v>
      </c>
    </row>
    <row r="650" spans="1:29">
      <c r="A650" t="s">
        <v>1063</v>
      </c>
      <c r="B650" s="2">
        <v>46179</v>
      </c>
      <c r="C650" t="s">
        <v>30</v>
      </c>
      <c r="D650" t="s">
        <v>134</v>
      </c>
      <c r="E650" t="s">
        <v>32</v>
      </c>
      <c r="F650" t="s">
        <v>33</v>
      </c>
      <c r="G650" t="s">
        <v>463</v>
      </c>
      <c r="H650" t="s">
        <v>35</v>
      </c>
      <c r="I650" t="s">
        <v>862</v>
      </c>
      <c r="J650" t="s">
        <v>3164</v>
      </c>
      <c r="K650" t="s">
        <v>37</v>
      </c>
      <c r="L650" t="s">
        <v>169</v>
      </c>
      <c r="M650" t="s">
        <v>106</v>
      </c>
      <c r="N650" t="s">
        <v>57</v>
      </c>
      <c r="O650" s="4">
        <v>3</v>
      </c>
      <c r="P650" s="4">
        <v>3</v>
      </c>
      <c r="Q650" t="s">
        <v>142</v>
      </c>
      <c r="R650" s="2">
        <v>46175</v>
      </c>
      <c r="S650" s="4">
        <v>28</v>
      </c>
      <c r="T650" s="3">
        <v>227000000</v>
      </c>
      <c r="U650" t="s">
        <v>42</v>
      </c>
      <c r="V650" t="s">
        <v>59</v>
      </c>
      <c r="W650" t="s">
        <v>60</v>
      </c>
      <c r="Y650" t="s">
        <v>72</v>
      </c>
      <c r="Z650" t="s">
        <v>3177</v>
      </c>
      <c r="AA650" t="s">
        <v>46</v>
      </c>
      <c r="AB650" t="s">
        <v>63</v>
      </c>
      <c r="AC650" t="s">
        <v>46</v>
      </c>
    </row>
    <row r="651" spans="1:29">
      <c r="A651" t="s">
        <v>1064</v>
      </c>
      <c r="B651" s="2">
        <v>46201</v>
      </c>
      <c r="C651" t="s">
        <v>30</v>
      </c>
      <c r="D651" t="s">
        <v>49</v>
      </c>
      <c r="E651" t="s">
        <v>100</v>
      </c>
      <c r="F651" t="s">
        <v>146</v>
      </c>
      <c r="G651" t="s">
        <v>102</v>
      </c>
      <c r="H651" t="s">
        <v>201</v>
      </c>
      <c r="I651" t="s">
        <v>371</v>
      </c>
      <c r="J651" t="s">
        <v>3065</v>
      </c>
      <c r="K651" t="s">
        <v>56</v>
      </c>
      <c r="L651" t="s">
        <v>187</v>
      </c>
      <c r="M651" t="s">
        <v>81</v>
      </c>
      <c r="N651" t="s">
        <v>57</v>
      </c>
      <c r="O651" s="4">
        <v>3</v>
      </c>
      <c r="P651" s="4">
        <v>8</v>
      </c>
      <c r="Q651" t="s">
        <v>138</v>
      </c>
      <c r="R651" s="2">
        <v>46197</v>
      </c>
      <c r="S651" s="4">
        <v>6</v>
      </c>
      <c r="T651" s="3">
        <v>374000000</v>
      </c>
      <c r="U651" t="s">
        <v>42</v>
      </c>
      <c r="V651" t="s">
        <v>43</v>
      </c>
      <c r="W651" t="s">
        <v>60</v>
      </c>
      <c r="Y651" t="s">
        <v>158</v>
      </c>
      <c r="Z651" t="s">
        <v>3177</v>
      </c>
      <c r="AA651" t="s">
        <v>109</v>
      </c>
      <c r="AB651" t="s">
        <v>63</v>
      </c>
      <c r="AC651" t="s">
        <v>109</v>
      </c>
    </row>
    <row r="652" spans="1:29">
      <c r="A652" t="s">
        <v>1065</v>
      </c>
      <c r="B652" s="2">
        <v>46188</v>
      </c>
      <c r="C652" t="s">
        <v>30</v>
      </c>
      <c r="D652" t="s">
        <v>74</v>
      </c>
      <c r="E652" t="s">
        <v>75</v>
      </c>
      <c r="F652" t="s">
        <v>76</v>
      </c>
      <c r="G652" t="s">
        <v>230</v>
      </c>
      <c r="H652" t="s">
        <v>388</v>
      </c>
      <c r="I652" t="s">
        <v>409</v>
      </c>
      <c r="J652" t="s">
        <v>3076</v>
      </c>
      <c r="K652" t="s">
        <v>37</v>
      </c>
      <c r="L652" t="s">
        <v>187</v>
      </c>
      <c r="M652" t="s">
        <v>81</v>
      </c>
      <c r="N652" t="s">
        <v>94</v>
      </c>
      <c r="O652" s="4">
        <v>4</v>
      </c>
      <c r="P652" s="4">
        <v>10</v>
      </c>
      <c r="Q652" t="s">
        <v>107</v>
      </c>
      <c r="R652" s="2">
        <v>46186</v>
      </c>
      <c r="S652" s="4">
        <v>17</v>
      </c>
      <c r="T652" s="3">
        <v>234000000</v>
      </c>
      <c r="U652" t="s">
        <v>260</v>
      </c>
      <c r="V652" t="s">
        <v>70</v>
      </c>
      <c r="W652" t="s">
        <v>188</v>
      </c>
      <c r="X652" t="s">
        <v>179</v>
      </c>
      <c r="Y652" t="s">
        <v>108</v>
      </c>
      <c r="Z652" t="s">
        <v>3179</v>
      </c>
      <c r="AA652" t="s">
        <v>86</v>
      </c>
      <c r="AB652" t="s">
        <v>97</v>
      </c>
      <c r="AC652" t="s">
        <v>86</v>
      </c>
    </row>
    <row r="653" spans="1:29">
      <c r="A653" t="s">
        <v>1066</v>
      </c>
      <c r="B653" s="2">
        <v>46202</v>
      </c>
      <c r="C653" t="s">
        <v>30</v>
      </c>
      <c r="D653" t="s">
        <v>31</v>
      </c>
      <c r="E653" t="s">
        <v>75</v>
      </c>
      <c r="F653" t="s">
        <v>161</v>
      </c>
      <c r="G653" t="s">
        <v>387</v>
      </c>
      <c r="H653" t="s">
        <v>185</v>
      </c>
      <c r="I653" t="s">
        <v>428</v>
      </c>
      <c r="J653" t="s">
        <v>3081</v>
      </c>
      <c r="K653" t="s">
        <v>105</v>
      </c>
      <c r="L653" t="s">
        <v>80</v>
      </c>
      <c r="M653" t="s">
        <v>129</v>
      </c>
      <c r="N653" t="s">
        <v>57</v>
      </c>
      <c r="O653" s="4">
        <v>3</v>
      </c>
      <c r="P653" s="4">
        <v>4</v>
      </c>
      <c r="Q653" t="s">
        <v>107</v>
      </c>
      <c r="R653" s="2">
        <v>46195</v>
      </c>
      <c r="S653" s="4">
        <v>8</v>
      </c>
      <c r="T653" s="3">
        <v>273000000</v>
      </c>
      <c r="U653" t="s">
        <v>42</v>
      </c>
      <c r="V653" t="s">
        <v>59</v>
      </c>
      <c r="W653" t="s">
        <v>60</v>
      </c>
      <c r="Y653" t="s">
        <v>158</v>
      </c>
      <c r="Z653" t="s">
        <v>3177</v>
      </c>
      <c r="AA653" t="s">
        <v>86</v>
      </c>
      <c r="AB653" t="s">
        <v>63</v>
      </c>
      <c r="AC653" t="s">
        <v>86</v>
      </c>
    </row>
    <row r="654" spans="1:29">
      <c r="A654" t="s">
        <v>1067</v>
      </c>
      <c r="B654" s="2">
        <v>46201</v>
      </c>
      <c r="C654" t="s">
        <v>30</v>
      </c>
      <c r="D654" t="s">
        <v>49</v>
      </c>
      <c r="E654" t="s">
        <v>75</v>
      </c>
      <c r="F654" t="s">
        <v>161</v>
      </c>
      <c r="G654" t="s">
        <v>230</v>
      </c>
      <c r="H654" t="s">
        <v>185</v>
      </c>
      <c r="I654" t="s">
        <v>354</v>
      </c>
      <c r="J654" t="s">
        <v>3061</v>
      </c>
      <c r="K654" t="s">
        <v>105</v>
      </c>
      <c r="L654" t="s">
        <v>55</v>
      </c>
      <c r="M654" t="s">
        <v>129</v>
      </c>
      <c r="N654" t="s">
        <v>196</v>
      </c>
      <c r="O654" s="4">
        <v>7</v>
      </c>
      <c r="P654" s="4">
        <v>8</v>
      </c>
      <c r="Q654" t="s">
        <v>107</v>
      </c>
      <c r="R654" s="2">
        <v>46199</v>
      </c>
      <c r="S654" s="4">
        <v>4</v>
      </c>
      <c r="T654" s="3">
        <v>159000000</v>
      </c>
      <c r="U654" t="s">
        <v>232</v>
      </c>
      <c r="V654" t="s">
        <v>70</v>
      </c>
      <c r="W654" t="s">
        <v>197</v>
      </c>
      <c r="Y654" t="s">
        <v>210</v>
      </c>
      <c r="Z654" t="s">
        <v>3181</v>
      </c>
      <c r="AA654" t="s">
        <v>86</v>
      </c>
      <c r="AB654" t="s">
        <v>199</v>
      </c>
      <c r="AC654" t="s">
        <v>86</v>
      </c>
    </row>
    <row r="655" spans="1:29">
      <c r="A655" t="s">
        <v>1068</v>
      </c>
      <c r="B655" s="2">
        <v>46180</v>
      </c>
      <c r="C655" t="s">
        <v>30</v>
      </c>
      <c r="D655" t="s">
        <v>134</v>
      </c>
      <c r="E655" t="s">
        <v>172</v>
      </c>
      <c r="F655" t="s">
        <v>195</v>
      </c>
      <c r="G655" t="s">
        <v>338</v>
      </c>
      <c r="H655" t="s">
        <v>241</v>
      </c>
      <c r="I655" t="s">
        <v>559</v>
      </c>
      <c r="J655" t="s">
        <v>3119</v>
      </c>
      <c r="K655" t="s">
        <v>37</v>
      </c>
      <c r="L655" t="s">
        <v>187</v>
      </c>
      <c r="M655" t="s">
        <v>81</v>
      </c>
      <c r="N655" t="s">
        <v>57</v>
      </c>
      <c r="O655" s="4">
        <v>3</v>
      </c>
      <c r="P655" s="4">
        <v>12</v>
      </c>
      <c r="Q655" t="s">
        <v>83</v>
      </c>
      <c r="R655" s="2">
        <v>46178</v>
      </c>
      <c r="S655" s="4">
        <v>25</v>
      </c>
      <c r="T655" s="3">
        <v>241000000</v>
      </c>
      <c r="U655" t="s">
        <v>42</v>
      </c>
      <c r="V655" t="s">
        <v>43</v>
      </c>
      <c r="W655" t="s">
        <v>157</v>
      </c>
      <c r="Y655" t="s">
        <v>165</v>
      </c>
      <c r="Z655" t="s">
        <v>3180</v>
      </c>
      <c r="AA655" t="s">
        <v>181</v>
      </c>
      <c r="AB655" t="s">
        <v>193</v>
      </c>
      <c r="AC655" t="s">
        <v>181</v>
      </c>
    </row>
    <row r="656" spans="1:29">
      <c r="A656" t="s">
        <v>1069</v>
      </c>
      <c r="B656" s="2">
        <v>46192</v>
      </c>
      <c r="C656" t="s">
        <v>30</v>
      </c>
      <c r="D656" t="s">
        <v>74</v>
      </c>
      <c r="E656" t="s">
        <v>100</v>
      </c>
      <c r="F656" t="s">
        <v>140</v>
      </c>
      <c r="G656" t="s">
        <v>212</v>
      </c>
      <c r="H656" t="s">
        <v>148</v>
      </c>
      <c r="I656" t="s">
        <v>149</v>
      </c>
      <c r="J656" t="s">
        <v>3019</v>
      </c>
      <c r="K656" t="s">
        <v>105</v>
      </c>
      <c r="L656" t="s">
        <v>55</v>
      </c>
      <c r="M656" t="s">
        <v>164</v>
      </c>
      <c r="N656" t="s">
        <v>94</v>
      </c>
      <c r="O656" s="4">
        <v>4</v>
      </c>
      <c r="P656" s="4">
        <v>18</v>
      </c>
      <c r="Q656" t="s">
        <v>107</v>
      </c>
      <c r="R656" s="2">
        <v>46183</v>
      </c>
      <c r="S656" s="4">
        <v>20</v>
      </c>
      <c r="T656" s="3">
        <v>77000000</v>
      </c>
      <c r="U656" t="s">
        <v>42</v>
      </c>
      <c r="V656" t="s">
        <v>70</v>
      </c>
      <c r="W656" t="s">
        <v>95</v>
      </c>
      <c r="Y656" t="s">
        <v>228</v>
      </c>
      <c r="Z656" t="s">
        <v>3179</v>
      </c>
      <c r="AA656" t="s">
        <v>109</v>
      </c>
      <c r="AB656" t="s">
        <v>97</v>
      </c>
      <c r="AC656" t="s">
        <v>109</v>
      </c>
    </row>
    <row r="657" spans="1:29">
      <c r="A657" t="s">
        <v>1070</v>
      </c>
      <c r="B657" s="2">
        <v>46182</v>
      </c>
      <c r="C657" t="s">
        <v>30</v>
      </c>
      <c r="D657" t="s">
        <v>99</v>
      </c>
      <c r="E657" t="s">
        <v>111</v>
      </c>
      <c r="F657" t="s">
        <v>264</v>
      </c>
      <c r="G657" t="s">
        <v>348</v>
      </c>
      <c r="H657" t="s">
        <v>191</v>
      </c>
      <c r="I657" t="s">
        <v>192</v>
      </c>
      <c r="J657" t="s">
        <v>3025</v>
      </c>
      <c r="K657" t="s">
        <v>37</v>
      </c>
      <c r="L657" t="s">
        <v>55</v>
      </c>
      <c r="M657" t="s">
        <v>129</v>
      </c>
      <c r="N657" t="s">
        <v>213</v>
      </c>
      <c r="O657" s="4">
        <v>6</v>
      </c>
      <c r="P657" s="4">
        <v>7</v>
      </c>
      <c r="Q657" t="s">
        <v>41</v>
      </c>
      <c r="R657" s="2">
        <v>46178</v>
      </c>
      <c r="S657" s="4">
        <v>25</v>
      </c>
      <c r="T657" s="3">
        <v>269000000</v>
      </c>
      <c r="U657" t="s">
        <v>42</v>
      </c>
      <c r="V657" t="s">
        <v>70</v>
      </c>
      <c r="W657" t="s">
        <v>438</v>
      </c>
      <c r="Y657" t="s">
        <v>432</v>
      </c>
      <c r="Z657" t="s">
        <v>3179</v>
      </c>
      <c r="AA657" t="s">
        <v>118</v>
      </c>
      <c r="AB657" t="s">
        <v>97</v>
      </c>
      <c r="AC657" t="s">
        <v>118</v>
      </c>
    </row>
    <row r="658" spans="1:29">
      <c r="A658" t="s">
        <v>1071</v>
      </c>
      <c r="B658" s="2">
        <v>46198</v>
      </c>
      <c r="C658" t="s">
        <v>30</v>
      </c>
      <c r="D658" t="s">
        <v>49</v>
      </c>
      <c r="E658" t="s">
        <v>50</v>
      </c>
      <c r="F658" t="s">
        <v>89</v>
      </c>
      <c r="G658" t="s">
        <v>270</v>
      </c>
      <c r="H658" t="s">
        <v>53</v>
      </c>
      <c r="I658" t="s">
        <v>307</v>
      </c>
      <c r="J658" t="s">
        <v>3047</v>
      </c>
      <c r="K658" t="s">
        <v>105</v>
      </c>
      <c r="L658" t="s">
        <v>80</v>
      </c>
      <c r="M658" t="s">
        <v>56</v>
      </c>
      <c r="N658" t="s">
        <v>196</v>
      </c>
      <c r="O658" s="4">
        <v>7</v>
      </c>
      <c r="P658" s="4">
        <v>13</v>
      </c>
      <c r="Q658" t="s">
        <v>69</v>
      </c>
      <c r="R658" s="2">
        <v>46188</v>
      </c>
      <c r="S658" s="4">
        <v>15</v>
      </c>
      <c r="T658" s="3">
        <v>89000000</v>
      </c>
      <c r="U658" t="s">
        <v>196</v>
      </c>
      <c r="V658" t="s">
        <v>70</v>
      </c>
      <c r="W658" t="s">
        <v>209</v>
      </c>
      <c r="Y658" t="s">
        <v>198</v>
      </c>
      <c r="Z658" t="s">
        <v>3181</v>
      </c>
      <c r="AA658" t="s">
        <v>62</v>
      </c>
      <c r="AB658" t="s">
        <v>199</v>
      </c>
      <c r="AC658" t="s">
        <v>62</v>
      </c>
    </row>
    <row r="659" spans="1:29">
      <c r="A659" t="s">
        <v>1072</v>
      </c>
      <c r="B659" s="2">
        <v>46174</v>
      </c>
      <c r="C659" t="s">
        <v>30</v>
      </c>
      <c r="D659" t="s">
        <v>134</v>
      </c>
      <c r="E659" t="s">
        <v>111</v>
      </c>
      <c r="F659" t="s">
        <v>112</v>
      </c>
      <c r="G659" t="s">
        <v>348</v>
      </c>
      <c r="H659" t="s">
        <v>127</v>
      </c>
      <c r="I659" t="s">
        <v>349</v>
      </c>
      <c r="J659" t="s">
        <v>3059</v>
      </c>
      <c r="K659" t="s">
        <v>105</v>
      </c>
      <c r="L659" t="s">
        <v>38</v>
      </c>
      <c r="M659" t="s">
        <v>129</v>
      </c>
      <c r="N659" t="s">
        <v>40</v>
      </c>
      <c r="O659" s="4">
        <v>2</v>
      </c>
      <c r="P659" s="4">
        <v>10</v>
      </c>
      <c r="Q659" t="s">
        <v>83</v>
      </c>
      <c r="R659" s="2">
        <v>46164</v>
      </c>
      <c r="S659" s="4">
        <v>39</v>
      </c>
      <c r="T659" s="3">
        <v>186000000</v>
      </c>
      <c r="U659" t="s">
        <v>177</v>
      </c>
      <c r="V659" t="s">
        <v>43</v>
      </c>
      <c r="W659" t="s">
        <v>298</v>
      </c>
      <c r="X659" t="s">
        <v>381</v>
      </c>
      <c r="Y659" t="s">
        <v>180</v>
      </c>
      <c r="Z659" t="s">
        <v>3178</v>
      </c>
      <c r="AA659" t="s">
        <v>118</v>
      </c>
      <c r="AB659" t="s">
        <v>87</v>
      </c>
      <c r="AC659" t="s">
        <v>118</v>
      </c>
    </row>
    <row r="660" spans="1:29">
      <c r="A660" t="s">
        <v>1073</v>
      </c>
      <c r="B660" s="2">
        <v>46178</v>
      </c>
      <c r="C660" t="s">
        <v>30</v>
      </c>
      <c r="D660" t="s">
        <v>134</v>
      </c>
      <c r="E660" t="s">
        <v>120</v>
      </c>
      <c r="F660" t="s">
        <v>121</v>
      </c>
      <c r="G660" t="s">
        <v>224</v>
      </c>
      <c r="H660" t="s">
        <v>123</v>
      </c>
      <c r="I660" t="s">
        <v>397</v>
      </c>
      <c r="J660" t="s">
        <v>3073</v>
      </c>
      <c r="K660" t="s">
        <v>37</v>
      </c>
      <c r="L660" t="s">
        <v>169</v>
      </c>
      <c r="M660" t="s">
        <v>93</v>
      </c>
      <c r="N660" t="s">
        <v>94</v>
      </c>
      <c r="O660" s="4">
        <v>4</v>
      </c>
      <c r="P660" s="4">
        <v>5</v>
      </c>
      <c r="Q660" t="s">
        <v>58</v>
      </c>
      <c r="R660" s="2">
        <v>46177</v>
      </c>
      <c r="S660" s="4">
        <v>26</v>
      </c>
      <c r="T660" s="3">
        <v>84000000</v>
      </c>
      <c r="U660" t="s">
        <v>42</v>
      </c>
      <c r="V660" t="s">
        <v>59</v>
      </c>
      <c r="W660" t="s">
        <v>95</v>
      </c>
      <c r="Y660" t="s">
        <v>108</v>
      </c>
      <c r="Z660" t="s">
        <v>3179</v>
      </c>
      <c r="AA660" t="s">
        <v>97</v>
      </c>
      <c r="AB660" t="s">
        <v>97</v>
      </c>
      <c r="AC660" t="s">
        <v>97</v>
      </c>
    </row>
    <row r="661" spans="1:29">
      <c r="A661" t="s">
        <v>1074</v>
      </c>
      <c r="B661" s="2">
        <v>46182</v>
      </c>
      <c r="C661" t="s">
        <v>30</v>
      </c>
      <c r="D661" t="s">
        <v>99</v>
      </c>
      <c r="E661" t="s">
        <v>120</v>
      </c>
      <c r="F661" t="s">
        <v>246</v>
      </c>
      <c r="G661" t="s">
        <v>135</v>
      </c>
      <c r="H661" t="s">
        <v>136</v>
      </c>
      <c r="I661" t="s">
        <v>137</v>
      </c>
      <c r="J661" t="s">
        <v>3017</v>
      </c>
      <c r="K661" t="s">
        <v>105</v>
      </c>
      <c r="L661" t="s">
        <v>55</v>
      </c>
      <c r="M661" t="s">
        <v>39</v>
      </c>
      <c r="N661" t="s">
        <v>130</v>
      </c>
      <c r="O661" s="4">
        <v>5</v>
      </c>
      <c r="P661" s="4">
        <v>7</v>
      </c>
      <c r="Q661" t="s">
        <v>69</v>
      </c>
      <c r="R661" s="2">
        <v>46182</v>
      </c>
      <c r="S661" s="4">
        <v>21</v>
      </c>
      <c r="T661" s="3">
        <v>151000000</v>
      </c>
      <c r="U661" t="s">
        <v>42</v>
      </c>
      <c r="V661" t="s">
        <v>143</v>
      </c>
      <c r="W661" t="s">
        <v>252</v>
      </c>
      <c r="Y661" t="s">
        <v>334</v>
      </c>
      <c r="Z661" t="s">
        <v>3179</v>
      </c>
      <c r="AA661" t="s">
        <v>97</v>
      </c>
      <c r="AB661" t="s">
        <v>97</v>
      </c>
      <c r="AC661" t="s">
        <v>97</v>
      </c>
    </row>
    <row r="662" spans="1:29">
      <c r="A662" t="s">
        <v>1075</v>
      </c>
      <c r="B662" s="2">
        <v>46192</v>
      </c>
      <c r="C662" t="s">
        <v>30</v>
      </c>
      <c r="D662" t="s">
        <v>74</v>
      </c>
      <c r="E662" t="s">
        <v>100</v>
      </c>
      <c r="F662" t="s">
        <v>101</v>
      </c>
      <c r="G662" t="s">
        <v>237</v>
      </c>
      <c r="H662" t="s">
        <v>103</v>
      </c>
      <c r="I662" t="s">
        <v>994</v>
      </c>
      <c r="J662" t="s">
        <v>3169</v>
      </c>
      <c r="K662" t="s">
        <v>56</v>
      </c>
      <c r="L662" t="s">
        <v>55</v>
      </c>
      <c r="M662" t="s">
        <v>129</v>
      </c>
      <c r="N662" t="s">
        <v>130</v>
      </c>
      <c r="O662" s="4">
        <v>5</v>
      </c>
      <c r="P662" s="4">
        <v>15</v>
      </c>
      <c r="Q662" t="s">
        <v>58</v>
      </c>
      <c r="R662" s="2">
        <v>46191</v>
      </c>
      <c r="S662" s="4">
        <v>12</v>
      </c>
      <c r="T662" s="3">
        <v>358000000</v>
      </c>
      <c r="U662" t="s">
        <v>42</v>
      </c>
      <c r="V662" t="s">
        <v>59</v>
      </c>
      <c r="W662" t="s">
        <v>131</v>
      </c>
      <c r="Y662" t="s">
        <v>334</v>
      </c>
      <c r="Z662" t="s">
        <v>3179</v>
      </c>
      <c r="AA662" t="s">
        <v>109</v>
      </c>
      <c r="AB662" t="s">
        <v>97</v>
      </c>
      <c r="AC662" t="s">
        <v>109</v>
      </c>
    </row>
    <row r="663" spans="1:29">
      <c r="A663" t="s">
        <v>1076</v>
      </c>
      <c r="B663" s="2">
        <v>46192</v>
      </c>
      <c r="C663" t="s">
        <v>30</v>
      </c>
      <c r="D663" t="s">
        <v>74</v>
      </c>
      <c r="E663" t="s">
        <v>100</v>
      </c>
      <c r="F663" t="s">
        <v>101</v>
      </c>
      <c r="G663" t="s">
        <v>212</v>
      </c>
      <c r="H663" t="s">
        <v>201</v>
      </c>
      <c r="I663" t="s">
        <v>554</v>
      </c>
      <c r="J663" t="s">
        <v>3117</v>
      </c>
      <c r="K663" t="s">
        <v>92</v>
      </c>
      <c r="L663" t="s">
        <v>68</v>
      </c>
      <c r="M663" t="s">
        <v>81</v>
      </c>
      <c r="N663" t="s">
        <v>130</v>
      </c>
      <c r="O663" s="4">
        <v>5</v>
      </c>
      <c r="P663" s="4">
        <v>19</v>
      </c>
      <c r="Q663" t="s">
        <v>41</v>
      </c>
      <c r="R663" s="2">
        <v>46190</v>
      </c>
      <c r="S663" s="4">
        <v>13</v>
      </c>
      <c r="T663" s="3">
        <v>207000000</v>
      </c>
      <c r="U663" t="s">
        <v>42</v>
      </c>
      <c r="V663" t="s">
        <v>70</v>
      </c>
      <c r="W663" t="s">
        <v>355</v>
      </c>
      <c r="Y663" t="s">
        <v>132</v>
      </c>
      <c r="Z663" t="s">
        <v>3179</v>
      </c>
      <c r="AA663" t="s">
        <v>109</v>
      </c>
      <c r="AB663" t="s">
        <v>97</v>
      </c>
      <c r="AC663" t="s">
        <v>109</v>
      </c>
    </row>
    <row r="664" spans="1:29">
      <c r="A664" t="s">
        <v>1077</v>
      </c>
      <c r="B664" s="2">
        <v>46201</v>
      </c>
      <c r="C664" t="s">
        <v>30</v>
      </c>
      <c r="D664" t="s">
        <v>49</v>
      </c>
      <c r="E664" t="s">
        <v>111</v>
      </c>
      <c r="F664" t="s">
        <v>190</v>
      </c>
      <c r="G664" t="s">
        <v>113</v>
      </c>
      <c r="H664" t="s">
        <v>114</v>
      </c>
      <c r="I664" t="s">
        <v>1078</v>
      </c>
      <c r="J664" t="s">
        <v>3172</v>
      </c>
      <c r="K664" t="s">
        <v>37</v>
      </c>
      <c r="L664" t="s">
        <v>80</v>
      </c>
      <c r="M664" t="s">
        <v>129</v>
      </c>
      <c r="N664" t="s">
        <v>196</v>
      </c>
      <c r="O664" s="4">
        <v>7</v>
      </c>
      <c r="P664" s="4">
        <v>9</v>
      </c>
      <c r="Q664" t="s">
        <v>107</v>
      </c>
      <c r="R664" s="2">
        <v>46195</v>
      </c>
      <c r="S664" s="4">
        <v>8</v>
      </c>
      <c r="T664" s="3">
        <v>181000000</v>
      </c>
      <c r="U664" t="s">
        <v>196</v>
      </c>
      <c r="V664" t="s">
        <v>70</v>
      </c>
      <c r="W664" t="s">
        <v>243</v>
      </c>
      <c r="Y664" t="s">
        <v>198</v>
      </c>
      <c r="Z664" t="s">
        <v>3181</v>
      </c>
      <c r="AA664" t="s">
        <v>118</v>
      </c>
      <c r="AB664" t="s">
        <v>199</v>
      </c>
      <c r="AC664" t="s">
        <v>118</v>
      </c>
    </row>
    <row r="665" spans="1:29">
      <c r="A665" t="s">
        <v>1079</v>
      </c>
      <c r="B665" s="2">
        <v>46185</v>
      </c>
      <c r="C665" t="s">
        <v>30</v>
      </c>
      <c r="D665" t="s">
        <v>99</v>
      </c>
      <c r="E665" t="s">
        <v>32</v>
      </c>
      <c r="F665" t="s">
        <v>256</v>
      </c>
      <c r="G665" t="s">
        <v>34</v>
      </c>
      <c r="H665" t="s">
        <v>35</v>
      </c>
      <c r="I665" t="s">
        <v>604</v>
      </c>
      <c r="J665" t="s">
        <v>3130</v>
      </c>
      <c r="K665" t="s">
        <v>92</v>
      </c>
      <c r="L665" t="s">
        <v>38</v>
      </c>
      <c r="M665" t="s">
        <v>39</v>
      </c>
      <c r="N665" t="s">
        <v>57</v>
      </c>
      <c r="O665" s="4">
        <v>3</v>
      </c>
      <c r="P665" s="4">
        <v>1</v>
      </c>
      <c r="Q665" t="s">
        <v>138</v>
      </c>
      <c r="R665" s="2">
        <v>46184</v>
      </c>
      <c r="S665" s="4">
        <v>19</v>
      </c>
      <c r="T665" s="3">
        <v>136000000</v>
      </c>
      <c r="U665" t="s">
        <v>42</v>
      </c>
      <c r="V665" t="s">
        <v>59</v>
      </c>
      <c r="W665" t="s">
        <v>203</v>
      </c>
      <c r="Y665" t="s">
        <v>158</v>
      </c>
      <c r="Z665" t="s">
        <v>3177</v>
      </c>
      <c r="AA665" t="s">
        <v>46</v>
      </c>
      <c r="AB665" t="s">
        <v>63</v>
      </c>
      <c r="AC665" t="s">
        <v>46</v>
      </c>
    </row>
    <row r="666" spans="1:29">
      <c r="A666" t="s">
        <v>1080</v>
      </c>
      <c r="B666" s="2">
        <v>46175</v>
      </c>
      <c r="C666" t="s">
        <v>30</v>
      </c>
      <c r="D666" t="s">
        <v>134</v>
      </c>
      <c r="E666" t="s">
        <v>111</v>
      </c>
      <c r="F666" t="s">
        <v>190</v>
      </c>
      <c r="G666" t="s">
        <v>126</v>
      </c>
      <c r="H666" t="s">
        <v>114</v>
      </c>
      <c r="I666" t="s">
        <v>266</v>
      </c>
      <c r="J666" t="s">
        <v>3037</v>
      </c>
      <c r="K666" t="s">
        <v>37</v>
      </c>
      <c r="L666" t="s">
        <v>38</v>
      </c>
      <c r="M666" t="s">
        <v>106</v>
      </c>
      <c r="N666" t="s">
        <v>130</v>
      </c>
      <c r="O666" s="4">
        <v>5</v>
      </c>
      <c r="P666" s="4">
        <v>7</v>
      </c>
      <c r="Q666" t="s">
        <v>83</v>
      </c>
      <c r="R666" s="2">
        <v>46173</v>
      </c>
      <c r="S666" s="4">
        <v>30</v>
      </c>
      <c r="T666" s="3">
        <v>240000000</v>
      </c>
      <c r="U666" t="s">
        <v>42</v>
      </c>
      <c r="V666" t="s">
        <v>59</v>
      </c>
      <c r="W666" t="s">
        <v>144</v>
      </c>
      <c r="Y666" t="s">
        <v>262</v>
      </c>
      <c r="Z666" t="s">
        <v>3179</v>
      </c>
      <c r="AA666" t="s">
        <v>118</v>
      </c>
      <c r="AB666" t="s">
        <v>97</v>
      </c>
      <c r="AC666" t="s">
        <v>118</v>
      </c>
    </row>
    <row r="667" spans="1:29">
      <c r="A667" t="s">
        <v>1081</v>
      </c>
      <c r="B667" s="2">
        <v>46179</v>
      </c>
      <c r="C667" t="s">
        <v>30</v>
      </c>
      <c r="D667" t="s">
        <v>134</v>
      </c>
      <c r="E667" t="s">
        <v>75</v>
      </c>
      <c r="F667" t="s">
        <v>76</v>
      </c>
      <c r="G667" t="s">
        <v>162</v>
      </c>
      <c r="H667" t="s">
        <v>78</v>
      </c>
      <c r="I667" t="s">
        <v>501</v>
      </c>
      <c r="J667" t="s">
        <v>3106</v>
      </c>
      <c r="K667" t="s">
        <v>105</v>
      </c>
      <c r="L667" t="s">
        <v>38</v>
      </c>
      <c r="M667" t="s">
        <v>56</v>
      </c>
      <c r="N667" t="s">
        <v>57</v>
      </c>
      <c r="O667" s="4">
        <v>3</v>
      </c>
      <c r="P667" s="4">
        <v>7</v>
      </c>
      <c r="Q667" t="s">
        <v>138</v>
      </c>
      <c r="R667" s="2">
        <v>46169</v>
      </c>
      <c r="S667" s="4">
        <v>34</v>
      </c>
      <c r="T667" s="3">
        <v>55000000</v>
      </c>
      <c r="U667" t="s">
        <v>42</v>
      </c>
      <c r="V667" t="s">
        <v>59</v>
      </c>
      <c r="W667" t="s">
        <v>60</v>
      </c>
      <c r="Y667" t="s">
        <v>165</v>
      </c>
      <c r="Z667" t="s">
        <v>3177</v>
      </c>
      <c r="AA667" t="s">
        <v>86</v>
      </c>
      <c r="AB667" t="s">
        <v>63</v>
      </c>
      <c r="AC667" t="s">
        <v>86</v>
      </c>
    </row>
    <row r="668" spans="1:29">
      <c r="A668" t="s">
        <v>1082</v>
      </c>
      <c r="B668" s="2">
        <v>46192</v>
      </c>
      <c r="C668" t="s">
        <v>30</v>
      </c>
      <c r="D668" t="s">
        <v>74</v>
      </c>
      <c r="E668" t="s">
        <v>100</v>
      </c>
      <c r="F668" t="s">
        <v>101</v>
      </c>
      <c r="G668" t="s">
        <v>147</v>
      </c>
      <c r="H668" t="s">
        <v>103</v>
      </c>
      <c r="I668" t="s">
        <v>436</v>
      </c>
      <c r="J668" t="s">
        <v>3084</v>
      </c>
      <c r="K668" t="s">
        <v>56</v>
      </c>
      <c r="L668" t="s">
        <v>68</v>
      </c>
      <c r="M668" t="s">
        <v>164</v>
      </c>
      <c r="N668" t="s">
        <v>196</v>
      </c>
      <c r="O668" s="4">
        <v>7</v>
      </c>
      <c r="P668" s="4">
        <v>16</v>
      </c>
      <c r="Q668" t="s">
        <v>41</v>
      </c>
      <c r="R668" s="2">
        <v>46188</v>
      </c>
      <c r="S668" s="4">
        <v>15</v>
      </c>
      <c r="T668" s="3">
        <v>169000000</v>
      </c>
      <c r="U668" t="s">
        <v>196</v>
      </c>
      <c r="V668" t="s">
        <v>70</v>
      </c>
      <c r="W668" t="s">
        <v>243</v>
      </c>
      <c r="Y668" t="s">
        <v>244</v>
      </c>
      <c r="Z668" t="s">
        <v>3181</v>
      </c>
      <c r="AA668" t="s">
        <v>109</v>
      </c>
      <c r="AB668" t="s">
        <v>199</v>
      </c>
      <c r="AC668" t="s">
        <v>109</v>
      </c>
    </row>
    <row r="669" spans="1:29">
      <c r="A669" t="s">
        <v>1083</v>
      </c>
      <c r="B669" s="2">
        <v>46192</v>
      </c>
      <c r="C669" t="s">
        <v>30</v>
      </c>
      <c r="D669" t="s">
        <v>74</v>
      </c>
      <c r="E669" t="s">
        <v>50</v>
      </c>
      <c r="F669" t="s">
        <v>51</v>
      </c>
      <c r="G669" t="s">
        <v>52</v>
      </c>
      <c r="H669" t="s">
        <v>53</v>
      </c>
      <c r="I669" t="s">
        <v>235</v>
      </c>
      <c r="J669" t="s">
        <v>3032</v>
      </c>
      <c r="K669" t="s">
        <v>92</v>
      </c>
      <c r="L669" t="s">
        <v>80</v>
      </c>
      <c r="M669" t="s">
        <v>81</v>
      </c>
      <c r="N669" t="s">
        <v>94</v>
      </c>
      <c r="O669" s="4">
        <v>4</v>
      </c>
      <c r="P669" s="4">
        <v>9</v>
      </c>
      <c r="Q669" t="s">
        <v>58</v>
      </c>
      <c r="R669" s="2">
        <v>46191</v>
      </c>
      <c r="S669" s="4">
        <v>12</v>
      </c>
      <c r="T669" s="3">
        <v>55000000</v>
      </c>
      <c r="U669" t="s">
        <v>42</v>
      </c>
      <c r="V669" t="s">
        <v>59</v>
      </c>
      <c r="W669" t="s">
        <v>267</v>
      </c>
      <c r="Y669" t="s">
        <v>96</v>
      </c>
      <c r="Z669" t="s">
        <v>3179</v>
      </c>
      <c r="AA669" t="s">
        <v>62</v>
      </c>
      <c r="AB669" t="s">
        <v>97</v>
      </c>
      <c r="AC669" t="s">
        <v>62</v>
      </c>
    </row>
    <row r="670" spans="1:29">
      <c r="A670" t="s">
        <v>1084</v>
      </c>
      <c r="B670" s="2">
        <v>46199</v>
      </c>
      <c r="C670" t="s">
        <v>30</v>
      </c>
      <c r="D670" t="s">
        <v>49</v>
      </c>
      <c r="E670" t="s">
        <v>120</v>
      </c>
      <c r="F670" t="s">
        <v>246</v>
      </c>
      <c r="G670" t="s">
        <v>135</v>
      </c>
      <c r="H670" t="s">
        <v>136</v>
      </c>
      <c r="I670" t="s">
        <v>137</v>
      </c>
      <c r="J670" t="s">
        <v>3017</v>
      </c>
      <c r="K670" t="s">
        <v>105</v>
      </c>
      <c r="L670" t="s">
        <v>150</v>
      </c>
      <c r="M670" t="s">
        <v>129</v>
      </c>
      <c r="N670" t="s">
        <v>40</v>
      </c>
      <c r="O670" s="4">
        <v>2</v>
      </c>
      <c r="P670" s="4">
        <v>9</v>
      </c>
      <c r="Q670" t="s">
        <v>107</v>
      </c>
      <c r="R670" s="2">
        <v>46198</v>
      </c>
      <c r="S670" s="4">
        <v>5</v>
      </c>
      <c r="T670" s="3">
        <v>277000000</v>
      </c>
      <c r="U670" t="s">
        <v>42</v>
      </c>
      <c r="V670" t="s">
        <v>43</v>
      </c>
      <c r="W670" t="s">
        <v>44</v>
      </c>
      <c r="Y670" t="s">
        <v>309</v>
      </c>
      <c r="Z670" t="s">
        <v>3178</v>
      </c>
      <c r="AA670" t="s">
        <v>97</v>
      </c>
      <c r="AB670" t="s">
        <v>87</v>
      </c>
      <c r="AC670" t="s">
        <v>97</v>
      </c>
    </row>
    <row r="671" spans="1:29">
      <c r="A671" t="s">
        <v>1085</v>
      </c>
      <c r="B671" s="2">
        <v>46200</v>
      </c>
      <c r="C671" t="s">
        <v>30</v>
      </c>
      <c r="D671" t="s">
        <v>49</v>
      </c>
      <c r="E671" t="s">
        <v>152</v>
      </c>
      <c r="F671" t="s">
        <v>153</v>
      </c>
      <c r="G671" t="s">
        <v>286</v>
      </c>
      <c r="H671" t="s">
        <v>283</v>
      </c>
      <c r="I671" t="s">
        <v>393</v>
      </c>
      <c r="J671" t="s">
        <v>3072</v>
      </c>
      <c r="K671" t="s">
        <v>92</v>
      </c>
      <c r="L671" t="s">
        <v>187</v>
      </c>
      <c r="M671" t="s">
        <v>56</v>
      </c>
      <c r="N671" t="s">
        <v>82</v>
      </c>
      <c r="O671" s="4">
        <v>1</v>
      </c>
      <c r="P671" s="4">
        <v>13</v>
      </c>
      <c r="Q671" t="s">
        <v>142</v>
      </c>
      <c r="R671" s="2">
        <v>46200</v>
      </c>
      <c r="S671" s="4">
        <v>3</v>
      </c>
      <c r="T671" s="3">
        <v>95000000</v>
      </c>
      <c r="U671" t="s">
        <v>42</v>
      </c>
      <c r="V671" t="s">
        <v>59</v>
      </c>
      <c r="W671" t="s">
        <v>84</v>
      </c>
      <c r="Y671" t="s">
        <v>85</v>
      </c>
      <c r="Z671" t="s">
        <v>3180</v>
      </c>
      <c r="AA671" t="s">
        <v>159</v>
      </c>
      <c r="AB671" t="s">
        <v>193</v>
      </c>
      <c r="AC671" t="s">
        <v>159</v>
      </c>
    </row>
    <row r="672" spans="1:29">
      <c r="A672" t="s">
        <v>1086</v>
      </c>
      <c r="B672" s="2">
        <v>46189</v>
      </c>
      <c r="C672" t="s">
        <v>30</v>
      </c>
      <c r="D672" t="s">
        <v>74</v>
      </c>
      <c r="E672" t="s">
        <v>152</v>
      </c>
      <c r="F672" t="s">
        <v>153</v>
      </c>
      <c r="G672" t="s">
        <v>286</v>
      </c>
      <c r="H672" t="s">
        <v>207</v>
      </c>
      <c r="I672" t="s">
        <v>222</v>
      </c>
      <c r="J672" t="s">
        <v>3029</v>
      </c>
      <c r="K672" t="s">
        <v>37</v>
      </c>
      <c r="L672" t="s">
        <v>80</v>
      </c>
      <c r="M672" t="s">
        <v>93</v>
      </c>
      <c r="N672" t="s">
        <v>213</v>
      </c>
      <c r="O672" s="4">
        <v>6</v>
      </c>
      <c r="P672" s="4">
        <v>16</v>
      </c>
      <c r="Q672" t="s">
        <v>58</v>
      </c>
      <c r="R672" s="2">
        <v>46186</v>
      </c>
      <c r="S672" s="4">
        <v>17</v>
      </c>
      <c r="T672" s="3">
        <v>73000000</v>
      </c>
      <c r="U672" t="s">
        <v>42</v>
      </c>
      <c r="V672" t="s">
        <v>70</v>
      </c>
      <c r="W672" t="s">
        <v>215</v>
      </c>
      <c r="X672" t="s">
        <v>117</v>
      </c>
      <c r="Y672" t="s">
        <v>216</v>
      </c>
      <c r="Z672" t="s">
        <v>3179</v>
      </c>
      <c r="AA672" t="s">
        <v>159</v>
      </c>
      <c r="AB672" t="s">
        <v>97</v>
      </c>
      <c r="AC672" t="s">
        <v>159</v>
      </c>
    </row>
    <row r="673" spans="1:29">
      <c r="A673" t="s">
        <v>1087</v>
      </c>
      <c r="B673" s="2">
        <v>46177</v>
      </c>
      <c r="C673" t="s">
        <v>30</v>
      </c>
      <c r="D673" t="s">
        <v>134</v>
      </c>
      <c r="E673" t="s">
        <v>75</v>
      </c>
      <c r="F673" t="s">
        <v>183</v>
      </c>
      <c r="G673" t="s">
        <v>184</v>
      </c>
      <c r="H673" t="s">
        <v>388</v>
      </c>
      <c r="I673" t="s">
        <v>661</v>
      </c>
      <c r="J673" t="s">
        <v>3144</v>
      </c>
      <c r="K673" t="s">
        <v>116</v>
      </c>
      <c r="L673" t="s">
        <v>68</v>
      </c>
      <c r="M673" t="s">
        <v>129</v>
      </c>
      <c r="N673" t="s">
        <v>82</v>
      </c>
      <c r="O673" s="4">
        <v>1</v>
      </c>
      <c r="P673" s="4">
        <v>8</v>
      </c>
      <c r="Q673" t="s">
        <v>83</v>
      </c>
      <c r="R673" s="2">
        <v>46174</v>
      </c>
      <c r="S673" s="4">
        <v>29</v>
      </c>
      <c r="T673" s="3">
        <v>96000000</v>
      </c>
      <c r="U673" t="s">
        <v>42</v>
      </c>
      <c r="V673" t="s">
        <v>43</v>
      </c>
      <c r="W673" t="s">
        <v>359</v>
      </c>
      <c r="Y673" t="s">
        <v>305</v>
      </c>
      <c r="Z673" t="s">
        <v>3178</v>
      </c>
      <c r="AA673" t="s">
        <v>86</v>
      </c>
      <c r="AB673" t="s">
        <v>87</v>
      </c>
      <c r="AC673" t="s">
        <v>86</v>
      </c>
    </row>
    <row r="674" spans="1:29">
      <c r="A674" t="s">
        <v>1088</v>
      </c>
      <c r="B674" s="2">
        <v>46177</v>
      </c>
      <c r="C674" t="s">
        <v>30</v>
      </c>
      <c r="D674" t="s">
        <v>134</v>
      </c>
      <c r="E674" t="s">
        <v>100</v>
      </c>
      <c r="F674" t="s">
        <v>146</v>
      </c>
      <c r="G674" t="s">
        <v>102</v>
      </c>
      <c r="H674" t="s">
        <v>148</v>
      </c>
      <c r="I674" t="s">
        <v>724</v>
      </c>
      <c r="J674" t="s">
        <v>3148</v>
      </c>
      <c r="K674" t="s">
        <v>37</v>
      </c>
      <c r="L674" t="s">
        <v>80</v>
      </c>
      <c r="M674" t="s">
        <v>129</v>
      </c>
      <c r="N674" t="s">
        <v>82</v>
      </c>
      <c r="O674" s="4">
        <v>1</v>
      </c>
      <c r="P674" s="4">
        <v>12</v>
      </c>
      <c r="Q674" t="s">
        <v>142</v>
      </c>
      <c r="R674" s="2">
        <v>46173</v>
      </c>
      <c r="S674" s="4">
        <v>30</v>
      </c>
      <c r="T674" s="3">
        <v>133000000</v>
      </c>
      <c r="U674" t="s">
        <v>42</v>
      </c>
      <c r="V674" t="s">
        <v>43</v>
      </c>
      <c r="W674" t="s">
        <v>290</v>
      </c>
      <c r="Y674" t="s">
        <v>330</v>
      </c>
      <c r="Z674" t="s">
        <v>3180</v>
      </c>
      <c r="AA674" t="s">
        <v>109</v>
      </c>
      <c r="AB674" t="s">
        <v>193</v>
      </c>
      <c r="AC674" t="s">
        <v>109</v>
      </c>
    </row>
    <row r="675" spans="1:29">
      <c r="A675" t="s">
        <v>1089</v>
      </c>
      <c r="B675" s="2">
        <v>46174</v>
      </c>
      <c r="C675" t="s">
        <v>30</v>
      </c>
      <c r="D675" t="s">
        <v>134</v>
      </c>
      <c r="E675" t="s">
        <v>32</v>
      </c>
      <c r="F675" t="s">
        <v>273</v>
      </c>
      <c r="G675" t="s">
        <v>218</v>
      </c>
      <c r="H675" t="s">
        <v>303</v>
      </c>
      <c r="I675" t="s">
        <v>326</v>
      </c>
      <c r="J675" t="s">
        <v>3053</v>
      </c>
      <c r="K675" t="s">
        <v>116</v>
      </c>
      <c r="L675" t="s">
        <v>38</v>
      </c>
      <c r="M675" t="s">
        <v>56</v>
      </c>
      <c r="N675" t="s">
        <v>82</v>
      </c>
      <c r="O675" s="4">
        <v>1</v>
      </c>
      <c r="P675" s="4">
        <v>1</v>
      </c>
      <c r="Q675" t="s">
        <v>83</v>
      </c>
      <c r="R675" s="2">
        <v>46173</v>
      </c>
      <c r="S675" s="4">
        <v>30</v>
      </c>
      <c r="T675" s="3">
        <v>67000000</v>
      </c>
      <c r="U675" t="s">
        <v>42</v>
      </c>
      <c r="V675" t="s">
        <v>59</v>
      </c>
      <c r="W675" t="s">
        <v>359</v>
      </c>
      <c r="Y675" t="s">
        <v>330</v>
      </c>
      <c r="Z675" t="s">
        <v>3176</v>
      </c>
      <c r="AA675" t="s">
        <v>46</v>
      </c>
      <c r="AB675" t="s">
        <v>47</v>
      </c>
      <c r="AC675" t="s">
        <v>46</v>
      </c>
    </row>
    <row r="676" spans="1:29">
      <c r="A676" t="s">
        <v>1090</v>
      </c>
      <c r="B676" s="2">
        <v>46194</v>
      </c>
      <c r="C676" t="s">
        <v>30</v>
      </c>
      <c r="D676" t="s">
        <v>74</v>
      </c>
      <c r="E676" t="s">
        <v>32</v>
      </c>
      <c r="F676" t="s">
        <v>256</v>
      </c>
      <c r="G676" t="s">
        <v>34</v>
      </c>
      <c r="H676" t="s">
        <v>303</v>
      </c>
      <c r="I676" t="s">
        <v>1021</v>
      </c>
      <c r="J676" t="s">
        <v>3171</v>
      </c>
      <c r="K676" t="s">
        <v>116</v>
      </c>
      <c r="L676" t="s">
        <v>38</v>
      </c>
      <c r="M676" t="s">
        <v>106</v>
      </c>
      <c r="N676" t="s">
        <v>40</v>
      </c>
      <c r="O676" s="4">
        <v>2</v>
      </c>
      <c r="P676" s="4">
        <v>4</v>
      </c>
      <c r="Q676" t="s">
        <v>107</v>
      </c>
      <c r="R676" s="2">
        <v>46185</v>
      </c>
      <c r="S676" s="4">
        <v>18</v>
      </c>
      <c r="T676" s="3">
        <v>56000000</v>
      </c>
      <c r="U676" t="s">
        <v>42</v>
      </c>
      <c r="V676" t="s">
        <v>43</v>
      </c>
      <c r="W676" t="s">
        <v>44</v>
      </c>
      <c r="Y676" t="s">
        <v>281</v>
      </c>
      <c r="Z676" t="s">
        <v>3176</v>
      </c>
      <c r="AA676" t="s">
        <v>46</v>
      </c>
      <c r="AB676" t="s">
        <v>47</v>
      </c>
      <c r="AC676" t="s">
        <v>46</v>
      </c>
    </row>
    <row r="677" spans="1:29">
      <c r="A677" t="s">
        <v>1091</v>
      </c>
      <c r="B677" s="2">
        <v>46187</v>
      </c>
      <c r="C677" t="s">
        <v>30</v>
      </c>
      <c r="D677" t="s">
        <v>99</v>
      </c>
      <c r="E677" t="s">
        <v>172</v>
      </c>
      <c r="F677" t="s">
        <v>277</v>
      </c>
      <c r="G677" t="s">
        <v>174</v>
      </c>
      <c r="H677" t="s">
        <v>175</v>
      </c>
      <c r="I677" t="s">
        <v>333</v>
      </c>
      <c r="J677" t="s">
        <v>3054</v>
      </c>
      <c r="K677" t="s">
        <v>37</v>
      </c>
      <c r="L677" t="s">
        <v>169</v>
      </c>
      <c r="M677" t="s">
        <v>81</v>
      </c>
      <c r="N677" t="s">
        <v>130</v>
      </c>
      <c r="O677" s="4">
        <v>5</v>
      </c>
      <c r="P677" s="4">
        <v>6</v>
      </c>
      <c r="Q677" t="s">
        <v>58</v>
      </c>
      <c r="R677" s="2">
        <v>46182</v>
      </c>
      <c r="S677" s="4">
        <v>21</v>
      </c>
      <c r="T677" s="3">
        <v>238000000</v>
      </c>
      <c r="U677" t="s">
        <v>42</v>
      </c>
      <c r="V677" t="s">
        <v>143</v>
      </c>
      <c r="W677" t="s">
        <v>144</v>
      </c>
      <c r="Y677" t="s">
        <v>132</v>
      </c>
      <c r="Z677" t="s">
        <v>3179</v>
      </c>
      <c r="AA677" t="s">
        <v>181</v>
      </c>
      <c r="AB677" t="s">
        <v>97</v>
      </c>
      <c r="AC677" t="s">
        <v>181</v>
      </c>
    </row>
    <row r="678" spans="1:29">
      <c r="A678" t="s">
        <v>1092</v>
      </c>
      <c r="B678" s="2">
        <v>46180</v>
      </c>
      <c r="C678" t="s">
        <v>30</v>
      </c>
      <c r="D678" t="s">
        <v>134</v>
      </c>
      <c r="E678" t="s">
        <v>32</v>
      </c>
      <c r="F678" t="s">
        <v>256</v>
      </c>
      <c r="G678" t="s">
        <v>361</v>
      </c>
      <c r="H678" t="s">
        <v>303</v>
      </c>
      <c r="I678" t="s">
        <v>964</v>
      </c>
      <c r="J678" t="s">
        <v>3167</v>
      </c>
      <c r="K678" t="s">
        <v>105</v>
      </c>
      <c r="L678" t="s">
        <v>38</v>
      </c>
      <c r="M678" t="s">
        <v>93</v>
      </c>
      <c r="N678" t="s">
        <v>57</v>
      </c>
      <c r="O678" s="4">
        <v>3</v>
      </c>
      <c r="P678" s="4">
        <v>2</v>
      </c>
      <c r="Q678" t="s">
        <v>83</v>
      </c>
      <c r="R678" s="2">
        <v>46177</v>
      </c>
      <c r="S678" s="4">
        <v>26</v>
      </c>
      <c r="T678" s="3">
        <v>312000000</v>
      </c>
      <c r="U678" t="s">
        <v>42</v>
      </c>
      <c r="V678" t="s">
        <v>43</v>
      </c>
      <c r="W678" t="s">
        <v>71</v>
      </c>
      <c r="Y678" t="s">
        <v>61</v>
      </c>
      <c r="Z678" t="s">
        <v>3177</v>
      </c>
      <c r="AA678" t="s">
        <v>46</v>
      </c>
      <c r="AB678" t="s">
        <v>63</v>
      </c>
      <c r="AC678" t="s">
        <v>46</v>
      </c>
    </row>
    <row r="679" spans="1:29">
      <c r="A679" t="s">
        <v>1093</v>
      </c>
      <c r="B679" s="2">
        <v>46195</v>
      </c>
      <c r="C679" t="s">
        <v>30</v>
      </c>
      <c r="D679" t="s">
        <v>49</v>
      </c>
      <c r="E679" t="s">
        <v>111</v>
      </c>
      <c r="F679" t="s">
        <v>264</v>
      </c>
      <c r="G679" t="s">
        <v>265</v>
      </c>
      <c r="H679" t="s">
        <v>127</v>
      </c>
      <c r="I679" t="s">
        <v>648</v>
      </c>
      <c r="J679" t="s">
        <v>3140</v>
      </c>
      <c r="K679" t="s">
        <v>105</v>
      </c>
      <c r="L679" t="s">
        <v>55</v>
      </c>
      <c r="M679" t="s">
        <v>106</v>
      </c>
      <c r="N679" t="s">
        <v>57</v>
      </c>
      <c r="O679" s="4">
        <v>3</v>
      </c>
      <c r="P679" s="4">
        <v>5</v>
      </c>
      <c r="Q679" t="s">
        <v>83</v>
      </c>
      <c r="R679" s="2">
        <v>46189</v>
      </c>
      <c r="S679" s="4">
        <v>14</v>
      </c>
      <c r="T679" s="3">
        <v>141000000</v>
      </c>
      <c r="U679" t="s">
        <v>42</v>
      </c>
      <c r="V679" t="s">
        <v>43</v>
      </c>
      <c r="W679" t="s">
        <v>71</v>
      </c>
      <c r="Y679" t="s">
        <v>61</v>
      </c>
      <c r="Z679" t="s">
        <v>3177</v>
      </c>
      <c r="AA679" t="s">
        <v>118</v>
      </c>
      <c r="AB679" t="s">
        <v>63</v>
      </c>
      <c r="AC679" t="s">
        <v>118</v>
      </c>
    </row>
    <row r="680" spans="1:29">
      <c r="A680" t="s">
        <v>1094</v>
      </c>
      <c r="B680" s="2">
        <v>46188</v>
      </c>
      <c r="C680" t="s">
        <v>30</v>
      </c>
      <c r="D680" t="s">
        <v>74</v>
      </c>
      <c r="E680" t="s">
        <v>50</v>
      </c>
      <c r="F680" t="s">
        <v>351</v>
      </c>
      <c r="G680" t="s">
        <v>234</v>
      </c>
      <c r="H680" t="s">
        <v>53</v>
      </c>
      <c r="I680" t="s">
        <v>368</v>
      </c>
      <c r="J680" t="s">
        <v>3064</v>
      </c>
      <c r="K680" t="s">
        <v>92</v>
      </c>
      <c r="L680" t="s">
        <v>38</v>
      </c>
      <c r="M680" t="s">
        <v>39</v>
      </c>
      <c r="N680" t="s">
        <v>40</v>
      </c>
      <c r="O680" s="4">
        <v>2</v>
      </c>
      <c r="P680" s="4">
        <v>10</v>
      </c>
      <c r="Q680" t="s">
        <v>69</v>
      </c>
      <c r="R680" s="2">
        <v>46184</v>
      </c>
      <c r="S680" s="4">
        <v>19</v>
      </c>
      <c r="T680" s="3">
        <v>100000000</v>
      </c>
      <c r="U680" t="s">
        <v>177</v>
      </c>
      <c r="V680" t="s">
        <v>59</v>
      </c>
      <c r="W680" t="s">
        <v>178</v>
      </c>
      <c r="X680" t="s">
        <v>422</v>
      </c>
      <c r="Y680" t="s">
        <v>281</v>
      </c>
      <c r="Z680" t="s">
        <v>3178</v>
      </c>
      <c r="AA680" t="s">
        <v>62</v>
      </c>
      <c r="AB680" t="s">
        <v>87</v>
      </c>
      <c r="AC680" t="s">
        <v>62</v>
      </c>
    </row>
    <row r="681" spans="1:29">
      <c r="A681" t="s">
        <v>1095</v>
      </c>
      <c r="B681" s="2">
        <v>46192</v>
      </c>
      <c r="C681" t="s">
        <v>30</v>
      </c>
      <c r="D681" t="s">
        <v>74</v>
      </c>
      <c r="E681" t="s">
        <v>172</v>
      </c>
      <c r="F681" t="s">
        <v>277</v>
      </c>
      <c r="G681" t="s">
        <v>338</v>
      </c>
      <c r="H681" t="s">
        <v>175</v>
      </c>
      <c r="I681" t="s">
        <v>956</v>
      </c>
      <c r="J681" t="s">
        <v>3166</v>
      </c>
      <c r="K681" t="s">
        <v>92</v>
      </c>
      <c r="L681" t="s">
        <v>150</v>
      </c>
      <c r="M681" t="s">
        <v>129</v>
      </c>
      <c r="N681" t="s">
        <v>57</v>
      </c>
      <c r="O681" s="4">
        <v>3</v>
      </c>
      <c r="P681" s="4">
        <v>3</v>
      </c>
      <c r="Q681" t="s">
        <v>138</v>
      </c>
      <c r="R681" s="2">
        <v>46190</v>
      </c>
      <c r="S681" s="4">
        <v>13</v>
      </c>
      <c r="T681" s="3">
        <v>194000000</v>
      </c>
      <c r="U681" t="s">
        <v>42</v>
      </c>
      <c r="V681" t="s">
        <v>43</v>
      </c>
      <c r="W681" t="s">
        <v>203</v>
      </c>
      <c r="Y681" t="s">
        <v>158</v>
      </c>
      <c r="Z681" t="s">
        <v>3177</v>
      </c>
      <c r="AA681" t="s">
        <v>181</v>
      </c>
      <c r="AB681" t="s">
        <v>63</v>
      </c>
      <c r="AC681" t="s">
        <v>181</v>
      </c>
    </row>
    <row r="682" spans="1:29">
      <c r="A682" t="s">
        <v>1096</v>
      </c>
      <c r="B682" s="2">
        <v>46180</v>
      </c>
      <c r="C682" t="s">
        <v>30</v>
      </c>
      <c r="D682" t="s">
        <v>134</v>
      </c>
      <c r="E682" t="s">
        <v>32</v>
      </c>
      <c r="F682" t="s">
        <v>256</v>
      </c>
      <c r="G682" t="s">
        <v>257</v>
      </c>
      <c r="H682" t="s">
        <v>35</v>
      </c>
      <c r="I682" t="s">
        <v>320</v>
      </c>
      <c r="J682" t="s">
        <v>3051</v>
      </c>
      <c r="K682" t="s">
        <v>92</v>
      </c>
      <c r="L682" t="s">
        <v>187</v>
      </c>
      <c r="M682" t="s">
        <v>39</v>
      </c>
      <c r="N682" t="s">
        <v>40</v>
      </c>
      <c r="O682" s="4">
        <v>2</v>
      </c>
      <c r="P682" s="4">
        <v>2</v>
      </c>
      <c r="Q682" t="s">
        <v>69</v>
      </c>
      <c r="R682" s="2">
        <v>46178</v>
      </c>
      <c r="S682" s="4">
        <v>25</v>
      </c>
      <c r="T682" s="3">
        <v>66000000</v>
      </c>
      <c r="U682" t="s">
        <v>42</v>
      </c>
      <c r="V682" t="s">
        <v>43</v>
      </c>
      <c r="W682" t="s">
        <v>44</v>
      </c>
      <c r="Y682" t="s">
        <v>45</v>
      </c>
      <c r="Z682" t="s">
        <v>3176</v>
      </c>
      <c r="AA682" t="s">
        <v>46</v>
      </c>
      <c r="AB682" t="s">
        <v>47</v>
      </c>
      <c r="AC682" t="s">
        <v>46</v>
      </c>
    </row>
    <row r="683" spans="1:29">
      <c r="A683" t="s">
        <v>1097</v>
      </c>
      <c r="B683" s="2">
        <v>46176</v>
      </c>
      <c r="C683" t="s">
        <v>30</v>
      </c>
      <c r="D683" t="s">
        <v>134</v>
      </c>
      <c r="E683" t="s">
        <v>100</v>
      </c>
      <c r="F683" t="s">
        <v>146</v>
      </c>
      <c r="G683" t="s">
        <v>313</v>
      </c>
      <c r="H683" t="s">
        <v>201</v>
      </c>
      <c r="I683" t="s">
        <v>371</v>
      </c>
      <c r="J683" t="s">
        <v>3065</v>
      </c>
      <c r="K683" t="s">
        <v>105</v>
      </c>
      <c r="L683" t="s">
        <v>68</v>
      </c>
      <c r="M683" t="s">
        <v>81</v>
      </c>
      <c r="N683" t="s">
        <v>196</v>
      </c>
      <c r="O683" s="4">
        <v>7</v>
      </c>
      <c r="P683" s="4">
        <v>13</v>
      </c>
      <c r="Q683" t="s">
        <v>69</v>
      </c>
      <c r="R683" s="2">
        <v>46171</v>
      </c>
      <c r="S683" s="4">
        <v>32</v>
      </c>
      <c r="T683" s="3">
        <v>175000000</v>
      </c>
      <c r="U683" t="s">
        <v>196</v>
      </c>
      <c r="V683" t="s">
        <v>70</v>
      </c>
      <c r="W683" t="s">
        <v>675</v>
      </c>
      <c r="Y683" t="s">
        <v>244</v>
      </c>
      <c r="Z683" t="s">
        <v>3181</v>
      </c>
      <c r="AA683" t="s">
        <v>109</v>
      </c>
      <c r="AB683" t="s">
        <v>199</v>
      </c>
      <c r="AC683" t="s">
        <v>109</v>
      </c>
    </row>
    <row r="684" spans="1:29">
      <c r="A684" t="s">
        <v>1098</v>
      </c>
      <c r="B684" s="2">
        <v>46184</v>
      </c>
      <c r="C684" t="s">
        <v>30</v>
      </c>
      <c r="D684" t="s">
        <v>99</v>
      </c>
      <c r="E684" t="s">
        <v>32</v>
      </c>
      <c r="F684" t="s">
        <v>33</v>
      </c>
      <c r="G684" t="s">
        <v>257</v>
      </c>
      <c r="H684" t="s">
        <v>35</v>
      </c>
      <c r="I684" t="s">
        <v>595</v>
      </c>
      <c r="J684" t="s">
        <v>3128</v>
      </c>
      <c r="K684" t="s">
        <v>116</v>
      </c>
      <c r="L684" t="s">
        <v>150</v>
      </c>
      <c r="M684" t="s">
        <v>93</v>
      </c>
      <c r="N684" t="s">
        <v>57</v>
      </c>
      <c r="O684" s="4">
        <v>3</v>
      </c>
      <c r="P684" s="4">
        <v>1</v>
      </c>
      <c r="Q684" t="s">
        <v>107</v>
      </c>
      <c r="R684" s="2">
        <v>46178</v>
      </c>
      <c r="S684" s="4">
        <v>25</v>
      </c>
      <c r="T684" s="3">
        <v>174000000</v>
      </c>
      <c r="U684" t="s">
        <v>42</v>
      </c>
      <c r="V684" t="s">
        <v>43</v>
      </c>
      <c r="W684" t="s">
        <v>60</v>
      </c>
      <c r="Y684" t="s">
        <v>158</v>
      </c>
      <c r="Z684" t="s">
        <v>3177</v>
      </c>
      <c r="AA684" t="s">
        <v>46</v>
      </c>
      <c r="AB684" t="s">
        <v>63</v>
      </c>
      <c r="AC684" t="s">
        <v>46</v>
      </c>
    </row>
    <row r="685" spans="1:29">
      <c r="A685" t="s">
        <v>1099</v>
      </c>
      <c r="B685" s="2">
        <v>46186</v>
      </c>
      <c r="C685" t="s">
        <v>30</v>
      </c>
      <c r="D685" t="s">
        <v>99</v>
      </c>
      <c r="E685" t="s">
        <v>120</v>
      </c>
      <c r="F685" t="s">
        <v>167</v>
      </c>
      <c r="G685" t="s">
        <v>224</v>
      </c>
      <c r="H685" t="s">
        <v>136</v>
      </c>
      <c r="I685" t="s">
        <v>658</v>
      </c>
      <c r="J685" t="s">
        <v>3143</v>
      </c>
      <c r="K685" t="s">
        <v>37</v>
      </c>
      <c r="L685" t="s">
        <v>80</v>
      </c>
      <c r="M685" t="s">
        <v>164</v>
      </c>
      <c r="N685" t="s">
        <v>94</v>
      </c>
      <c r="O685" s="4">
        <v>4</v>
      </c>
      <c r="P685" s="4">
        <v>5</v>
      </c>
      <c r="Q685" t="s">
        <v>138</v>
      </c>
      <c r="R685" s="2">
        <v>46179</v>
      </c>
      <c r="S685" s="4">
        <v>24</v>
      </c>
      <c r="T685" s="3">
        <v>199000000</v>
      </c>
      <c r="U685" t="s">
        <v>42</v>
      </c>
      <c r="V685" t="s">
        <v>59</v>
      </c>
      <c r="W685" t="s">
        <v>188</v>
      </c>
      <c r="X685" t="s">
        <v>117</v>
      </c>
      <c r="Y685" t="s">
        <v>268</v>
      </c>
      <c r="Z685" t="s">
        <v>3179</v>
      </c>
      <c r="AA685" t="s">
        <v>97</v>
      </c>
      <c r="AB685" t="s">
        <v>97</v>
      </c>
      <c r="AC685" t="s">
        <v>97</v>
      </c>
    </row>
    <row r="686" spans="1:29">
      <c r="A686" t="s">
        <v>1100</v>
      </c>
      <c r="B686" s="2">
        <v>46185</v>
      </c>
      <c r="C686" t="s">
        <v>30</v>
      </c>
      <c r="D686" t="s">
        <v>99</v>
      </c>
      <c r="E686" t="s">
        <v>50</v>
      </c>
      <c r="F686" t="s">
        <v>89</v>
      </c>
      <c r="G686" t="s">
        <v>343</v>
      </c>
      <c r="H686" t="s">
        <v>90</v>
      </c>
      <c r="I686" t="s">
        <v>740</v>
      </c>
      <c r="J686" t="s">
        <v>3151</v>
      </c>
      <c r="K686" t="s">
        <v>116</v>
      </c>
      <c r="L686" t="s">
        <v>187</v>
      </c>
      <c r="M686" t="s">
        <v>39</v>
      </c>
      <c r="N686" t="s">
        <v>94</v>
      </c>
      <c r="O686" s="4">
        <v>4</v>
      </c>
      <c r="P686" s="4">
        <v>6</v>
      </c>
      <c r="Q686" t="s">
        <v>138</v>
      </c>
      <c r="R686" s="2">
        <v>46175</v>
      </c>
      <c r="S686" s="4">
        <v>28</v>
      </c>
      <c r="T686" s="3">
        <v>81000000</v>
      </c>
      <c r="U686" t="s">
        <v>42</v>
      </c>
      <c r="V686" t="s">
        <v>59</v>
      </c>
      <c r="W686" t="s">
        <v>95</v>
      </c>
      <c r="Y686" t="s">
        <v>108</v>
      </c>
      <c r="Z686" t="s">
        <v>3179</v>
      </c>
      <c r="AA686" t="s">
        <v>62</v>
      </c>
      <c r="AB686" t="s">
        <v>97</v>
      </c>
      <c r="AC686" t="s">
        <v>62</v>
      </c>
    </row>
    <row r="687" spans="1:29">
      <c r="A687" t="s">
        <v>1101</v>
      </c>
      <c r="B687" s="2">
        <v>46199</v>
      </c>
      <c r="C687" t="s">
        <v>30</v>
      </c>
      <c r="D687" t="s">
        <v>49</v>
      </c>
      <c r="E687" t="s">
        <v>100</v>
      </c>
      <c r="F687" t="s">
        <v>146</v>
      </c>
      <c r="G687" t="s">
        <v>237</v>
      </c>
      <c r="H687" t="s">
        <v>148</v>
      </c>
      <c r="I687" t="s">
        <v>851</v>
      </c>
      <c r="J687" t="s">
        <v>3163</v>
      </c>
      <c r="K687" t="s">
        <v>37</v>
      </c>
      <c r="L687" t="s">
        <v>68</v>
      </c>
      <c r="M687" t="s">
        <v>56</v>
      </c>
      <c r="N687" t="s">
        <v>40</v>
      </c>
      <c r="O687" s="4">
        <v>2</v>
      </c>
      <c r="P687" s="4">
        <v>7</v>
      </c>
      <c r="Q687" t="s">
        <v>107</v>
      </c>
      <c r="R687" s="2">
        <v>46199</v>
      </c>
      <c r="S687" s="4">
        <v>4</v>
      </c>
      <c r="T687" s="3">
        <v>131000000</v>
      </c>
      <c r="U687" t="s">
        <v>42</v>
      </c>
      <c r="V687" t="s">
        <v>43</v>
      </c>
      <c r="W687" t="s">
        <v>44</v>
      </c>
      <c r="Y687" t="s">
        <v>180</v>
      </c>
      <c r="Z687" t="s">
        <v>3178</v>
      </c>
      <c r="AA687" t="s">
        <v>109</v>
      </c>
      <c r="AB687" t="s">
        <v>87</v>
      </c>
      <c r="AC687" t="s">
        <v>109</v>
      </c>
    </row>
    <row r="688" spans="1:29">
      <c r="A688" t="s">
        <v>1102</v>
      </c>
      <c r="B688" s="2">
        <v>46181</v>
      </c>
      <c r="C688" t="s">
        <v>30</v>
      </c>
      <c r="D688" t="s">
        <v>99</v>
      </c>
      <c r="E688" t="s">
        <v>50</v>
      </c>
      <c r="F688" t="s">
        <v>89</v>
      </c>
      <c r="G688" t="s">
        <v>270</v>
      </c>
      <c r="H688" t="s">
        <v>66</v>
      </c>
      <c r="I688" t="s">
        <v>344</v>
      </c>
      <c r="J688" t="s">
        <v>3057</v>
      </c>
      <c r="K688" t="s">
        <v>56</v>
      </c>
      <c r="L688" t="s">
        <v>38</v>
      </c>
      <c r="M688" t="s">
        <v>129</v>
      </c>
      <c r="N688" t="s">
        <v>130</v>
      </c>
      <c r="O688" s="4">
        <v>5</v>
      </c>
      <c r="P688" s="4">
        <v>8</v>
      </c>
      <c r="Q688" t="s">
        <v>69</v>
      </c>
      <c r="R688" s="2">
        <v>46179</v>
      </c>
      <c r="S688" s="4">
        <v>24</v>
      </c>
      <c r="T688" s="3">
        <v>324000000</v>
      </c>
      <c r="U688" t="s">
        <v>42</v>
      </c>
      <c r="V688" t="s">
        <v>143</v>
      </c>
      <c r="W688" t="s">
        <v>144</v>
      </c>
      <c r="Y688" t="s">
        <v>334</v>
      </c>
      <c r="Z688" t="s">
        <v>3179</v>
      </c>
      <c r="AA688" t="s">
        <v>62</v>
      </c>
      <c r="AB688" t="s">
        <v>97</v>
      </c>
      <c r="AC688" t="s">
        <v>62</v>
      </c>
    </row>
    <row r="689" spans="1:29">
      <c r="A689" t="s">
        <v>1103</v>
      </c>
      <c r="B689" s="2">
        <v>46176</v>
      </c>
      <c r="C689" t="s">
        <v>30</v>
      </c>
      <c r="D689" t="s">
        <v>134</v>
      </c>
      <c r="E689" t="s">
        <v>75</v>
      </c>
      <c r="F689" t="s">
        <v>76</v>
      </c>
      <c r="G689" t="s">
        <v>184</v>
      </c>
      <c r="H689" t="s">
        <v>185</v>
      </c>
      <c r="I689" t="s">
        <v>354</v>
      </c>
      <c r="J689" t="s">
        <v>3061</v>
      </c>
      <c r="K689" t="s">
        <v>92</v>
      </c>
      <c r="L689" t="s">
        <v>38</v>
      </c>
      <c r="M689" t="s">
        <v>129</v>
      </c>
      <c r="N689" t="s">
        <v>57</v>
      </c>
      <c r="O689" s="4">
        <v>3</v>
      </c>
      <c r="P689" s="4">
        <v>4</v>
      </c>
      <c r="Q689" t="s">
        <v>58</v>
      </c>
      <c r="R689" s="2">
        <v>46169</v>
      </c>
      <c r="S689" s="4">
        <v>34</v>
      </c>
      <c r="T689" s="3">
        <v>124000000</v>
      </c>
      <c r="U689" t="s">
        <v>177</v>
      </c>
      <c r="V689" t="s">
        <v>59</v>
      </c>
      <c r="W689" t="s">
        <v>157</v>
      </c>
      <c r="X689" t="s">
        <v>179</v>
      </c>
      <c r="Y689" t="s">
        <v>165</v>
      </c>
      <c r="Z689" t="s">
        <v>3177</v>
      </c>
      <c r="AA689" t="s">
        <v>86</v>
      </c>
      <c r="AB689" t="s">
        <v>63</v>
      </c>
      <c r="AC689" t="s">
        <v>86</v>
      </c>
    </row>
    <row r="690" spans="1:29">
      <c r="A690" t="s">
        <v>1104</v>
      </c>
      <c r="B690" s="2">
        <v>46183</v>
      </c>
      <c r="C690" t="s">
        <v>30</v>
      </c>
      <c r="D690" t="s">
        <v>99</v>
      </c>
      <c r="E690" t="s">
        <v>50</v>
      </c>
      <c r="F690" t="s">
        <v>89</v>
      </c>
      <c r="G690" t="s">
        <v>65</v>
      </c>
      <c r="H690" t="s">
        <v>90</v>
      </c>
      <c r="I690" t="s">
        <v>352</v>
      </c>
      <c r="J690" t="s">
        <v>3060</v>
      </c>
      <c r="K690" t="s">
        <v>56</v>
      </c>
      <c r="L690" t="s">
        <v>38</v>
      </c>
      <c r="M690" t="s">
        <v>56</v>
      </c>
      <c r="N690" t="s">
        <v>130</v>
      </c>
      <c r="O690" s="4">
        <v>5</v>
      </c>
      <c r="P690" s="4">
        <v>11</v>
      </c>
      <c r="Q690" t="s">
        <v>142</v>
      </c>
      <c r="R690" s="2">
        <v>46177</v>
      </c>
      <c r="S690" s="4">
        <v>26</v>
      </c>
      <c r="T690" s="3">
        <v>391000000</v>
      </c>
      <c r="U690" t="s">
        <v>42</v>
      </c>
      <c r="V690" t="s">
        <v>143</v>
      </c>
      <c r="W690" t="s">
        <v>144</v>
      </c>
      <c r="X690" t="s">
        <v>117</v>
      </c>
      <c r="Y690" t="s">
        <v>254</v>
      </c>
      <c r="Z690" t="s">
        <v>3179</v>
      </c>
      <c r="AA690" t="s">
        <v>62</v>
      </c>
      <c r="AB690" t="s">
        <v>97</v>
      </c>
      <c r="AC690" t="s">
        <v>62</v>
      </c>
    </row>
    <row r="691" spans="1:29">
      <c r="A691" t="s">
        <v>1105</v>
      </c>
      <c r="B691" s="2">
        <v>46175</v>
      </c>
      <c r="C691" t="s">
        <v>30</v>
      </c>
      <c r="D691" t="s">
        <v>134</v>
      </c>
      <c r="E691" t="s">
        <v>152</v>
      </c>
      <c r="F691" t="s">
        <v>221</v>
      </c>
      <c r="G691" t="s">
        <v>328</v>
      </c>
      <c r="H691" t="s">
        <v>207</v>
      </c>
      <c r="I691" t="s">
        <v>637</v>
      </c>
      <c r="J691" t="s">
        <v>3137</v>
      </c>
      <c r="K691" t="s">
        <v>105</v>
      </c>
      <c r="L691" t="s">
        <v>80</v>
      </c>
      <c r="M691" t="s">
        <v>39</v>
      </c>
      <c r="N691" t="s">
        <v>82</v>
      </c>
      <c r="O691" s="4">
        <v>1</v>
      </c>
      <c r="P691" s="4">
        <v>9</v>
      </c>
      <c r="Q691" t="s">
        <v>69</v>
      </c>
      <c r="R691" s="2">
        <v>46171</v>
      </c>
      <c r="S691" s="4">
        <v>32</v>
      </c>
      <c r="T691" s="3">
        <v>166000000</v>
      </c>
      <c r="U691" t="s">
        <v>42</v>
      </c>
      <c r="V691" t="s">
        <v>43</v>
      </c>
      <c r="W691" t="s">
        <v>359</v>
      </c>
      <c r="Y691" t="s">
        <v>330</v>
      </c>
      <c r="Z691" t="s">
        <v>3178</v>
      </c>
      <c r="AA691" t="s">
        <v>159</v>
      </c>
      <c r="AB691" t="s">
        <v>87</v>
      </c>
      <c r="AC691" t="s">
        <v>159</v>
      </c>
    </row>
    <row r="692" spans="1:29">
      <c r="A692" t="s">
        <v>1106</v>
      </c>
      <c r="B692" s="2">
        <v>46177</v>
      </c>
      <c r="C692" t="s">
        <v>30</v>
      </c>
      <c r="D692" t="s">
        <v>134</v>
      </c>
      <c r="E692" t="s">
        <v>120</v>
      </c>
      <c r="F692" t="s">
        <v>167</v>
      </c>
      <c r="G692" t="s">
        <v>224</v>
      </c>
      <c r="H692" t="s">
        <v>300</v>
      </c>
      <c r="I692" t="s">
        <v>430</v>
      </c>
      <c r="J692" t="s">
        <v>3082</v>
      </c>
      <c r="K692" t="s">
        <v>92</v>
      </c>
      <c r="L692" t="s">
        <v>80</v>
      </c>
      <c r="M692" t="s">
        <v>39</v>
      </c>
      <c r="N692" t="s">
        <v>94</v>
      </c>
      <c r="O692" s="4">
        <v>4</v>
      </c>
      <c r="P692" s="4">
        <v>5</v>
      </c>
      <c r="Q692" t="s">
        <v>58</v>
      </c>
      <c r="R692" s="2">
        <v>46169</v>
      </c>
      <c r="S692" s="4">
        <v>34</v>
      </c>
      <c r="T692" s="3">
        <v>100000000</v>
      </c>
      <c r="U692" t="s">
        <v>42</v>
      </c>
      <c r="V692" t="s">
        <v>59</v>
      </c>
      <c r="W692" t="s">
        <v>267</v>
      </c>
      <c r="X692" t="s">
        <v>117</v>
      </c>
      <c r="Y692" t="s">
        <v>228</v>
      </c>
      <c r="Z692" t="s">
        <v>3179</v>
      </c>
      <c r="AA692" t="s">
        <v>97</v>
      </c>
      <c r="AB692" t="s">
        <v>97</v>
      </c>
      <c r="AC692" t="s">
        <v>97</v>
      </c>
    </row>
    <row r="693" spans="1:29">
      <c r="A693" t="s">
        <v>1107</v>
      </c>
      <c r="B693" s="2">
        <v>46186</v>
      </c>
      <c r="C693" t="s">
        <v>30</v>
      </c>
      <c r="D693" t="s">
        <v>99</v>
      </c>
      <c r="E693" t="s">
        <v>111</v>
      </c>
      <c r="F693" t="s">
        <v>112</v>
      </c>
      <c r="G693" t="s">
        <v>113</v>
      </c>
      <c r="H693" t="s">
        <v>191</v>
      </c>
      <c r="I693" t="s">
        <v>606</v>
      </c>
      <c r="J693" t="s">
        <v>3131</v>
      </c>
      <c r="K693" t="s">
        <v>56</v>
      </c>
      <c r="L693" t="s">
        <v>187</v>
      </c>
      <c r="M693" t="s">
        <v>106</v>
      </c>
      <c r="N693" t="s">
        <v>130</v>
      </c>
      <c r="O693" s="4">
        <v>5</v>
      </c>
      <c r="P693" s="4">
        <v>13</v>
      </c>
      <c r="Q693" t="s">
        <v>69</v>
      </c>
      <c r="R693" s="2">
        <v>46185</v>
      </c>
      <c r="S693" s="4">
        <v>18</v>
      </c>
      <c r="T693" s="3">
        <v>328000000</v>
      </c>
      <c r="U693" t="s">
        <v>42</v>
      </c>
      <c r="V693" t="s">
        <v>59</v>
      </c>
      <c r="W693" t="s">
        <v>252</v>
      </c>
      <c r="Y693" t="s">
        <v>254</v>
      </c>
      <c r="Z693" t="s">
        <v>3179</v>
      </c>
      <c r="AA693" t="s">
        <v>118</v>
      </c>
      <c r="AB693" t="s">
        <v>97</v>
      </c>
      <c r="AC693" t="s">
        <v>118</v>
      </c>
    </row>
    <row r="694" spans="1:29">
      <c r="A694" t="s">
        <v>1108</v>
      </c>
      <c r="B694" s="2">
        <v>46194</v>
      </c>
      <c r="C694" t="s">
        <v>30</v>
      </c>
      <c r="D694" t="s">
        <v>74</v>
      </c>
      <c r="E694" t="s">
        <v>172</v>
      </c>
      <c r="F694" t="s">
        <v>277</v>
      </c>
      <c r="G694" t="s">
        <v>476</v>
      </c>
      <c r="H694" t="s">
        <v>175</v>
      </c>
      <c r="I694" t="s">
        <v>956</v>
      </c>
      <c r="J694" t="s">
        <v>3166</v>
      </c>
      <c r="K694" t="s">
        <v>56</v>
      </c>
      <c r="L694" t="s">
        <v>187</v>
      </c>
      <c r="M694" t="s">
        <v>39</v>
      </c>
      <c r="N694" t="s">
        <v>94</v>
      </c>
      <c r="O694" s="4">
        <v>4</v>
      </c>
      <c r="P694" s="4">
        <v>8</v>
      </c>
      <c r="Q694" t="s">
        <v>41</v>
      </c>
      <c r="R694" s="2">
        <v>46187</v>
      </c>
      <c r="S694" s="4">
        <v>16</v>
      </c>
      <c r="T694" s="3">
        <v>430000000</v>
      </c>
      <c r="U694" t="s">
        <v>42</v>
      </c>
      <c r="V694" t="s">
        <v>59</v>
      </c>
      <c r="W694" t="s">
        <v>188</v>
      </c>
      <c r="Y694" t="s">
        <v>228</v>
      </c>
      <c r="Z694" t="s">
        <v>3179</v>
      </c>
      <c r="AA694" t="s">
        <v>181</v>
      </c>
      <c r="AB694" t="s">
        <v>97</v>
      </c>
      <c r="AC694" t="s">
        <v>181</v>
      </c>
    </row>
    <row r="695" spans="1:29">
      <c r="A695" t="s">
        <v>1109</v>
      </c>
      <c r="B695" s="2">
        <v>46181</v>
      </c>
      <c r="C695" t="s">
        <v>30</v>
      </c>
      <c r="D695" t="s">
        <v>99</v>
      </c>
      <c r="E695" t="s">
        <v>100</v>
      </c>
      <c r="F695" t="s">
        <v>146</v>
      </c>
      <c r="G695" t="s">
        <v>102</v>
      </c>
      <c r="H695" t="s">
        <v>148</v>
      </c>
      <c r="I695" t="s">
        <v>315</v>
      </c>
      <c r="J695" t="s">
        <v>3049</v>
      </c>
      <c r="K695" t="s">
        <v>37</v>
      </c>
      <c r="L695" t="s">
        <v>150</v>
      </c>
      <c r="M695" t="s">
        <v>129</v>
      </c>
      <c r="N695" t="s">
        <v>40</v>
      </c>
      <c r="O695" s="4">
        <v>2</v>
      </c>
      <c r="P695" s="4">
        <v>14</v>
      </c>
      <c r="Q695" t="s">
        <v>83</v>
      </c>
      <c r="R695" s="2">
        <v>46175</v>
      </c>
      <c r="S695" s="4">
        <v>28</v>
      </c>
      <c r="T695" s="3">
        <v>69000000</v>
      </c>
      <c r="U695" t="s">
        <v>42</v>
      </c>
      <c r="V695" t="s">
        <v>43</v>
      </c>
      <c r="W695" t="s">
        <v>44</v>
      </c>
      <c r="Y695" t="s">
        <v>281</v>
      </c>
      <c r="Z695" t="s">
        <v>3180</v>
      </c>
      <c r="AA695" t="s">
        <v>109</v>
      </c>
      <c r="AB695" t="s">
        <v>193</v>
      </c>
      <c r="AC695" t="s">
        <v>109</v>
      </c>
    </row>
    <row r="696" spans="1:29">
      <c r="A696" t="s">
        <v>1110</v>
      </c>
      <c r="B696" s="2">
        <v>46183</v>
      </c>
      <c r="C696" t="s">
        <v>30</v>
      </c>
      <c r="D696" t="s">
        <v>99</v>
      </c>
      <c r="E696" t="s">
        <v>32</v>
      </c>
      <c r="F696" t="s">
        <v>273</v>
      </c>
      <c r="G696" t="s">
        <v>257</v>
      </c>
      <c r="H696" t="s">
        <v>303</v>
      </c>
      <c r="I696" t="s">
        <v>483</v>
      </c>
      <c r="J696" t="s">
        <v>3100</v>
      </c>
      <c r="K696" t="s">
        <v>92</v>
      </c>
      <c r="L696" t="s">
        <v>55</v>
      </c>
      <c r="M696" t="s">
        <v>164</v>
      </c>
      <c r="N696" t="s">
        <v>57</v>
      </c>
      <c r="O696" s="4">
        <v>3</v>
      </c>
      <c r="P696" s="4">
        <v>5</v>
      </c>
      <c r="Q696" t="s">
        <v>41</v>
      </c>
      <c r="R696" s="2">
        <v>46181</v>
      </c>
      <c r="S696" s="4">
        <v>22</v>
      </c>
      <c r="T696" s="3">
        <v>54000000</v>
      </c>
      <c r="U696" t="s">
        <v>42</v>
      </c>
      <c r="V696" t="s">
        <v>43</v>
      </c>
      <c r="W696" t="s">
        <v>203</v>
      </c>
      <c r="Y696" t="s">
        <v>72</v>
      </c>
      <c r="Z696" t="s">
        <v>3177</v>
      </c>
      <c r="AA696" t="s">
        <v>46</v>
      </c>
      <c r="AB696" t="s">
        <v>63</v>
      </c>
      <c r="AC696" t="s">
        <v>46</v>
      </c>
    </row>
    <row r="697" spans="1:29">
      <c r="A697" t="s">
        <v>1111</v>
      </c>
      <c r="B697" s="2">
        <v>46186</v>
      </c>
      <c r="C697" t="s">
        <v>30</v>
      </c>
      <c r="D697" t="s">
        <v>99</v>
      </c>
      <c r="E697" t="s">
        <v>100</v>
      </c>
      <c r="F697" t="s">
        <v>101</v>
      </c>
      <c r="G697" t="s">
        <v>313</v>
      </c>
      <c r="H697" t="s">
        <v>201</v>
      </c>
      <c r="I697" t="s">
        <v>416</v>
      </c>
      <c r="J697" t="s">
        <v>3078</v>
      </c>
      <c r="K697" t="s">
        <v>37</v>
      </c>
      <c r="L697" t="s">
        <v>55</v>
      </c>
      <c r="M697" t="s">
        <v>106</v>
      </c>
      <c r="N697" t="s">
        <v>130</v>
      </c>
      <c r="O697" s="4">
        <v>5</v>
      </c>
      <c r="P697" s="4">
        <v>18</v>
      </c>
      <c r="Q697" t="s">
        <v>41</v>
      </c>
      <c r="R697" s="2">
        <v>46180</v>
      </c>
      <c r="S697" s="4">
        <v>23</v>
      </c>
      <c r="T697" s="3">
        <v>74000000</v>
      </c>
      <c r="U697" t="s">
        <v>42</v>
      </c>
      <c r="V697" t="s">
        <v>143</v>
      </c>
      <c r="W697" t="s">
        <v>131</v>
      </c>
      <c r="X697" t="s">
        <v>117</v>
      </c>
      <c r="Y697" t="s">
        <v>254</v>
      </c>
      <c r="Z697" t="s">
        <v>3179</v>
      </c>
      <c r="AA697" t="s">
        <v>109</v>
      </c>
      <c r="AB697" t="s">
        <v>97</v>
      </c>
      <c r="AC697" t="s">
        <v>109</v>
      </c>
    </row>
    <row r="698" spans="1:29">
      <c r="A698" t="s">
        <v>1112</v>
      </c>
      <c r="B698" s="2">
        <v>46198</v>
      </c>
      <c r="C698" t="s">
        <v>30</v>
      </c>
      <c r="D698" t="s">
        <v>49</v>
      </c>
      <c r="E698" t="s">
        <v>50</v>
      </c>
      <c r="F698" t="s">
        <v>89</v>
      </c>
      <c r="G698" t="s">
        <v>234</v>
      </c>
      <c r="H698" t="s">
        <v>66</v>
      </c>
      <c r="I698" t="s">
        <v>849</v>
      </c>
      <c r="J698" t="s">
        <v>3162</v>
      </c>
      <c r="K698" t="s">
        <v>56</v>
      </c>
      <c r="L698" t="s">
        <v>187</v>
      </c>
      <c r="M698" t="s">
        <v>93</v>
      </c>
      <c r="N698" t="s">
        <v>130</v>
      </c>
      <c r="O698" s="4">
        <v>5</v>
      </c>
      <c r="P698" s="4">
        <v>9</v>
      </c>
      <c r="Q698" t="s">
        <v>142</v>
      </c>
      <c r="R698" s="2">
        <v>46190</v>
      </c>
      <c r="S698" s="4">
        <v>13</v>
      </c>
      <c r="T698" s="3">
        <v>398000000</v>
      </c>
      <c r="U698" t="s">
        <v>42</v>
      </c>
      <c r="V698" t="s">
        <v>70</v>
      </c>
      <c r="W698" t="s">
        <v>355</v>
      </c>
      <c r="X698" t="s">
        <v>117</v>
      </c>
      <c r="Y698" t="s">
        <v>254</v>
      </c>
      <c r="Z698" t="s">
        <v>3179</v>
      </c>
      <c r="AA698" t="s">
        <v>62</v>
      </c>
      <c r="AB698" t="s">
        <v>97</v>
      </c>
      <c r="AC698" t="s">
        <v>62</v>
      </c>
    </row>
    <row r="699" spans="1:29">
      <c r="A699" t="s">
        <v>1113</v>
      </c>
      <c r="B699" s="2">
        <v>46194</v>
      </c>
      <c r="C699" t="s">
        <v>30</v>
      </c>
      <c r="D699" t="s">
        <v>74</v>
      </c>
      <c r="E699" t="s">
        <v>75</v>
      </c>
      <c r="F699" t="s">
        <v>161</v>
      </c>
      <c r="G699" t="s">
        <v>77</v>
      </c>
      <c r="H699" t="s">
        <v>185</v>
      </c>
      <c r="I699" t="s">
        <v>542</v>
      </c>
      <c r="J699" t="s">
        <v>3115</v>
      </c>
      <c r="K699" t="s">
        <v>37</v>
      </c>
      <c r="L699" t="s">
        <v>169</v>
      </c>
      <c r="M699" t="s">
        <v>39</v>
      </c>
      <c r="N699" t="s">
        <v>57</v>
      </c>
      <c r="O699" s="4">
        <v>3</v>
      </c>
      <c r="P699" s="4">
        <v>5</v>
      </c>
      <c r="Q699" t="s">
        <v>142</v>
      </c>
      <c r="R699" s="2">
        <v>46189</v>
      </c>
      <c r="S699" s="4">
        <v>14</v>
      </c>
      <c r="T699" s="3">
        <v>251000000</v>
      </c>
      <c r="U699" t="s">
        <v>42</v>
      </c>
      <c r="V699" t="s">
        <v>59</v>
      </c>
      <c r="W699" t="s">
        <v>203</v>
      </c>
      <c r="Y699" t="s">
        <v>158</v>
      </c>
      <c r="Z699" t="s">
        <v>3177</v>
      </c>
      <c r="AA699" t="s">
        <v>86</v>
      </c>
      <c r="AB699" t="s">
        <v>63</v>
      </c>
      <c r="AC699" t="s">
        <v>86</v>
      </c>
    </row>
    <row r="700" spans="1:29">
      <c r="A700" t="s">
        <v>1114</v>
      </c>
      <c r="B700" s="2">
        <v>46192</v>
      </c>
      <c r="C700" t="s">
        <v>30</v>
      </c>
      <c r="D700" t="s">
        <v>74</v>
      </c>
      <c r="E700" t="s">
        <v>75</v>
      </c>
      <c r="F700" t="s">
        <v>161</v>
      </c>
      <c r="G700" t="s">
        <v>77</v>
      </c>
      <c r="H700" t="s">
        <v>388</v>
      </c>
      <c r="I700" t="s">
        <v>540</v>
      </c>
      <c r="J700" t="s">
        <v>3114</v>
      </c>
      <c r="K700" t="s">
        <v>105</v>
      </c>
      <c r="L700" t="s">
        <v>187</v>
      </c>
      <c r="M700" t="s">
        <v>106</v>
      </c>
      <c r="N700" t="s">
        <v>57</v>
      </c>
      <c r="O700" s="4">
        <v>3</v>
      </c>
      <c r="P700" s="4">
        <v>10</v>
      </c>
      <c r="Q700" t="s">
        <v>138</v>
      </c>
      <c r="R700" s="2">
        <v>46183</v>
      </c>
      <c r="S700" s="4">
        <v>20</v>
      </c>
      <c r="T700" s="3">
        <v>264000000</v>
      </c>
      <c r="U700" t="s">
        <v>42</v>
      </c>
      <c r="V700" t="s">
        <v>59</v>
      </c>
      <c r="W700" t="s">
        <v>60</v>
      </c>
      <c r="Y700" t="s">
        <v>72</v>
      </c>
      <c r="Z700" t="s">
        <v>3177</v>
      </c>
      <c r="AA700" t="s">
        <v>86</v>
      </c>
      <c r="AB700" t="s">
        <v>63</v>
      </c>
      <c r="AC700" t="s">
        <v>86</v>
      </c>
    </row>
    <row r="701" spans="1:29">
      <c r="A701" t="s">
        <v>1115</v>
      </c>
      <c r="B701" s="2">
        <v>46177</v>
      </c>
      <c r="C701" t="s">
        <v>30</v>
      </c>
      <c r="D701" t="s">
        <v>134</v>
      </c>
      <c r="E701" t="s">
        <v>100</v>
      </c>
      <c r="F701" t="s">
        <v>146</v>
      </c>
      <c r="G701" t="s">
        <v>212</v>
      </c>
      <c r="H701" t="s">
        <v>148</v>
      </c>
      <c r="I701" t="s">
        <v>724</v>
      </c>
      <c r="J701" t="s">
        <v>3148</v>
      </c>
      <c r="K701" t="s">
        <v>56</v>
      </c>
      <c r="L701" t="s">
        <v>80</v>
      </c>
      <c r="M701" t="s">
        <v>164</v>
      </c>
      <c r="N701" t="s">
        <v>57</v>
      </c>
      <c r="O701" s="4">
        <v>3</v>
      </c>
      <c r="P701" s="4">
        <v>6</v>
      </c>
      <c r="Q701" t="s">
        <v>69</v>
      </c>
      <c r="R701" s="2">
        <v>46173</v>
      </c>
      <c r="S701" s="4">
        <v>30</v>
      </c>
      <c r="T701" s="3">
        <v>259000000</v>
      </c>
      <c r="U701" t="s">
        <v>42</v>
      </c>
      <c r="V701" t="s">
        <v>70</v>
      </c>
      <c r="W701" t="s">
        <v>157</v>
      </c>
      <c r="Y701" t="s">
        <v>158</v>
      </c>
      <c r="Z701" t="s">
        <v>3177</v>
      </c>
      <c r="AA701" t="s">
        <v>109</v>
      </c>
      <c r="AB701" t="s">
        <v>63</v>
      </c>
      <c r="AC701" t="s">
        <v>109</v>
      </c>
    </row>
    <row r="702" spans="1:29">
      <c r="A702" t="s">
        <v>1116</v>
      </c>
      <c r="B702" s="2">
        <v>46189</v>
      </c>
      <c r="C702" t="s">
        <v>30</v>
      </c>
      <c r="D702" t="s">
        <v>74</v>
      </c>
      <c r="E702" t="s">
        <v>152</v>
      </c>
      <c r="F702" t="s">
        <v>153</v>
      </c>
      <c r="G702" t="s">
        <v>294</v>
      </c>
      <c r="H702" t="s">
        <v>207</v>
      </c>
      <c r="I702" t="s">
        <v>637</v>
      </c>
      <c r="J702" t="s">
        <v>3137</v>
      </c>
      <c r="K702" t="s">
        <v>116</v>
      </c>
      <c r="L702" t="s">
        <v>38</v>
      </c>
      <c r="M702" t="s">
        <v>106</v>
      </c>
      <c r="N702" t="s">
        <v>94</v>
      </c>
      <c r="O702" s="4">
        <v>4</v>
      </c>
      <c r="P702" s="4">
        <v>13</v>
      </c>
      <c r="Q702" t="s">
        <v>142</v>
      </c>
      <c r="R702" s="2">
        <v>46187</v>
      </c>
      <c r="S702" s="4">
        <v>16</v>
      </c>
      <c r="T702" s="3">
        <v>164000000</v>
      </c>
      <c r="U702" t="s">
        <v>42</v>
      </c>
      <c r="V702" t="s">
        <v>70</v>
      </c>
      <c r="W702" t="s">
        <v>170</v>
      </c>
      <c r="Y702" t="s">
        <v>96</v>
      </c>
      <c r="Z702" t="s">
        <v>3179</v>
      </c>
      <c r="AA702" t="s">
        <v>159</v>
      </c>
      <c r="AB702" t="s">
        <v>97</v>
      </c>
      <c r="AC702" t="s">
        <v>159</v>
      </c>
    </row>
    <row r="703" spans="1:29">
      <c r="A703" t="s">
        <v>1117</v>
      </c>
      <c r="B703" s="2">
        <v>46174</v>
      </c>
      <c r="C703" t="s">
        <v>30</v>
      </c>
      <c r="D703" t="s">
        <v>134</v>
      </c>
      <c r="E703" t="s">
        <v>111</v>
      </c>
      <c r="F703" t="s">
        <v>112</v>
      </c>
      <c r="G703" t="s">
        <v>265</v>
      </c>
      <c r="H703" t="s">
        <v>191</v>
      </c>
      <c r="I703" t="s">
        <v>449</v>
      </c>
      <c r="J703" t="s">
        <v>3089</v>
      </c>
      <c r="K703" t="s">
        <v>105</v>
      </c>
      <c r="L703" t="s">
        <v>38</v>
      </c>
      <c r="M703" t="s">
        <v>164</v>
      </c>
      <c r="N703" t="s">
        <v>130</v>
      </c>
      <c r="O703" s="4">
        <v>5</v>
      </c>
      <c r="P703" s="4">
        <v>6</v>
      </c>
      <c r="Q703" t="s">
        <v>138</v>
      </c>
      <c r="R703" s="2">
        <v>46170</v>
      </c>
      <c r="S703" s="4">
        <v>33</v>
      </c>
      <c r="T703" s="3">
        <v>296000000</v>
      </c>
      <c r="U703" t="s">
        <v>426</v>
      </c>
      <c r="V703" t="s">
        <v>70</v>
      </c>
      <c r="W703" t="s">
        <v>144</v>
      </c>
      <c r="X703" t="s">
        <v>179</v>
      </c>
      <c r="Y703" t="s">
        <v>254</v>
      </c>
      <c r="Z703" t="s">
        <v>3179</v>
      </c>
      <c r="AA703" t="s">
        <v>118</v>
      </c>
      <c r="AB703" t="s">
        <v>97</v>
      </c>
      <c r="AC703" t="s">
        <v>118</v>
      </c>
    </row>
    <row r="704" spans="1:29">
      <c r="A704" t="s">
        <v>1118</v>
      </c>
      <c r="B704" s="2">
        <v>46194</v>
      </c>
      <c r="C704" t="s">
        <v>30</v>
      </c>
      <c r="D704" t="s">
        <v>74</v>
      </c>
      <c r="E704" t="s">
        <v>75</v>
      </c>
      <c r="F704" t="s">
        <v>161</v>
      </c>
      <c r="G704" t="s">
        <v>162</v>
      </c>
      <c r="H704" t="s">
        <v>78</v>
      </c>
      <c r="I704" t="s">
        <v>79</v>
      </c>
      <c r="J704" t="s">
        <v>3011</v>
      </c>
      <c r="K704" t="s">
        <v>56</v>
      </c>
      <c r="L704" t="s">
        <v>187</v>
      </c>
      <c r="M704" t="s">
        <v>106</v>
      </c>
      <c r="N704" t="s">
        <v>94</v>
      </c>
      <c r="O704" s="4">
        <v>4</v>
      </c>
      <c r="P704" s="4">
        <v>14</v>
      </c>
      <c r="Q704" t="s">
        <v>69</v>
      </c>
      <c r="R704" s="2">
        <v>46193</v>
      </c>
      <c r="S704" s="4">
        <v>10</v>
      </c>
      <c r="T704" s="3">
        <v>332000000</v>
      </c>
      <c r="U704" t="s">
        <v>42</v>
      </c>
      <c r="V704" t="s">
        <v>70</v>
      </c>
      <c r="W704" t="s">
        <v>267</v>
      </c>
      <c r="Y704" t="s">
        <v>96</v>
      </c>
      <c r="Z704" t="s">
        <v>3179</v>
      </c>
      <c r="AA704" t="s">
        <v>86</v>
      </c>
      <c r="AB704" t="s">
        <v>97</v>
      </c>
      <c r="AC704" t="s">
        <v>86</v>
      </c>
    </row>
    <row r="705" spans="1:29">
      <c r="A705" t="s">
        <v>1119</v>
      </c>
      <c r="B705" s="2">
        <v>46201</v>
      </c>
      <c r="C705" t="s">
        <v>30</v>
      </c>
      <c r="D705" t="s">
        <v>49</v>
      </c>
      <c r="E705" t="s">
        <v>172</v>
      </c>
      <c r="F705" t="s">
        <v>173</v>
      </c>
      <c r="G705" t="s">
        <v>338</v>
      </c>
      <c r="H705" t="s">
        <v>175</v>
      </c>
      <c r="I705" t="s">
        <v>358</v>
      </c>
      <c r="J705" t="s">
        <v>3062</v>
      </c>
      <c r="K705" t="s">
        <v>92</v>
      </c>
      <c r="L705" t="s">
        <v>80</v>
      </c>
      <c r="M705" t="s">
        <v>39</v>
      </c>
      <c r="N705" t="s">
        <v>40</v>
      </c>
      <c r="O705" s="4">
        <v>2</v>
      </c>
      <c r="P705" s="4">
        <v>5</v>
      </c>
      <c r="Q705" t="s">
        <v>138</v>
      </c>
      <c r="R705" s="2">
        <v>46201</v>
      </c>
      <c r="S705" s="4">
        <v>2</v>
      </c>
      <c r="T705" s="3">
        <v>103000000</v>
      </c>
      <c r="U705" t="s">
        <v>42</v>
      </c>
      <c r="V705" t="s">
        <v>43</v>
      </c>
      <c r="W705" t="s">
        <v>178</v>
      </c>
      <c r="Y705" t="s">
        <v>180</v>
      </c>
      <c r="Z705" t="s">
        <v>3178</v>
      </c>
      <c r="AA705" t="s">
        <v>181</v>
      </c>
      <c r="AB705" t="s">
        <v>87</v>
      </c>
      <c r="AC705" t="s">
        <v>181</v>
      </c>
    </row>
    <row r="706" spans="1:29">
      <c r="A706" t="s">
        <v>1120</v>
      </c>
      <c r="B706" s="2">
        <v>46175</v>
      </c>
      <c r="C706" t="s">
        <v>30</v>
      </c>
      <c r="D706" t="s">
        <v>134</v>
      </c>
      <c r="E706" t="s">
        <v>75</v>
      </c>
      <c r="F706" t="s">
        <v>76</v>
      </c>
      <c r="G706" t="s">
        <v>184</v>
      </c>
      <c r="H706" t="s">
        <v>185</v>
      </c>
      <c r="I706" t="s">
        <v>795</v>
      </c>
      <c r="J706" t="s">
        <v>3155</v>
      </c>
      <c r="K706" t="s">
        <v>56</v>
      </c>
      <c r="L706" t="s">
        <v>187</v>
      </c>
      <c r="M706" t="s">
        <v>56</v>
      </c>
      <c r="N706" t="s">
        <v>196</v>
      </c>
      <c r="O706" s="4">
        <v>7</v>
      </c>
      <c r="P706" s="4">
        <v>12</v>
      </c>
      <c r="Q706" t="s">
        <v>107</v>
      </c>
      <c r="R706" s="2">
        <v>46166</v>
      </c>
      <c r="S706" s="4">
        <v>37</v>
      </c>
      <c r="T706" s="3">
        <v>481000000</v>
      </c>
      <c r="U706" t="s">
        <v>196</v>
      </c>
      <c r="V706" t="s">
        <v>70</v>
      </c>
      <c r="W706" t="s">
        <v>243</v>
      </c>
      <c r="Y706" t="s">
        <v>210</v>
      </c>
      <c r="Z706" t="s">
        <v>3181</v>
      </c>
      <c r="AA706" t="s">
        <v>86</v>
      </c>
      <c r="AB706" t="s">
        <v>199</v>
      </c>
      <c r="AC706" t="s">
        <v>86</v>
      </c>
    </row>
    <row r="707" spans="1:29">
      <c r="A707" t="s">
        <v>1121</v>
      </c>
      <c r="B707" s="2">
        <v>46175</v>
      </c>
      <c r="C707" t="s">
        <v>30</v>
      </c>
      <c r="D707" t="s">
        <v>134</v>
      </c>
      <c r="E707" t="s">
        <v>100</v>
      </c>
      <c r="F707" t="s">
        <v>146</v>
      </c>
      <c r="G707" t="s">
        <v>147</v>
      </c>
      <c r="H707" t="s">
        <v>148</v>
      </c>
      <c r="I707" t="s">
        <v>490</v>
      </c>
      <c r="J707" t="s">
        <v>3103</v>
      </c>
      <c r="K707" t="s">
        <v>105</v>
      </c>
      <c r="L707" t="s">
        <v>80</v>
      </c>
      <c r="M707" t="s">
        <v>93</v>
      </c>
      <c r="N707" t="s">
        <v>130</v>
      </c>
      <c r="O707" s="4">
        <v>5</v>
      </c>
      <c r="P707" s="4">
        <v>14</v>
      </c>
      <c r="Q707" t="s">
        <v>142</v>
      </c>
      <c r="R707" s="2">
        <v>46170</v>
      </c>
      <c r="S707" s="4">
        <v>33</v>
      </c>
      <c r="T707" s="3">
        <v>347000000</v>
      </c>
      <c r="U707" t="s">
        <v>42</v>
      </c>
      <c r="V707" t="s">
        <v>143</v>
      </c>
      <c r="W707" t="s">
        <v>355</v>
      </c>
      <c r="Y707" t="s">
        <v>262</v>
      </c>
      <c r="Z707" t="s">
        <v>3179</v>
      </c>
      <c r="AA707" t="s">
        <v>109</v>
      </c>
      <c r="AB707" t="s">
        <v>97</v>
      </c>
      <c r="AC707" t="s">
        <v>109</v>
      </c>
    </row>
    <row r="708" spans="1:29">
      <c r="A708" t="s">
        <v>1122</v>
      </c>
      <c r="B708" s="2">
        <v>46179</v>
      </c>
      <c r="C708" t="s">
        <v>30</v>
      </c>
      <c r="D708" t="s">
        <v>134</v>
      </c>
      <c r="E708" t="s">
        <v>120</v>
      </c>
      <c r="F708" t="s">
        <v>121</v>
      </c>
      <c r="G708" t="s">
        <v>135</v>
      </c>
      <c r="H708" t="s">
        <v>123</v>
      </c>
      <c r="I708" t="s">
        <v>838</v>
      </c>
      <c r="J708" t="s">
        <v>3160</v>
      </c>
      <c r="K708" t="s">
        <v>116</v>
      </c>
      <c r="L708" t="s">
        <v>187</v>
      </c>
      <c r="M708" t="s">
        <v>56</v>
      </c>
      <c r="N708" t="s">
        <v>213</v>
      </c>
      <c r="O708" s="4">
        <v>6</v>
      </c>
      <c r="P708" s="4">
        <v>8</v>
      </c>
      <c r="Q708" t="s">
        <v>142</v>
      </c>
      <c r="R708" s="2">
        <v>46170</v>
      </c>
      <c r="S708" s="4">
        <v>33</v>
      </c>
      <c r="T708" s="3">
        <v>113000000</v>
      </c>
      <c r="U708" t="s">
        <v>214</v>
      </c>
      <c r="V708" t="s">
        <v>70</v>
      </c>
      <c r="W708" t="s">
        <v>248</v>
      </c>
      <c r="Y708" t="s">
        <v>249</v>
      </c>
      <c r="Z708" t="s">
        <v>3179</v>
      </c>
      <c r="AA708" t="s">
        <v>97</v>
      </c>
      <c r="AB708" t="s">
        <v>97</v>
      </c>
      <c r="AC708" t="s">
        <v>97</v>
      </c>
    </row>
    <row r="709" spans="1:29">
      <c r="A709" t="s">
        <v>1123</v>
      </c>
      <c r="B709" s="2">
        <v>46180</v>
      </c>
      <c r="C709" t="s">
        <v>30</v>
      </c>
      <c r="D709" t="s">
        <v>134</v>
      </c>
      <c r="E709" t="s">
        <v>172</v>
      </c>
      <c r="F709" t="s">
        <v>173</v>
      </c>
      <c r="G709" t="s">
        <v>338</v>
      </c>
      <c r="H709" t="s">
        <v>317</v>
      </c>
      <c r="I709" t="s">
        <v>1124</v>
      </c>
      <c r="J709" t="s">
        <v>3173</v>
      </c>
      <c r="K709" t="s">
        <v>56</v>
      </c>
      <c r="L709" t="s">
        <v>80</v>
      </c>
      <c r="M709" t="s">
        <v>56</v>
      </c>
      <c r="N709" t="s">
        <v>213</v>
      </c>
      <c r="O709" s="4">
        <v>6</v>
      </c>
      <c r="P709" s="4">
        <v>7</v>
      </c>
      <c r="Q709" t="s">
        <v>107</v>
      </c>
      <c r="R709" s="2">
        <v>46178</v>
      </c>
      <c r="S709" s="4">
        <v>25</v>
      </c>
      <c r="T709" s="3">
        <v>189000000</v>
      </c>
      <c r="U709" t="s">
        <v>214</v>
      </c>
      <c r="V709" t="s">
        <v>70</v>
      </c>
      <c r="W709" t="s">
        <v>438</v>
      </c>
      <c r="Y709" t="s">
        <v>216</v>
      </c>
      <c r="Z709" t="s">
        <v>3179</v>
      </c>
      <c r="AA709" t="s">
        <v>181</v>
      </c>
      <c r="AB709" t="s">
        <v>97</v>
      </c>
      <c r="AC709" t="s">
        <v>181</v>
      </c>
    </row>
    <row r="710" spans="1:29">
      <c r="A710" t="s">
        <v>1125</v>
      </c>
      <c r="B710" s="2">
        <v>46179</v>
      </c>
      <c r="C710" t="s">
        <v>30</v>
      </c>
      <c r="D710" t="s">
        <v>134</v>
      </c>
      <c r="E710" t="s">
        <v>152</v>
      </c>
      <c r="F710" t="s">
        <v>153</v>
      </c>
      <c r="G710" t="s">
        <v>328</v>
      </c>
      <c r="H710" t="s">
        <v>207</v>
      </c>
      <c r="I710" t="s">
        <v>571</v>
      </c>
      <c r="J710" t="s">
        <v>3122</v>
      </c>
      <c r="K710" t="s">
        <v>37</v>
      </c>
      <c r="L710" t="s">
        <v>150</v>
      </c>
      <c r="M710" t="s">
        <v>39</v>
      </c>
      <c r="N710" t="s">
        <v>40</v>
      </c>
      <c r="O710" s="4">
        <v>2</v>
      </c>
      <c r="P710" s="4">
        <v>17</v>
      </c>
      <c r="Q710" t="s">
        <v>107</v>
      </c>
      <c r="R710" s="2">
        <v>46170</v>
      </c>
      <c r="S710" s="4">
        <v>33</v>
      </c>
      <c r="T710" s="3">
        <v>142000000</v>
      </c>
      <c r="U710" t="s">
        <v>42</v>
      </c>
      <c r="V710" t="s">
        <v>43</v>
      </c>
      <c r="W710" t="s">
        <v>239</v>
      </c>
      <c r="Y710" t="s">
        <v>281</v>
      </c>
      <c r="Z710" t="s">
        <v>3180</v>
      </c>
      <c r="AA710" t="s">
        <v>159</v>
      </c>
      <c r="AB710" t="s">
        <v>193</v>
      </c>
      <c r="AC710" t="s">
        <v>159</v>
      </c>
    </row>
    <row r="711" spans="1:29">
      <c r="A711" t="s">
        <v>1126</v>
      </c>
      <c r="B711" s="2">
        <v>46174</v>
      </c>
      <c r="C711" t="s">
        <v>30</v>
      </c>
      <c r="D711" t="s">
        <v>134</v>
      </c>
      <c r="E711" t="s">
        <v>111</v>
      </c>
      <c r="F711" t="s">
        <v>190</v>
      </c>
      <c r="G711" t="s">
        <v>251</v>
      </c>
      <c r="H711" t="s">
        <v>127</v>
      </c>
      <c r="I711" t="s">
        <v>461</v>
      </c>
      <c r="J711" t="s">
        <v>3094</v>
      </c>
      <c r="K711" t="s">
        <v>37</v>
      </c>
      <c r="L711" t="s">
        <v>38</v>
      </c>
      <c r="M711" t="s">
        <v>106</v>
      </c>
      <c r="N711" t="s">
        <v>40</v>
      </c>
      <c r="O711" s="4">
        <v>2</v>
      </c>
      <c r="P711" s="4">
        <v>5</v>
      </c>
      <c r="Q711" t="s">
        <v>69</v>
      </c>
      <c r="R711" s="2">
        <v>46172</v>
      </c>
      <c r="S711" s="4">
        <v>31</v>
      </c>
      <c r="T711" s="3">
        <v>224000000</v>
      </c>
      <c r="U711" t="s">
        <v>42</v>
      </c>
      <c r="V711" t="s">
        <v>43</v>
      </c>
      <c r="W711" t="s">
        <v>239</v>
      </c>
      <c r="Y711" t="s">
        <v>180</v>
      </c>
      <c r="Z711" t="s">
        <v>3178</v>
      </c>
      <c r="AA711" t="s">
        <v>118</v>
      </c>
      <c r="AB711" t="s">
        <v>87</v>
      </c>
      <c r="AC711" t="s">
        <v>118</v>
      </c>
    </row>
    <row r="712" spans="1:29">
      <c r="A712" t="s">
        <v>1127</v>
      </c>
      <c r="B712" s="2">
        <v>46190</v>
      </c>
      <c r="C712" t="s">
        <v>30</v>
      </c>
      <c r="D712" t="s">
        <v>74</v>
      </c>
      <c r="E712" t="s">
        <v>152</v>
      </c>
      <c r="F712" t="s">
        <v>205</v>
      </c>
      <c r="G712" t="s">
        <v>294</v>
      </c>
      <c r="H712" t="s">
        <v>283</v>
      </c>
      <c r="I712" t="s">
        <v>295</v>
      </c>
      <c r="J712" t="s">
        <v>3043</v>
      </c>
      <c r="K712" t="s">
        <v>37</v>
      </c>
      <c r="L712" t="s">
        <v>68</v>
      </c>
      <c r="M712" t="s">
        <v>39</v>
      </c>
      <c r="N712" t="s">
        <v>40</v>
      </c>
      <c r="O712" s="4">
        <v>2</v>
      </c>
      <c r="P712" s="4">
        <v>14</v>
      </c>
      <c r="Q712" t="s">
        <v>58</v>
      </c>
      <c r="R712" s="2">
        <v>46188</v>
      </c>
      <c r="S712" s="4">
        <v>15</v>
      </c>
      <c r="T712" s="3">
        <v>149000000</v>
      </c>
      <c r="U712" t="s">
        <v>42</v>
      </c>
      <c r="V712" t="s">
        <v>43</v>
      </c>
      <c r="W712" t="s">
        <v>298</v>
      </c>
      <c r="Y712" t="s">
        <v>180</v>
      </c>
      <c r="Z712" t="s">
        <v>3180</v>
      </c>
      <c r="AA712" t="s">
        <v>159</v>
      </c>
      <c r="AB712" t="s">
        <v>193</v>
      </c>
      <c r="AC712" t="s">
        <v>159</v>
      </c>
    </row>
    <row r="713" spans="1:29">
      <c r="A713" t="s">
        <v>1128</v>
      </c>
      <c r="B713" s="2">
        <v>46198</v>
      </c>
      <c r="C713" t="s">
        <v>30</v>
      </c>
      <c r="D713" t="s">
        <v>49</v>
      </c>
      <c r="E713" t="s">
        <v>152</v>
      </c>
      <c r="F713" t="s">
        <v>153</v>
      </c>
      <c r="G713" t="s">
        <v>286</v>
      </c>
      <c r="H713" t="s">
        <v>207</v>
      </c>
      <c r="I713" t="s">
        <v>637</v>
      </c>
      <c r="J713" t="s">
        <v>3137</v>
      </c>
      <c r="K713" t="s">
        <v>56</v>
      </c>
      <c r="L713" t="s">
        <v>55</v>
      </c>
      <c r="M713" t="s">
        <v>129</v>
      </c>
      <c r="N713" t="s">
        <v>40</v>
      </c>
      <c r="O713" s="4">
        <v>2</v>
      </c>
      <c r="P713" s="4">
        <v>6</v>
      </c>
      <c r="Q713" t="s">
        <v>58</v>
      </c>
      <c r="R713" s="2">
        <v>46196</v>
      </c>
      <c r="S713" s="4">
        <v>7</v>
      </c>
      <c r="T713" s="3">
        <v>83000000</v>
      </c>
      <c r="U713" t="s">
        <v>42</v>
      </c>
      <c r="V713" t="s">
        <v>43</v>
      </c>
      <c r="W713" t="s">
        <v>178</v>
      </c>
      <c r="Y713" t="s">
        <v>180</v>
      </c>
      <c r="Z713" t="s">
        <v>3178</v>
      </c>
      <c r="AA713" t="s">
        <v>159</v>
      </c>
      <c r="AB713" t="s">
        <v>87</v>
      </c>
      <c r="AC713" t="s">
        <v>159</v>
      </c>
    </row>
    <row r="714" spans="1:29">
      <c r="A714" t="s">
        <v>1129</v>
      </c>
      <c r="B714" s="2">
        <v>46178</v>
      </c>
      <c r="C714" t="s">
        <v>30</v>
      </c>
      <c r="D714" t="s">
        <v>134</v>
      </c>
      <c r="E714" t="s">
        <v>120</v>
      </c>
      <c r="F714" t="s">
        <v>167</v>
      </c>
      <c r="G714" t="s">
        <v>122</v>
      </c>
      <c r="H714" t="s">
        <v>123</v>
      </c>
      <c r="I714" t="s">
        <v>124</v>
      </c>
      <c r="J714" t="s">
        <v>3015</v>
      </c>
      <c r="K714" t="s">
        <v>56</v>
      </c>
      <c r="L714" t="s">
        <v>169</v>
      </c>
      <c r="M714" t="s">
        <v>39</v>
      </c>
      <c r="N714" t="s">
        <v>94</v>
      </c>
      <c r="O714" s="4">
        <v>4</v>
      </c>
      <c r="P714" s="4">
        <v>13</v>
      </c>
      <c r="Q714" t="s">
        <v>69</v>
      </c>
      <c r="R714" s="2">
        <v>46177</v>
      </c>
      <c r="S714" s="4">
        <v>26</v>
      </c>
      <c r="T714" s="3">
        <v>187000000</v>
      </c>
      <c r="U714" t="s">
        <v>42</v>
      </c>
      <c r="V714" t="s">
        <v>59</v>
      </c>
      <c r="W714" t="s">
        <v>188</v>
      </c>
      <c r="Y714" t="s">
        <v>268</v>
      </c>
      <c r="Z714" t="s">
        <v>3179</v>
      </c>
      <c r="AA714" t="s">
        <v>97</v>
      </c>
      <c r="AB714" t="s">
        <v>97</v>
      </c>
      <c r="AC714" t="s">
        <v>97</v>
      </c>
    </row>
    <row r="715" spans="1:29">
      <c r="A715" t="s">
        <v>1130</v>
      </c>
      <c r="B715" s="2">
        <v>46181</v>
      </c>
      <c r="C715" t="s">
        <v>30</v>
      </c>
      <c r="D715" t="s">
        <v>99</v>
      </c>
      <c r="E715" t="s">
        <v>111</v>
      </c>
      <c r="F715" t="s">
        <v>190</v>
      </c>
      <c r="G715" t="s">
        <v>126</v>
      </c>
      <c r="H715" t="s">
        <v>114</v>
      </c>
      <c r="I715" t="s">
        <v>988</v>
      </c>
      <c r="J715" t="s">
        <v>3168</v>
      </c>
      <c r="K715" t="s">
        <v>105</v>
      </c>
      <c r="L715" t="s">
        <v>68</v>
      </c>
      <c r="M715" t="s">
        <v>129</v>
      </c>
      <c r="N715" t="s">
        <v>196</v>
      </c>
      <c r="O715" s="4">
        <v>7</v>
      </c>
      <c r="P715" s="4">
        <v>16</v>
      </c>
      <c r="Q715" t="s">
        <v>142</v>
      </c>
      <c r="R715" s="2">
        <v>46171</v>
      </c>
      <c r="S715" s="4">
        <v>32</v>
      </c>
      <c r="T715" s="3">
        <v>212000000</v>
      </c>
      <c r="U715" t="s">
        <v>196</v>
      </c>
      <c r="V715" t="s">
        <v>70</v>
      </c>
      <c r="W715" t="s">
        <v>243</v>
      </c>
      <c r="Y715" t="s">
        <v>369</v>
      </c>
      <c r="Z715" t="s">
        <v>3181</v>
      </c>
      <c r="AA715" t="s">
        <v>118</v>
      </c>
      <c r="AB715" t="s">
        <v>199</v>
      </c>
      <c r="AC715" t="s">
        <v>118</v>
      </c>
    </row>
    <row r="716" spans="1:29">
      <c r="A716" t="s">
        <v>1131</v>
      </c>
      <c r="B716" s="2">
        <v>46188</v>
      </c>
      <c r="C716" t="s">
        <v>30</v>
      </c>
      <c r="D716" t="s">
        <v>74</v>
      </c>
      <c r="E716" t="s">
        <v>100</v>
      </c>
      <c r="F716" t="s">
        <v>146</v>
      </c>
      <c r="G716" t="s">
        <v>313</v>
      </c>
      <c r="H716" t="s">
        <v>148</v>
      </c>
      <c r="I716" t="s">
        <v>149</v>
      </c>
      <c r="J716" t="s">
        <v>3019</v>
      </c>
      <c r="K716" t="s">
        <v>37</v>
      </c>
      <c r="L716" t="s">
        <v>68</v>
      </c>
      <c r="M716" t="s">
        <v>164</v>
      </c>
      <c r="N716" t="s">
        <v>130</v>
      </c>
      <c r="O716" s="4">
        <v>5</v>
      </c>
      <c r="P716" s="4">
        <v>20</v>
      </c>
      <c r="Q716" t="s">
        <v>41</v>
      </c>
      <c r="R716" s="2">
        <v>46178</v>
      </c>
      <c r="S716" s="4">
        <v>25</v>
      </c>
      <c r="T716" s="3">
        <v>77000000</v>
      </c>
      <c r="U716" t="s">
        <v>42</v>
      </c>
      <c r="V716" t="s">
        <v>70</v>
      </c>
      <c r="W716" t="s">
        <v>144</v>
      </c>
      <c r="Y716" t="s">
        <v>262</v>
      </c>
      <c r="Z716" t="s">
        <v>3179</v>
      </c>
      <c r="AA716" t="s">
        <v>109</v>
      </c>
      <c r="AB716" t="s">
        <v>97</v>
      </c>
      <c r="AC716" t="s">
        <v>109</v>
      </c>
    </row>
    <row r="717" spans="1:29">
      <c r="A717" t="s">
        <v>1132</v>
      </c>
      <c r="B717" s="2">
        <v>46186</v>
      </c>
      <c r="C717" t="s">
        <v>30</v>
      </c>
      <c r="D717" t="s">
        <v>99</v>
      </c>
      <c r="E717" t="s">
        <v>32</v>
      </c>
      <c r="F717" t="s">
        <v>256</v>
      </c>
      <c r="G717" t="s">
        <v>218</v>
      </c>
      <c r="H717" t="s">
        <v>303</v>
      </c>
      <c r="I717" t="s">
        <v>326</v>
      </c>
      <c r="J717" t="s">
        <v>3053</v>
      </c>
      <c r="K717" t="s">
        <v>105</v>
      </c>
      <c r="L717" t="s">
        <v>150</v>
      </c>
      <c r="M717" t="s">
        <v>164</v>
      </c>
      <c r="N717" t="s">
        <v>40</v>
      </c>
      <c r="O717" s="4">
        <v>2</v>
      </c>
      <c r="P717" s="4">
        <v>2</v>
      </c>
      <c r="Q717" t="s">
        <v>58</v>
      </c>
      <c r="R717" s="2">
        <v>46178</v>
      </c>
      <c r="S717" s="4">
        <v>25</v>
      </c>
      <c r="T717" s="3">
        <v>291000000</v>
      </c>
      <c r="U717" t="s">
        <v>42</v>
      </c>
      <c r="V717" t="s">
        <v>43</v>
      </c>
      <c r="W717" t="s">
        <v>178</v>
      </c>
      <c r="Y717" t="s">
        <v>45</v>
      </c>
      <c r="Z717" t="s">
        <v>3176</v>
      </c>
      <c r="AA717" t="s">
        <v>46</v>
      </c>
      <c r="AB717" t="s">
        <v>47</v>
      </c>
      <c r="AC717" t="s">
        <v>46</v>
      </c>
    </row>
    <row r="718" spans="1:29">
      <c r="A718" t="s">
        <v>1133</v>
      </c>
      <c r="B718" s="2">
        <v>46174</v>
      </c>
      <c r="C718" t="s">
        <v>30</v>
      </c>
      <c r="D718" t="s">
        <v>134</v>
      </c>
      <c r="E718" t="s">
        <v>75</v>
      </c>
      <c r="F718" t="s">
        <v>76</v>
      </c>
      <c r="G718" t="s">
        <v>230</v>
      </c>
      <c r="H718" t="s">
        <v>185</v>
      </c>
      <c r="I718" t="s">
        <v>542</v>
      </c>
      <c r="J718" t="s">
        <v>3115</v>
      </c>
      <c r="K718" t="s">
        <v>37</v>
      </c>
      <c r="L718" t="s">
        <v>187</v>
      </c>
      <c r="M718" t="s">
        <v>129</v>
      </c>
      <c r="N718" t="s">
        <v>82</v>
      </c>
      <c r="O718" s="4">
        <v>1</v>
      </c>
      <c r="P718" s="4">
        <v>9</v>
      </c>
      <c r="Q718" t="s">
        <v>69</v>
      </c>
      <c r="R718" s="2">
        <v>46164</v>
      </c>
      <c r="S718" s="4">
        <v>39</v>
      </c>
      <c r="T718" s="3">
        <v>165000000</v>
      </c>
      <c r="U718" t="s">
        <v>42</v>
      </c>
      <c r="V718" t="s">
        <v>43</v>
      </c>
      <c r="W718" t="s">
        <v>290</v>
      </c>
      <c r="Y718" t="s">
        <v>291</v>
      </c>
      <c r="Z718" t="s">
        <v>3178</v>
      </c>
      <c r="AA718" t="s">
        <v>86</v>
      </c>
      <c r="AB718" t="s">
        <v>87</v>
      </c>
      <c r="AC718" t="s">
        <v>86</v>
      </c>
    </row>
    <row r="719" spans="1:29">
      <c r="A719" t="s">
        <v>1134</v>
      </c>
      <c r="B719" s="2">
        <v>46200</v>
      </c>
      <c r="C719" t="s">
        <v>30</v>
      </c>
      <c r="D719" t="s">
        <v>49</v>
      </c>
      <c r="E719" t="s">
        <v>172</v>
      </c>
      <c r="F719" t="s">
        <v>173</v>
      </c>
      <c r="G719" t="s">
        <v>338</v>
      </c>
      <c r="H719" t="s">
        <v>175</v>
      </c>
      <c r="I719" t="s">
        <v>176</v>
      </c>
      <c r="J719" t="s">
        <v>3023</v>
      </c>
      <c r="K719" t="s">
        <v>37</v>
      </c>
      <c r="L719" t="s">
        <v>187</v>
      </c>
      <c r="M719" t="s">
        <v>129</v>
      </c>
      <c r="N719" t="s">
        <v>57</v>
      </c>
      <c r="O719" s="4">
        <v>3</v>
      </c>
      <c r="P719" s="4">
        <v>7</v>
      </c>
      <c r="Q719" t="s">
        <v>142</v>
      </c>
      <c r="R719" s="2">
        <v>46191</v>
      </c>
      <c r="S719" s="4">
        <v>12</v>
      </c>
      <c r="T719" s="3">
        <v>133000000</v>
      </c>
      <c r="U719" t="s">
        <v>42</v>
      </c>
      <c r="V719" t="s">
        <v>59</v>
      </c>
      <c r="W719" t="s">
        <v>157</v>
      </c>
      <c r="Y719" t="s">
        <v>72</v>
      </c>
      <c r="Z719" t="s">
        <v>3177</v>
      </c>
      <c r="AA719" t="s">
        <v>181</v>
      </c>
      <c r="AB719" t="s">
        <v>63</v>
      </c>
      <c r="AC719" t="s">
        <v>181</v>
      </c>
    </row>
    <row r="720" spans="1:29">
      <c r="A720" t="s">
        <v>1135</v>
      </c>
      <c r="B720" s="2">
        <v>46203</v>
      </c>
      <c r="C720" t="s">
        <v>30</v>
      </c>
      <c r="D720" t="s">
        <v>31</v>
      </c>
      <c r="E720" t="s">
        <v>120</v>
      </c>
      <c r="F720" t="s">
        <v>246</v>
      </c>
      <c r="G720" t="s">
        <v>224</v>
      </c>
      <c r="H720" t="s">
        <v>300</v>
      </c>
      <c r="I720" t="s">
        <v>445</v>
      </c>
      <c r="J720" t="s">
        <v>3087</v>
      </c>
      <c r="K720" t="s">
        <v>105</v>
      </c>
      <c r="L720" t="s">
        <v>38</v>
      </c>
      <c r="M720" t="s">
        <v>129</v>
      </c>
      <c r="N720" t="s">
        <v>130</v>
      </c>
      <c r="O720" s="4">
        <v>5</v>
      </c>
      <c r="P720" s="4">
        <v>8</v>
      </c>
      <c r="Q720" t="s">
        <v>138</v>
      </c>
      <c r="R720" s="2">
        <v>46196</v>
      </c>
      <c r="S720" s="4">
        <v>7</v>
      </c>
      <c r="T720" s="3">
        <v>258000000</v>
      </c>
      <c r="U720" t="s">
        <v>42</v>
      </c>
      <c r="V720" t="s">
        <v>70</v>
      </c>
      <c r="W720" t="s">
        <v>131</v>
      </c>
      <c r="Y720" t="s">
        <v>132</v>
      </c>
      <c r="Z720" t="s">
        <v>3179</v>
      </c>
      <c r="AA720" t="s">
        <v>97</v>
      </c>
      <c r="AB720" t="s">
        <v>97</v>
      </c>
      <c r="AC720" t="s">
        <v>97</v>
      </c>
    </row>
    <row r="721" spans="1:29">
      <c r="A721" t="s">
        <v>1136</v>
      </c>
      <c r="B721" s="2">
        <v>46191</v>
      </c>
      <c r="C721" t="s">
        <v>30</v>
      </c>
      <c r="D721" t="s">
        <v>74</v>
      </c>
      <c r="E721" t="s">
        <v>32</v>
      </c>
      <c r="F721" t="s">
        <v>33</v>
      </c>
      <c r="G721" t="s">
        <v>463</v>
      </c>
      <c r="H721" t="s">
        <v>35</v>
      </c>
      <c r="I721" t="s">
        <v>36</v>
      </c>
      <c r="J721" t="s">
        <v>3008</v>
      </c>
      <c r="K721" t="s">
        <v>116</v>
      </c>
      <c r="L721" t="s">
        <v>169</v>
      </c>
      <c r="M721" t="s">
        <v>56</v>
      </c>
      <c r="N721" t="s">
        <v>213</v>
      </c>
      <c r="O721" s="4">
        <v>6</v>
      </c>
      <c r="P721" s="4">
        <v>4</v>
      </c>
      <c r="Q721" t="s">
        <v>107</v>
      </c>
      <c r="R721" s="2">
        <v>46186</v>
      </c>
      <c r="S721" s="4">
        <v>17</v>
      </c>
      <c r="T721" s="3">
        <v>181000000</v>
      </c>
      <c r="U721" t="s">
        <v>42</v>
      </c>
      <c r="V721" t="s">
        <v>143</v>
      </c>
      <c r="W721" t="s">
        <v>248</v>
      </c>
      <c r="X721" t="s">
        <v>253</v>
      </c>
      <c r="Y721" t="s">
        <v>432</v>
      </c>
      <c r="Z721" t="s">
        <v>3179</v>
      </c>
      <c r="AA721" t="s">
        <v>46</v>
      </c>
      <c r="AB721" t="s">
        <v>97</v>
      </c>
      <c r="AC721" t="s">
        <v>46</v>
      </c>
    </row>
    <row r="722" spans="1:29">
      <c r="A722" t="s">
        <v>1137</v>
      </c>
      <c r="B722" s="2">
        <v>46175</v>
      </c>
      <c r="C722" t="s">
        <v>30</v>
      </c>
      <c r="D722" t="s">
        <v>134</v>
      </c>
      <c r="E722" t="s">
        <v>120</v>
      </c>
      <c r="F722" t="s">
        <v>121</v>
      </c>
      <c r="G722" t="s">
        <v>227</v>
      </c>
      <c r="H722" t="s">
        <v>300</v>
      </c>
      <c r="I722" t="s">
        <v>830</v>
      </c>
      <c r="J722" t="s">
        <v>3159</v>
      </c>
      <c r="K722" t="s">
        <v>37</v>
      </c>
      <c r="L722" t="s">
        <v>55</v>
      </c>
      <c r="M722" t="s">
        <v>106</v>
      </c>
      <c r="N722" t="s">
        <v>94</v>
      </c>
      <c r="O722" s="4">
        <v>4</v>
      </c>
      <c r="P722" s="4">
        <v>10</v>
      </c>
      <c r="Q722" t="s">
        <v>58</v>
      </c>
      <c r="R722" s="2">
        <v>46174</v>
      </c>
      <c r="S722" s="4">
        <v>29</v>
      </c>
      <c r="T722" s="3">
        <v>153000000</v>
      </c>
      <c r="U722" t="s">
        <v>42</v>
      </c>
      <c r="V722" t="s">
        <v>59</v>
      </c>
      <c r="W722" t="s">
        <v>170</v>
      </c>
      <c r="X722" t="s">
        <v>117</v>
      </c>
      <c r="Y722" t="s">
        <v>108</v>
      </c>
      <c r="Z722" t="s">
        <v>3179</v>
      </c>
      <c r="AA722" t="s">
        <v>97</v>
      </c>
      <c r="AB722" t="s">
        <v>97</v>
      </c>
      <c r="AC722" t="s">
        <v>97</v>
      </c>
    </row>
    <row r="723" spans="1:29">
      <c r="A723" t="s">
        <v>1138</v>
      </c>
      <c r="B723" s="2">
        <v>46201</v>
      </c>
      <c r="C723" t="s">
        <v>30</v>
      </c>
      <c r="D723" t="s">
        <v>49</v>
      </c>
      <c r="E723" t="s">
        <v>120</v>
      </c>
      <c r="F723" t="s">
        <v>167</v>
      </c>
      <c r="G723" t="s">
        <v>122</v>
      </c>
      <c r="H723" t="s">
        <v>123</v>
      </c>
      <c r="I723" t="s">
        <v>336</v>
      </c>
      <c r="J723" t="s">
        <v>3055</v>
      </c>
      <c r="K723" t="s">
        <v>105</v>
      </c>
      <c r="L723" t="s">
        <v>38</v>
      </c>
      <c r="M723" t="s">
        <v>56</v>
      </c>
      <c r="N723" t="s">
        <v>82</v>
      </c>
      <c r="O723" s="4">
        <v>1</v>
      </c>
      <c r="P723" s="4">
        <v>5</v>
      </c>
      <c r="Q723" t="s">
        <v>138</v>
      </c>
      <c r="R723" s="2">
        <v>46199</v>
      </c>
      <c r="S723" s="4">
        <v>4</v>
      </c>
      <c r="T723" s="3">
        <v>97000000</v>
      </c>
      <c r="U723" t="s">
        <v>42</v>
      </c>
      <c r="V723" t="s">
        <v>43</v>
      </c>
      <c r="W723" t="s">
        <v>359</v>
      </c>
      <c r="Y723" t="s">
        <v>305</v>
      </c>
      <c r="Z723" t="s">
        <v>3178</v>
      </c>
      <c r="AA723" t="s">
        <v>97</v>
      </c>
      <c r="AB723" t="s">
        <v>87</v>
      </c>
      <c r="AC723" t="s">
        <v>97</v>
      </c>
    </row>
    <row r="724" spans="1:29">
      <c r="A724" t="s">
        <v>1139</v>
      </c>
      <c r="B724" s="2">
        <v>46191</v>
      </c>
      <c r="C724" t="s">
        <v>30</v>
      </c>
      <c r="D724" t="s">
        <v>74</v>
      </c>
      <c r="E724" t="s">
        <v>100</v>
      </c>
      <c r="F724" t="s">
        <v>140</v>
      </c>
      <c r="G724" t="s">
        <v>237</v>
      </c>
      <c r="H724" t="s">
        <v>201</v>
      </c>
      <c r="I724" t="s">
        <v>453</v>
      </c>
      <c r="J724" t="s">
        <v>3090</v>
      </c>
      <c r="K724" t="s">
        <v>56</v>
      </c>
      <c r="L724" t="s">
        <v>150</v>
      </c>
      <c r="M724" t="s">
        <v>129</v>
      </c>
      <c r="N724" t="s">
        <v>57</v>
      </c>
      <c r="O724" s="4">
        <v>3</v>
      </c>
      <c r="P724" s="4">
        <v>12</v>
      </c>
      <c r="Q724" t="s">
        <v>138</v>
      </c>
      <c r="R724" s="2">
        <v>46186</v>
      </c>
      <c r="S724" s="4">
        <v>17</v>
      </c>
      <c r="T724" s="3">
        <v>161000000</v>
      </c>
      <c r="U724" t="s">
        <v>177</v>
      </c>
      <c r="V724" t="s">
        <v>59</v>
      </c>
      <c r="W724" t="s">
        <v>60</v>
      </c>
      <c r="X724" t="s">
        <v>422</v>
      </c>
      <c r="Y724" t="s">
        <v>61</v>
      </c>
      <c r="Z724" t="s">
        <v>3180</v>
      </c>
      <c r="AA724" t="s">
        <v>109</v>
      </c>
      <c r="AB724" t="s">
        <v>193</v>
      </c>
      <c r="AC724" t="s">
        <v>109</v>
      </c>
    </row>
    <row r="725" spans="1:29">
      <c r="A725" t="s">
        <v>1140</v>
      </c>
      <c r="B725" s="2">
        <v>46202</v>
      </c>
      <c r="C725" t="s">
        <v>30</v>
      </c>
      <c r="D725" t="s">
        <v>31</v>
      </c>
      <c r="E725" t="s">
        <v>100</v>
      </c>
      <c r="F725" t="s">
        <v>146</v>
      </c>
      <c r="G725" t="s">
        <v>102</v>
      </c>
      <c r="H725" t="s">
        <v>201</v>
      </c>
      <c r="I725" t="s">
        <v>202</v>
      </c>
      <c r="J725" t="s">
        <v>3026</v>
      </c>
      <c r="K725" t="s">
        <v>116</v>
      </c>
      <c r="L725" t="s">
        <v>80</v>
      </c>
      <c r="M725" t="s">
        <v>93</v>
      </c>
      <c r="N725" t="s">
        <v>130</v>
      </c>
      <c r="O725" s="4">
        <v>5</v>
      </c>
      <c r="P725" s="4">
        <v>15</v>
      </c>
      <c r="Q725" t="s">
        <v>142</v>
      </c>
      <c r="R725" s="2">
        <v>46192</v>
      </c>
      <c r="S725" s="4">
        <v>11</v>
      </c>
      <c r="T725" s="3">
        <v>158000000</v>
      </c>
      <c r="U725" t="s">
        <v>260</v>
      </c>
      <c r="V725" t="s">
        <v>59</v>
      </c>
      <c r="W725" t="s">
        <v>252</v>
      </c>
      <c r="X725" t="s">
        <v>308</v>
      </c>
      <c r="Y725" t="s">
        <v>334</v>
      </c>
      <c r="Z725" t="s">
        <v>3179</v>
      </c>
      <c r="AA725" t="s">
        <v>109</v>
      </c>
      <c r="AB725" t="s">
        <v>97</v>
      </c>
      <c r="AC725" t="s">
        <v>109</v>
      </c>
    </row>
    <row r="726" spans="1:29">
      <c r="A726" t="s">
        <v>1141</v>
      </c>
      <c r="B726" s="2">
        <v>46194</v>
      </c>
      <c r="C726" t="s">
        <v>30</v>
      </c>
      <c r="D726" t="s">
        <v>74</v>
      </c>
      <c r="E726" t="s">
        <v>120</v>
      </c>
      <c r="F726" t="s">
        <v>246</v>
      </c>
      <c r="G726" t="s">
        <v>227</v>
      </c>
      <c r="H726" t="s">
        <v>136</v>
      </c>
      <c r="I726" t="s">
        <v>275</v>
      </c>
      <c r="J726" t="s">
        <v>3039</v>
      </c>
      <c r="K726" t="s">
        <v>37</v>
      </c>
      <c r="L726" t="s">
        <v>80</v>
      </c>
      <c r="M726" t="s">
        <v>56</v>
      </c>
      <c r="N726" t="s">
        <v>57</v>
      </c>
      <c r="O726" s="4">
        <v>3</v>
      </c>
      <c r="P726" s="4">
        <v>5</v>
      </c>
      <c r="Q726" t="s">
        <v>107</v>
      </c>
      <c r="R726" s="2">
        <v>46191</v>
      </c>
      <c r="S726" s="4">
        <v>12</v>
      </c>
      <c r="T726" s="3">
        <v>100000000</v>
      </c>
      <c r="U726" t="s">
        <v>42</v>
      </c>
      <c r="V726" t="s">
        <v>43</v>
      </c>
      <c r="W726" t="s">
        <v>71</v>
      </c>
      <c r="Y726" t="s">
        <v>158</v>
      </c>
      <c r="Z726" t="s">
        <v>3177</v>
      </c>
      <c r="AA726" t="s">
        <v>97</v>
      </c>
      <c r="AB726" t="s">
        <v>63</v>
      </c>
      <c r="AC726" t="s">
        <v>97</v>
      </c>
    </row>
    <row r="727" spans="1:29">
      <c r="A727" t="s">
        <v>1142</v>
      </c>
      <c r="B727" s="2">
        <v>46183</v>
      </c>
      <c r="C727" t="s">
        <v>30</v>
      </c>
      <c r="D727" t="s">
        <v>99</v>
      </c>
      <c r="E727" t="s">
        <v>75</v>
      </c>
      <c r="F727" t="s">
        <v>161</v>
      </c>
      <c r="G727" t="s">
        <v>77</v>
      </c>
      <c r="H727" t="s">
        <v>388</v>
      </c>
      <c r="I727" t="s">
        <v>389</v>
      </c>
      <c r="J727" t="s">
        <v>3071</v>
      </c>
      <c r="K727" t="s">
        <v>37</v>
      </c>
      <c r="L727" t="s">
        <v>187</v>
      </c>
      <c r="M727" t="s">
        <v>81</v>
      </c>
      <c r="N727" t="s">
        <v>94</v>
      </c>
      <c r="O727" s="4">
        <v>4</v>
      </c>
      <c r="P727" s="4">
        <v>11</v>
      </c>
      <c r="Q727" t="s">
        <v>58</v>
      </c>
      <c r="R727" s="2">
        <v>46175</v>
      </c>
      <c r="S727" s="4">
        <v>28</v>
      </c>
      <c r="T727" s="3">
        <v>243000000</v>
      </c>
      <c r="U727" t="s">
        <v>426</v>
      </c>
      <c r="V727" t="s">
        <v>143</v>
      </c>
      <c r="W727" t="s">
        <v>95</v>
      </c>
      <c r="X727" t="s">
        <v>261</v>
      </c>
      <c r="Y727" t="s">
        <v>268</v>
      </c>
      <c r="Z727" t="s">
        <v>3179</v>
      </c>
      <c r="AA727" t="s">
        <v>86</v>
      </c>
      <c r="AB727" t="s">
        <v>97</v>
      </c>
      <c r="AC727" t="s">
        <v>86</v>
      </c>
    </row>
    <row r="728" spans="1:29">
      <c r="A728" t="s">
        <v>1143</v>
      </c>
      <c r="B728" s="2">
        <v>46176</v>
      </c>
      <c r="C728" t="s">
        <v>30</v>
      </c>
      <c r="D728" t="s">
        <v>134</v>
      </c>
      <c r="E728" t="s">
        <v>120</v>
      </c>
      <c r="F728" t="s">
        <v>121</v>
      </c>
      <c r="G728" t="s">
        <v>420</v>
      </c>
      <c r="H728" t="s">
        <v>123</v>
      </c>
      <c r="I728" t="s">
        <v>225</v>
      </c>
      <c r="J728" t="s">
        <v>3030</v>
      </c>
      <c r="K728" t="s">
        <v>37</v>
      </c>
      <c r="L728" t="s">
        <v>80</v>
      </c>
      <c r="M728" t="s">
        <v>164</v>
      </c>
      <c r="N728" t="s">
        <v>213</v>
      </c>
      <c r="O728" s="4">
        <v>6</v>
      </c>
      <c r="P728" s="4">
        <v>10</v>
      </c>
      <c r="Q728" t="s">
        <v>138</v>
      </c>
      <c r="R728" s="2">
        <v>46168</v>
      </c>
      <c r="S728" s="4">
        <v>35</v>
      </c>
      <c r="T728" s="3">
        <v>120000000</v>
      </c>
      <c r="U728" t="s">
        <v>214</v>
      </c>
      <c r="V728" t="s">
        <v>70</v>
      </c>
      <c r="W728" t="s">
        <v>248</v>
      </c>
      <c r="Y728" t="s">
        <v>216</v>
      </c>
      <c r="Z728" t="s">
        <v>3179</v>
      </c>
      <c r="AA728" t="s">
        <v>97</v>
      </c>
      <c r="AB728" t="s">
        <v>97</v>
      </c>
      <c r="AC728" t="s">
        <v>97</v>
      </c>
    </row>
    <row r="729" spans="1:29">
      <c r="A729" t="s">
        <v>1144</v>
      </c>
      <c r="B729" s="2">
        <v>46196</v>
      </c>
      <c r="C729" t="s">
        <v>30</v>
      </c>
      <c r="D729" t="s">
        <v>49</v>
      </c>
      <c r="E729" t="s">
        <v>75</v>
      </c>
      <c r="F729" t="s">
        <v>76</v>
      </c>
      <c r="G729" t="s">
        <v>162</v>
      </c>
      <c r="H729" t="s">
        <v>78</v>
      </c>
      <c r="I729" t="s">
        <v>1145</v>
      </c>
      <c r="J729" t="s">
        <v>3174</v>
      </c>
      <c r="K729" t="s">
        <v>37</v>
      </c>
      <c r="L729" t="s">
        <v>187</v>
      </c>
      <c r="M729" t="s">
        <v>129</v>
      </c>
      <c r="N729" t="s">
        <v>57</v>
      </c>
      <c r="O729" s="4">
        <v>3</v>
      </c>
      <c r="P729" s="4">
        <v>11</v>
      </c>
      <c r="Q729" t="s">
        <v>142</v>
      </c>
      <c r="R729" s="2">
        <v>46188</v>
      </c>
      <c r="S729" s="4">
        <v>15</v>
      </c>
      <c r="T729" s="3">
        <v>213000000</v>
      </c>
      <c r="U729" t="s">
        <v>42</v>
      </c>
      <c r="V729" t="s">
        <v>43</v>
      </c>
      <c r="W729" t="s">
        <v>60</v>
      </c>
      <c r="Y729" t="s">
        <v>61</v>
      </c>
      <c r="Z729" t="s">
        <v>3177</v>
      </c>
      <c r="AA729" t="s">
        <v>86</v>
      </c>
      <c r="AB729" t="s">
        <v>63</v>
      </c>
      <c r="AC729" t="s">
        <v>86</v>
      </c>
    </row>
    <row r="730" spans="1:29">
      <c r="A730" t="s">
        <v>1146</v>
      </c>
      <c r="B730" s="2">
        <v>46175</v>
      </c>
      <c r="C730" t="s">
        <v>30</v>
      </c>
      <c r="D730" t="s">
        <v>134</v>
      </c>
      <c r="E730" t="s">
        <v>50</v>
      </c>
      <c r="F730" t="s">
        <v>89</v>
      </c>
      <c r="G730" t="s">
        <v>234</v>
      </c>
      <c r="H730" t="s">
        <v>66</v>
      </c>
      <c r="I730" t="s">
        <v>67</v>
      </c>
      <c r="J730" t="s">
        <v>3010</v>
      </c>
      <c r="K730" t="s">
        <v>105</v>
      </c>
      <c r="L730" t="s">
        <v>150</v>
      </c>
      <c r="M730" t="s">
        <v>39</v>
      </c>
      <c r="N730" t="s">
        <v>40</v>
      </c>
      <c r="O730" s="4">
        <v>2</v>
      </c>
      <c r="P730" s="4">
        <v>7</v>
      </c>
      <c r="Q730" t="s">
        <v>58</v>
      </c>
      <c r="R730" s="2">
        <v>46170</v>
      </c>
      <c r="S730" s="4">
        <v>33</v>
      </c>
      <c r="T730" s="3">
        <v>332000000</v>
      </c>
      <c r="U730" t="s">
        <v>42</v>
      </c>
      <c r="V730" t="s">
        <v>59</v>
      </c>
      <c r="W730" t="s">
        <v>178</v>
      </c>
      <c r="Y730" t="s">
        <v>309</v>
      </c>
      <c r="Z730" t="s">
        <v>3178</v>
      </c>
      <c r="AA730" t="s">
        <v>62</v>
      </c>
      <c r="AB730" t="s">
        <v>87</v>
      </c>
      <c r="AC730" t="s">
        <v>62</v>
      </c>
    </row>
    <row r="731" spans="1:29">
      <c r="A731" t="s">
        <v>1147</v>
      </c>
      <c r="B731" s="2">
        <v>46197</v>
      </c>
      <c r="C731" t="s">
        <v>30</v>
      </c>
      <c r="D731" t="s">
        <v>49</v>
      </c>
      <c r="E731" t="s">
        <v>75</v>
      </c>
      <c r="F731" t="s">
        <v>183</v>
      </c>
      <c r="G731" t="s">
        <v>77</v>
      </c>
      <c r="H731" t="s">
        <v>78</v>
      </c>
      <c r="I731" t="s">
        <v>231</v>
      </c>
      <c r="J731" t="s">
        <v>3031</v>
      </c>
      <c r="K731" t="s">
        <v>92</v>
      </c>
      <c r="L731" t="s">
        <v>187</v>
      </c>
      <c r="M731" t="s">
        <v>93</v>
      </c>
      <c r="N731" t="s">
        <v>40</v>
      </c>
      <c r="O731" s="4">
        <v>2</v>
      </c>
      <c r="P731" s="4">
        <v>6</v>
      </c>
      <c r="Q731" t="s">
        <v>69</v>
      </c>
      <c r="R731" s="2">
        <v>46194</v>
      </c>
      <c r="S731" s="4">
        <v>9</v>
      </c>
      <c r="T731" s="3">
        <v>49000000</v>
      </c>
      <c r="U731" t="s">
        <v>42</v>
      </c>
      <c r="V731" t="s">
        <v>43</v>
      </c>
      <c r="W731" t="s">
        <v>178</v>
      </c>
      <c r="Y731" t="s">
        <v>180</v>
      </c>
      <c r="Z731" t="s">
        <v>3178</v>
      </c>
      <c r="AA731" t="s">
        <v>86</v>
      </c>
      <c r="AB731" t="s">
        <v>87</v>
      </c>
      <c r="AC731" t="s">
        <v>86</v>
      </c>
    </row>
    <row r="732" spans="1:29">
      <c r="A732" t="s">
        <v>1148</v>
      </c>
      <c r="B732" s="2">
        <v>46179</v>
      </c>
      <c r="C732" t="s">
        <v>30</v>
      </c>
      <c r="D732" t="s">
        <v>134</v>
      </c>
      <c r="E732" t="s">
        <v>50</v>
      </c>
      <c r="F732" t="s">
        <v>89</v>
      </c>
      <c r="G732" t="s">
        <v>270</v>
      </c>
      <c r="H732" t="s">
        <v>53</v>
      </c>
      <c r="I732" t="s">
        <v>235</v>
      </c>
      <c r="J732" t="s">
        <v>3032</v>
      </c>
      <c r="K732" t="s">
        <v>37</v>
      </c>
      <c r="L732" t="s">
        <v>80</v>
      </c>
      <c r="M732" t="s">
        <v>164</v>
      </c>
      <c r="N732" t="s">
        <v>94</v>
      </c>
      <c r="O732" s="4">
        <v>4</v>
      </c>
      <c r="P732" s="4">
        <v>11</v>
      </c>
      <c r="Q732" t="s">
        <v>83</v>
      </c>
      <c r="R732" s="2">
        <v>46174</v>
      </c>
      <c r="S732" s="4">
        <v>29</v>
      </c>
      <c r="T732" s="3">
        <v>135000000</v>
      </c>
      <c r="U732" t="s">
        <v>42</v>
      </c>
      <c r="V732" t="s">
        <v>143</v>
      </c>
      <c r="W732" t="s">
        <v>95</v>
      </c>
      <c r="X732" t="s">
        <v>117</v>
      </c>
      <c r="Y732" t="s">
        <v>108</v>
      </c>
      <c r="Z732" t="s">
        <v>3179</v>
      </c>
      <c r="AA732" t="s">
        <v>62</v>
      </c>
      <c r="AB732" t="s">
        <v>97</v>
      </c>
      <c r="AC732" t="s">
        <v>62</v>
      </c>
    </row>
    <row r="733" spans="1:29">
      <c r="A733" t="s">
        <v>1149</v>
      </c>
      <c r="B733" s="2">
        <v>46198</v>
      </c>
      <c r="C733" t="s">
        <v>30</v>
      </c>
      <c r="D733" t="s">
        <v>49</v>
      </c>
      <c r="E733" t="s">
        <v>32</v>
      </c>
      <c r="F733" t="s">
        <v>273</v>
      </c>
      <c r="G733" t="s">
        <v>463</v>
      </c>
      <c r="H733" t="s">
        <v>303</v>
      </c>
      <c r="I733" t="s">
        <v>326</v>
      </c>
      <c r="J733" t="s">
        <v>3053</v>
      </c>
      <c r="K733" t="s">
        <v>105</v>
      </c>
      <c r="L733" t="s">
        <v>38</v>
      </c>
      <c r="M733" t="s">
        <v>106</v>
      </c>
      <c r="N733" t="s">
        <v>94</v>
      </c>
      <c r="O733" s="4">
        <v>4</v>
      </c>
      <c r="P733" s="4">
        <v>6</v>
      </c>
      <c r="Q733" t="s">
        <v>83</v>
      </c>
      <c r="R733" s="2">
        <v>46191</v>
      </c>
      <c r="S733" s="4">
        <v>12</v>
      </c>
      <c r="T733" s="3">
        <v>121000000</v>
      </c>
      <c r="U733" t="s">
        <v>42</v>
      </c>
      <c r="V733" t="s">
        <v>59</v>
      </c>
      <c r="W733" t="s">
        <v>267</v>
      </c>
      <c r="Y733" t="s">
        <v>268</v>
      </c>
      <c r="Z733" t="s">
        <v>3179</v>
      </c>
      <c r="AA733" t="s">
        <v>46</v>
      </c>
      <c r="AB733" t="s">
        <v>97</v>
      </c>
      <c r="AC733" t="s">
        <v>46</v>
      </c>
    </row>
    <row r="734" spans="1:29">
      <c r="A734" t="s">
        <v>1150</v>
      </c>
      <c r="B734" s="2">
        <v>46200</v>
      </c>
      <c r="C734" t="s">
        <v>30</v>
      </c>
      <c r="D734" t="s">
        <v>49</v>
      </c>
      <c r="E734" t="s">
        <v>152</v>
      </c>
      <c r="F734" t="s">
        <v>221</v>
      </c>
      <c r="G734" t="s">
        <v>206</v>
      </c>
      <c r="H734" t="s">
        <v>207</v>
      </c>
      <c r="I734" t="s">
        <v>208</v>
      </c>
      <c r="J734" t="s">
        <v>3027</v>
      </c>
      <c r="K734" t="s">
        <v>105</v>
      </c>
      <c r="L734" t="s">
        <v>80</v>
      </c>
      <c r="M734" t="s">
        <v>39</v>
      </c>
      <c r="N734" t="s">
        <v>40</v>
      </c>
      <c r="O734" s="4">
        <v>2</v>
      </c>
      <c r="P734" s="4">
        <v>8</v>
      </c>
      <c r="Q734" t="s">
        <v>138</v>
      </c>
      <c r="R734" s="2">
        <v>46195</v>
      </c>
      <c r="S734" s="4">
        <v>8</v>
      </c>
      <c r="T734" s="3">
        <v>358000000</v>
      </c>
      <c r="U734" t="s">
        <v>177</v>
      </c>
      <c r="V734" t="s">
        <v>43</v>
      </c>
      <c r="W734" t="s">
        <v>239</v>
      </c>
      <c r="X734" t="s">
        <v>520</v>
      </c>
      <c r="Y734" t="s">
        <v>281</v>
      </c>
      <c r="Z734" t="s">
        <v>3178</v>
      </c>
      <c r="AA734" t="s">
        <v>159</v>
      </c>
      <c r="AB734" t="s">
        <v>87</v>
      </c>
      <c r="AC734" t="s">
        <v>159</v>
      </c>
    </row>
    <row r="735" spans="1:29">
      <c r="A735" t="s">
        <v>1151</v>
      </c>
      <c r="B735" s="2">
        <v>46202</v>
      </c>
      <c r="C735" t="s">
        <v>30</v>
      </c>
      <c r="D735" t="s">
        <v>31</v>
      </c>
      <c r="E735" t="s">
        <v>111</v>
      </c>
      <c r="F735" t="s">
        <v>112</v>
      </c>
      <c r="G735" t="s">
        <v>113</v>
      </c>
      <c r="H735" t="s">
        <v>127</v>
      </c>
      <c r="I735" t="s">
        <v>311</v>
      </c>
      <c r="J735" t="s">
        <v>3048</v>
      </c>
      <c r="K735" t="s">
        <v>116</v>
      </c>
      <c r="L735" t="s">
        <v>80</v>
      </c>
      <c r="M735" t="s">
        <v>129</v>
      </c>
      <c r="N735" t="s">
        <v>94</v>
      </c>
      <c r="O735" s="4">
        <v>4</v>
      </c>
      <c r="P735" s="4">
        <v>13</v>
      </c>
      <c r="Q735" t="s">
        <v>83</v>
      </c>
      <c r="R735" s="2">
        <v>46195</v>
      </c>
      <c r="S735" s="4">
        <v>8</v>
      </c>
      <c r="T735" s="3">
        <v>159000000</v>
      </c>
      <c r="U735" t="s">
        <v>42</v>
      </c>
      <c r="V735" t="s">
        <v>59</v>
      </c>
      <c r="W735" t="s">
        <v>95</v>
      </c>
      <c r="X735" t="s">
        <v>253</v>
      </c>
      <c r="Y735" t="s">
        <v>228</v>
      </c>
      <c r="Z735" t="s">
        <v>3179</v>
      </c>
      <c r="AA735" t="s">
        <v>118</v>
      </c>
      <c r="AB735" t="s">
        <v>97</v>
      </c>
      <c r="AC735" t="s">
        <v>118</v>
      </c>
    </row>
    <row r="736" spans="1:29">
      <c r="A736" t="s">
        <v>1152</v>
      </c>
      <c r="B736" s="2">
        <v>46177</v>
      </c>
      <c r="C736" t="s">
        <v>30</v>
      </c>
      <c r="D736" t="s">
        <v>134</v>
      </c>
      <c r="E736" t="s">
        <v>172</v>
      </c>
      <c r="F736" t="s">
        <v>277</v>
      </c>
      <c r="G736" t="s">
        <v>338</v>
      </c>
      <c r="H736" t="s">
        <v>317</v>
      </c>
      <c r="I736" t="s">
        <v>478</v>
      </c>
      <c r="J736" t="s">
        <v>3099</v>
      </c>
      <c r="K736" t="s">
        <v>105</v>
      </c>
      <c r="L736" t="s">
        <v>80</v>
      </c>
      <c r="M736" t="s">
        <v>129</v>
      </c>
      <c r="N736" t="s">
        <v>130</v>
      </c>
      <c r="O736" s="4">
        <v>5</v>
      </c>
      <c r="P736" s="4">
        <v>6</v>
      </c>
      <c r="Q736" t="s">
        <v>58</v>
      </c>
      <c r="R736" s="2">
        <v>46170</v>
      </c>
      <c r="S736" s="4">
        <v>33</v>
      </c>
      <c r="T736" s="3">
        <v>151000000</v>
      </c>
      <c r="U736" t="s">
        <v>260</v>
      </c>
      <c r="V736" t="s">
        <v>143</v>
      </c>
      <c r="W736" t="s">
        <v>144</v>
      </c>
      <c r="X736" t="s">
        <v>422</v>
      </c>
      <c r="Y736" t="s">
        <v>254</v>
      </c>
      <c r="Z736" t="s">
        <v>3179</v>
      </c>
      <c r="AA736" t="s">
        <v>181</v>
      </c>
      <c r="AB736" t="s">
        <v>97</v>
      </c>
      <c r="AC736" t="s">
        <v>181</v>
      </c>
    </row>
    <row r="737" spans="1:29">
      <c r="A737" t="s">
        <v>1153</v>
      </c>
      <c r="B737" s="2">
        <v>46180</v>
      </c>
      <c r="C737" t="s">
        <v>30</v>
      </c>
      <c r="D737" t="s">
        <v>134</v>
      </c>
      <c r="E737" t="s">
        <v>172</v>
      </c>
      <c r="F737" t="s">
        <v>195</v>
      </c>
      <c r="G737" t="s">
        <v>338</v>
      </c>
      <c r="H737" t="s">
        <v>317</v>
      </c>
      <c r="I737" t="s">
        <v>478</v>
      </c>
      <c r="J737" t="s">
        <v>3099</v>
      </c>
      <c r="K737" t="s">
        <v>105</v>
      </c>
      <c r="L737" t="s">
        <v>80</v>
      </c>
      <c r="M737" t="s">
        <v>93</v>
      </c>
      <c r="N737" t="s">
        <v>40</v>
      </c>
      <c r="O737" s="4">
        <v>2</v>
      </c>
      <c r="P737" s="4">
        <v>9</v>
      </c>
      <c r="Q737" t="s">
        <v>83</v>
      </c>
      <c r="R737" s="2">
        <v>46180</v>
      </c>
      <c r="S737" s="4">
        <v>23</v>
      </c>
      <c r="T737" s="3">
        <v>97000000</v>
      </c>
      <c r="U737" t="s">
        <v>42</v>
      </c>
      <c r="V737" t="s">
        <v>43</v>
      </c>
      <c r="W737" t="s">
        <v>44</v>
      </c>
      <c r="Y737" t="s">
        <v>281</v>
      </c>
      <c r="Z737" t="s">
        <v>3178</v>
      </c>
      <c r="AA737" t="s">
        <v>181</v>
      </c>
      <c r="AB737" t="s">
        <v>87</v>
      </c>
      <c r="AC737" t="s">
        <v>181</v>
      </c>
    </row>
    <row r="738" spans="1:29">
      <c r="A738" t="s">
        <v>1154</v>
      </c>
      <c r="B738" s="2">
        <v>46177</v>
      </c>
      <c r="C738" t="s">
        <v>30</v>
      </c>
      <c r="D738" t="s">
        <v>134</v>
      </c>
      <c r="E738" t="s">
        <v>75</v>
      </c>
      <c r="F738" t="s">
        <v>183</v>
      </c>
      <c r="G738" t="s">
        <v>162</v>
      </c>
      <c r="H738" t="s">
        <v>185</v>
      </c>
      <c r="I738" t="s">
        <v>354</v>
      </c>
      <c r="J738" t="s">
        <v>3061</v>
      </c>
      <c r="K738" t="s">
        <v>37</v>
      </c>
      <c r="L738" t="s">
        <v>55</v>
      </c>
      <c r="M738" t="s">
        <v>56</v>
      </c>
      <c r="N738" t="s">
        <v>130</v>
      </c>
      <c r="O738" s="4">
        <v>5</v>
      </c>
      <c r="P738" s="4">
        <v>7</v>
      </c>
      <c r="Q738" t="s">
        <v>138</v>
      </c>
      <c r="R738" s="2">
        <v>46168</v>
      </c>
      <c r="S738" s="4">
        <v>35</v>
      </c>
      <c r="T738" s="3">
        <v>179000000</v>
      </c>
      <c r="U738" t="s">
        <v>42</v>
      </c>
      <c r="V738" t="s">
        <v>70</v>
      </c>
      <c r="W738" t="s">
        <v>355</v>
      </c>
      <c r="X738" t="s">
        <v>253</v>
      </c>
      <c r="Y738" t="s">
        <v>262</v>
      </c>
      <c r="Z738" t="s">
        <v>3179</v>
      </c>
      <c r="AA738" t="s">
        <v>86</v>
      </c>
      <c r="AB738" t="s">
        <v>97</v>
      </c>
      <c r="AC738" t="s">
        <v>86</v>
      </c>
    </row>
    <row r="739" spans="1:29">
      <c r="A739" t="s">
        <v>1155</v>
      </c>
      <c r="B739" s="2">
        <v>46195</v>
      </c>
      <c r="C739" t="s">
        <v>30</v>
      </c>
      <c r="D739" t="s">
        <v>49</v>
      </c>
      <c r="E739" t="s">
        <v>120</v>
      </c>
      <c r="F739" t="s">
        <v>167</v>
      </c>
      <c r="G739" t="s">
        <v>135</v>
      </c>
      <c r="H739" t="s">
        <v>300</v>
      </c>
      <c r="I739" t="s">
        <v>527</v>
      </c>
      <c r="J739" t="s">
        <v>3110</v>
      </c>
      <c r="K739" t="s">
        <v>105</v>
      </c>
      <c r="L739" t="s">
        <v>55</v>
      </c>
      <c r="M739" t="s">
        <v>106</v>
      </c>
      <c r="N739" t="s">
        <v>57</v>
      </c>
      <c r="O739" s="4">
        <v>3</v>
      </c>
      <c r="P739" s="4">
        <v>11</v>
      </c>
      <c r="Q739" t="s">
        <v>142</v>
      </c>
      <c r="R739" s="2">
        <v>46193</v>
      </c>
      <c r="S739" s="4">
        <v>10</v>
      </c>
      <c r="T739" s="3">
        <v>222000000</v>
      </c>
      <c r="U739" t="s">
        <v>42</v>
      </c>
      <c r="V739" t="s">
        <v>43</v>
      </c>
      <c r="W739" t="s">
        <v>60</v>
      </c>
      <c r="Y739" t="s">
        <v>165</v>
      </c>
      <c r="Z739" t="s">
        <v>3177</v>
      </c>
      <c r="AA739" t="s">
        <v>97</v>
      </c>
      <c r="AB739" t="s">
        <v>63</v>
      </c>
      <c r="AC739" t="s">
        <v>97</v>
      </c>
    </row>
    <row r="740" spans="1:29">
      <c r="A740" t="s">
        <v>1156</v>
      </c>
      <c r="B740" s="2">
        <v>46200</v>
      </c>
      <c r="C740" t="s">
        <v>30</v>
      </c>
      <c r="D740" t="s">
        <v>49</v>
      </c>
      <c r="E740" t="s">
        <v>75</v>
      </c>
      <c r="F740" t="s">
        <v>161</v>
      </c>
      <c r="G740" t="s">
        <v>230</v>
      </c>
      <c r="H740" t="s">
        <v>78</v>
      </c>
      <c r="I740" t="s">
        <v>163</v>
      </c>
      <c r="J740" t="s">
        <v>3021</v>
      </c>
      <c r="K740" t="s">
        <v>37</v>
      </c>
      <c r="L740" t="s">
        <v>55</v>
      </c>
      <c r="M740" t="s">
        <v>106</v>
      </c>
      <c r="N740" t="s">
        <v>57</v>
      </c>
      <c r="O740" s="4">
        <v>3</v>
      </c>
      <c r="P740" s="4">
        <v>7</v>
      </c>
      <c r="Q740" t="s">
        <v>83</v>
      </c>
      <c r="R740" s="2">
        <v>46191</v>
      </c>
      <c r="S740" s="4">
        <v>12</v>
      </c>
      <c r="T740" s="3">
        <v>166000000</v>
      </c>
      <c r="U740" t="s">
        <v>260</v>
      </c>
      <c r="V740" t="s">
        <v>59</v>
      </c>
      <c r="W740" t="s">
        <v>157</v>
      </c>
      <c r="X740" t="s">
        <v>261</v>
      </c>
      <c r="Y740" t="s">
        <v>158</v>
      </c>
      <c r="Z740" t="s">
        <v>3177</v>
      </c>
      <c r="AA740" t="s">
        <v>86</v>
      </c>
      <c r="AB740" t="s">
        <v>63</v>
      </c>
      <c r="AC740" t="s">
        <v>86</v>
      </c>
    </row>
    <row r="741" spans="1:29">
      <c r="A741" t="s">
        <v>1157</v>
      </c>
      <c r="B741" s="2">
        <v>46182</v>
      </c>
      <c r="C741" t="s">
        <v>30</v>
      </c>
      <c r="D741" t="s">
        <v>99</v>
      </c>
      <c r="E741" t="s">
        <v>152</v>
      </c>
      <c r="F741" t="s">
        <v>205</v>
      </c>
      <c r="G741" t="s">
        <v>154</v>
      </c>
      <c r="H741" t="s">
        <v>155</v>
      </c>
      <c r="I741" t="s">
        <v>537</v>
      </c>
      <c r="J741" t="s">
        <v>3113</v>
      </c>
      <c r="K741" t="s">
        <v>37</v>
      </c>
      <c r="L741" t="s">
        <v>68</v>
      </c>
      <c r="M741" t="s">
        <v>39</v>
      </c>
      <c r="N741" t="s">
        <v>213</v>
      </c>
      <c r="O741" s="4">
        <v>6</v>
      </c>
      <c r="P741" s="4">
        <v>15</v>
      </c>
      <c r="Q741" t="s">
        <v>83</v>
      </c>
      <c r="R741" s="2">
        <v>46179</v>
      </c>
      <c r="S741" s="4">
        <v>24</v>
      </c>
      <c r="T741" s="3">
        <v>234000000</v>
      </c>
      <c r="U741" t="s">
        <v>214</v>
      </c>
      <c r="V741" t="s">
        <v>59</v>
      </c>
      <c r="W741" t="s">
        <v>390</v>
      </c>
      <c r="Y741" t="s">
        <v>432</v>
      </c>
      <c r="Z741" t="s">
        <v>3179</v>
      </c>
      <c r="AA741" t="s">
        <v>159</v>
      </c>
      <c r="AB741" t="s">
        <v>97</v>
      </c>
      <c r="AC741" t="s">
        <v>159</v>
      </c>
    </row>
    <row r="742" spans="1:29">
      <c r="A742" t="s">
        <v>1158</v>
      </c>
      <c r="B742" s="2">
        <v>46175</v>
      </c>
      <c r="C742" t="s">
        <v>30</v>
      </c>
      <c r="D742" t="s">
        <v>134</v>
      </c>
      <c r="E742" t="s">
        <v>152</v>
      </c>
      <c r="F742" t="s">
        <v>205</v>
      </c>
      <c r="G742" t="s">
        <v>286</v>
      </c>
      <c r="H742" t="s">
        <v>283</v>
      </c>
      <c r="I742" t="s">
        <v>663</v>
      </c>
      <c r="J742" t="s">
        <v>3145</v>
      </c>
      <c r="K742" t="s">
        <v>56</v>
      </c>
      <c r="L742" t="s">
        <v>187</v>
      </c>
      <c r="M742" t="s">
        <v>93</v>
      </c>
      <c r="N742" t="s">
        <v>40</v>
      </c>
      <c r="O742" s="4">
        <v>2</v>
      </c>
      <c r="P742" s="4">
        <v>15</v>
      </c>
      <c r="Q742" t="s">
        <v>142</v>
      </c>
      <c r="R742" s="2">
        <v>46173</v>
      </c>
      <c r="S742" s="4">
        <v>30</v>
      </c>
      <c r="T742" s="3">
        <v>326000000</v>
      </c>
      <c r="U742" t="s">
        <v>42</v>
      </c>
      <c r="V742" t="s">
        <v>43</v>
      </c>
      <c r="W742" t="s">
        <v>239</v>
      </c>
      <c r="Y742" t="s">
        <v>281</v>
      </c>
      <c r="Z742" t="s">
        <v>3180</v>
      </c>
      <c r="AA742" t="s">
        <v>159</v>
      </c>
      <c r="AB742" t="s">
        <v>193</v>
      </c>
      <c r="AC742" t="s">
        <v>159</v>
      </c>
    </row>
    <row r="743" spans="1:29">
      <c r="A743" t="s">
        <v>1159</v>
      </c>
      <c r="B743" s="2">
        <v>46183</v>
      </c>
      <c r="C743" t="s">
        <v>30</v>
      </c>
      <c r="D743" t="s">
        <v>99</v>
      </c>
      <c r="E743" t="s">
        <v>172</v>
      </c>
      <c r="F743" t="s">
        <v>195</v>
      </c>
      <c r="G743" t="s">
        <v>278</v>
      </c>
      <c r="H743" t="s">
        <v>175</v>
      </c>
      <c r="I743" t="s">
        <v>333</v>
      </c>
      <c r="J743" t="s">
        <v>3054</v>
      </c>
      <c r="K743" t="s">
        <v>105</v>
      </c>
      <c r="L743" t="s">
        <v>150</v>
      </c>
      <c r="M743" t="s">
        <v>81</v>
      </c>
      <c r="N743" t="s">
        <v>40</v>
      </c>
      <c r="O743" s="4">
        <v>2</v>
      </c>
      <c r="P743" s="4">
        <v>6</v>
      </c>
      <c r="Q743" t="s">
        <v>142</v>
      </c>
      <c r="R743" s="2">
        <v>46183</v>
      </c>
      <c r="S743" s="4">
        <v>20</v>
      </c>
      <c r="T743" s="3">
        <v>61000000</v>
      </c>
      <c r="U743" t="s">
        <v>42</v>
      </c>
      <c r="V743" t="s">
        <v>43</v>
      </c>
      <c r="W743" t="s">
        <v>239</v>
      </c>
      <c r="Y743" t="s">
        <v>281</v>
      </c>
      <c r="Z743" t="s">
        <v>3178</v>
      </c>
      <c r="AA743" t="s">
        <v>181</v>
      </c>
      <c r="AB743" t="s">
        <v>87</v>
      </c>
      <c r="AC743" t="s">
        <v>181</v>
      </c>
    </row>
    <row r="744" spans="1:29">
      <c r="A744" t="s">
        <v>1160</v>
      </c>
      <c r="B744" s="2">
        <v>46182</v>
      </c>
      <c r="C744" t="s">
        <v>30</v>
      </c>
      <c r="D744" t="s">
        <v>99</v>
      </c>
      <c r="E744" t="s">
        <v>100</v>
      </c>
      <c r="F744" t="s">
        <v>140</v>
      </c>
      <c r="G744" t="s">
        <v>147</v>
      </c>
      <c r="H744" t="s">
        <v>103</v>
      </c>
      <c r="I744" t="s">
        <v>436</v>
      </c>
      <c r="J744" t="s">
        <v>3084</v>
      </c>
      <c r="K744" t="s">
        <v>116</v>
      </c>
      <c r="L744" t="s">
        <v>169</v>
      </c>
      <c r="M744" t="s">
        <v>93</v>
      </c>
      <c r="N744" t="s">
        <v>196</v>
      </c>
      <c r="O744" s="4">
        <v>7</v>
      </c>
      <c r="P744" s="4">
        <v>13</v>
      </c>
      <c r="Q744" t="s">
        <v>41</v>
      </c>
      <c r="R744" s="2">
        <v>46175</v>
      </c>
      <c r="S744" s="4">
        <v>28</v>
      </c>
      <c r="T744" s="3">
        <v>112000000</v>
      </c>
      <c r="U744" t="s">
        <v>196</v>
      </c>
      <c r="V744" t="s">
        <v>70</v>
      </c>
      <c r="W744" t="s">
        <v>675</v>
      </c>
      <c r="Y744" t="s">
        <v>210</v>
      </c>
      <c r="Z744" t="s">
        <v>3181</v>
      </c>
      <c r="AA744" t="s">
        <v>109</v>
      </c>
      <c r="AB744" t="s">
        <v>199</v>
      </c>
      <c r="AC744" t="s">
        <v>109</v>
      </c>
    </row>
    <row r="745" spans="1:29">
      <c r="A745" t="s">
        <v>1161</v>
      </c>
      <c r="B745" s="2">
        <v>46199</v>
      </c>
      <c r="C745" t="s">
        <v>30</v>
      </c>
      <c r="D745" t="s">
        <v>49</v>
      </c>
      <c r="E745" t="s">
        <v>120</v>
      </c>
      <c r="F745" t="s">
        <v>246</v>
      </c>
      <c r="G745" t="s">
        <v>420</v>
      </c>
      <c r="H745" t="s">
        <v>300</v>
      </c>
      <c r="I745" t="s">
        <v>421</v>
      </c>
      <c r="J745" t="s">
        <v>3080</v>
      </c>
      <c r="K745" t="s">
        <v>92</v>
      </c>
      <c r="L745" t="s">
        <v>80</v>
      </c>
      <c r="M745" t="s">
        <v>39</v>
      </c>
      <c r="N745" t="s">
        <v>82</v>
      </c>
      <c r="O745" s="4">
        <v>1</v>
      </c>
      <c r="P745" s="4">
        <v>12</v>
      </c>
      <c r="Q745" t="s">
        <v>41</v>
      </c>
      <c r="R745" s="2">
        <v>46193</v>
      </c>
      <c r="S745" s="4">
        <v>10</v>
      </c>
      <c r="T745" s="3">
        <v>161000000</v>
      </c>
      <c r="U745" t="s">
        <v>42</v>
      </c>
      <c r="V745" t="s">
        <v>43</v>
      </c>
      <c r="W745" t="s">
        <v>404</v>
      </c>
      <c r="Y745" t="s">
        <v>85</v>
      </c>
      <c r="Z745" t="s">
        <v>3180</v>
      </c>
      <c r="AA745" t="s">
        <v>97</v>
      </c>
      <c r="AB745" t="s">
        <v>193</v>
      </c>
      <c r="AC745" t="s">
        <v>97</v>
      </c>
    </row>
    <row r="746" spans="1:29">
      <c r="A746" t="s">
        <v>1162</v>
      </c>
      <c r="B746" s="2">
        <v>46175</v>
      </c>
      <c r="C746" t="s">
        <v>30</v>
      </c>
      <c r="D746" t="s">
        <v>134</v>
      </c>
      <c r="E746" t="s">
        <v>100</v>
      </c>
      <c r="F746" t="s">
        <v>146</v>
      </c>
      <c r="G746" t="s">
        <v>313</v>
      </c>
      <c r="H746" t="s">
        <v>201</v>
      </c>
      <c r="I746" t="s">
        <v>453</v>
      </c>
      <c r="J746" t="s">
        <v>3090</v>
      </c>
      <c r="K746" t="s">
        <v>37</v>
      </c>
      <c r="L746" t="s">
        <v>80</v>
      </c>
      <c r="M746" t="s">
        <v>56</v>
      </c>
      <c r="N746" t="s">
        <v>94</v>
      </c>
      <c r="O746" s="4">
        <v>4</v>
      </c>
      <c r="P746" s="4">
        <v>15</v>
      </c>
      <c r="Q746" t="s">
        <v>83</v>
      </c>
      <c r="R746" s="2">
        <v>46169</v>
      </c>
      <c r="S746" s="4">
        <v>34</v>
      </c>
      <c r="T746" s="3">
        <v>198000000</v>
      </c>
      <c r="U746" t="s">
        <v>42</v>
      </c>
      <c r="V746" t="s">
        <v>59</v>
      </c>
      <c r="W746" t="s">
        <v>95</v>
      </c>
      <c r="Y746" t="s">
        <v>108</v>
      </c>
      <c r="Z746" t="s">
        <v>3179</v>
      </c>
      <c r="AA746" t="s">
        <v>109</v>
      </c>
      <c r="AB746" t="s">
        <v>97</v>
      </c>
      <c r="AC746" t="s">
        <v>109</v>
      </c>
    </row>
    <row r="747" spans="1:29">
      <c r="A747" t="s">
        <v>1163</v>
      </c>
      <c r="B747" s="2">
        <v>46185</v>
      </c>
      <c r="C747" t="s">
        <v>30</v>
      </c>
      <c r="D747" t="s">
        <v>99</v>
      </c>
      <c r="E747" t="s">
        <v>120</v>
      </c>
      <c r="F747" t="s">
        <v>246</v>
      </c>
      <c r="G747" t="s">
        <v>227</v>
      </c>
      <c r="H747" t="s">
        <v>300</v>
      </c>
      <c r="I747" t="s">
        <v>400</v>
      </c>
      <c r="J747" t="s">
        <v>3074</v>
      </c>
      <c r="K747" t="s">
        <v>105</v>
      </c>
      <c r="L747" t="s">
        <v>55</v>
      </c>
      <c r="M747" t="s">
        <v>164</v>
      </c>
      <c r="N747" t="s">
        <v>94</v>
      </c>
      <c r="O747" s="4">
        <v>4</v>
      </c>
      <c r="P747" s="4">
        <v>11</v>
      </c>
      <c r="Q747" t="s">
        <v>142</v>
      </c>
      <c r="R747" s="2">
        <v>46178</v>
      </c>
      <c r="S747" s="4">
        <v>25</v>
      </c>
      <c r="T747" s="3">
        <v>200000000</v>
      </c>
      <c r="U747" t="s">
        <v>42</v>
      </c>
      <c r="V747" t="s">
        <v>143</v>
      </c>
      <c r="W747" t="s">
        <v>95</v>
      </c>
      <c r="Y747" t="s">
        <v>108</v>
      </c>
      <c r="Z747" t="s">
        <v>3179</v>
      </c>
      <c r="AA747" t="s">
        <v>97</v>
      </c>
      <c r="AB747" t="s">
        <v>97</v>
      </c>
      <c r="AC747" t="s">
        <v>97</v>
      </c>
    </row>
    <row r="748" spans="1:29">
      <c r="A748" t="s">
        <v>1164</v>
      </c>
      <c r="B748" s="2">
        <v>46178</v>
      </c>
      <c r="C748" t="s">
        <v>30</v>
      </c>
      <c r="D748" t="s">
        <v>134</v>
      </c>
      <c r="E748" t="s">
        <v>152</v>
      </c>
      <c r="F748" t="s">
        <v>153</v>
      </c>
      <c r="G748" t="s">
        <v>294</v>
      </c>
      <c r="H748" t="s">
        <v>155</v>
      </c>
      <c r="I748" t="s">
        <v>156</v>
      </c>
      <c r="J748" t="s">
        <v>3020</v>
      </c>
      <c r="K748" t="s">
        <v>37</v>
      </c>
      <c r="L748" t="s">
        <v>150</v>
      </c>
      <c r="M748" t="s">
        <v>129</v>
      </c>
      <c r="N748" t="s">
        <v>82</v>
      </c>
      <c r="O748" s="4">
        <v>1</v>
      </c>
      <c r="P748" s="4">
        <v>11</v>
      </c>
      <c r="Q748" t="s">
        <v>58</v>
      </c>
      <c r="R748" s="2">
        <v>46171</v>
      </c>
      <c r="S748" s="4">
        <v>32</v>
      </c>
      <c r="T748" s="3">
        <v>168000000</v>
      </c>
      <c r="U748" t="s">
        <v>42</v>
      </c>
      <c r="V748" t="s">
        <v>43</v>
      </c>
      <c r="W748" t="s">
        <v>359</v>
      </c>
      <c r="Y748" t="s">
        <v>85</v>
      </c>
      <c r="Z748" t="s">
        <v>3178</v>
      </c>
      <c r="AA748" t="s">
        <v>159</v>
      </c>
      <c r="AB748" t="s">
        <v>87</v>
      </c>
      <c r="AC748" t="s">
        <v>159</v>
      </c>
    </row>
    <row r="749" spans="1:29">
      <c r="A749" t="s">
        <v>1165</v>
      </c>
      <c r="B749" s="2">
        <v>46191</v>
      </c>
      <c r="C749" t="s">
        <v>30</v>
      </c>
      <c r="D749" t="s">
        <v>74</v>
      </c>
      <c r="E749" t="s">
        <v>120</v>
      </c>
      <c r="F749" t="s">
        <v>167</v>
      </c>
      <c r="G749" t="s">
        <v>224</v>
      </c>
      <c r="H749" t="s">
        <v>300</v>
      </c>
      <c r="I749" t="s">
        <v>301</v>
      </c>
      <c r="J749" t="s">
        <v>3045</v>
      </c>
      <c r="K749" t="s">
        <v>92</v>
      </c>
      <c r="L749" t="s">
        <v>55</v>
      </c>
      <c r="M749" t="s">
        <v>106</v>
      </c>
      <c r="N749" t="s">
        <v>40</v>
      </c>
      <c r="O749" s="4">
        <v>2</v>
      </c>
      <c r="P749" s="4">
        <v>8</v>
      </c>
      <c r="Q749" t="s">
        <v>107</v>
      </c>
      <c r="R749" s="2">
        <v>46190</v>
      </c>
      <c r="S749" s="4">
        <v>13</v>
      </c>
      <c r="T749" s="3">
        <v>128000000</v>
      </c>
      <c r="U749" t="s">
        <v>42</v>
      </c>
      <c r="V749" t="s">
        <v>43</v>
      </c>
      <c r="W749" t="s">
        <v>239</v>
      </c>
      <c r="Y749" t="s">
        <v>180</v>
      </c>
      <c r="Z749" t="s">
        <v>3178</v>
      </c>
      <c r="AA749" t="s">
        <v>97</v>
      </c>
      <c r="AB749" t="s">
        <v>87</v>
      </c>
      <c r="AC749" t="s">
        <v>97</v>
      </c>
    </row>
    <row r="750" spans="1:29">
      <c r="A750" t="s">
        <v>1166</v>
      </c>
      <c r="B750" s="2">
        <v>46195</v>
      </c>
      <c r="C750" t="s">
        <v>30</v>
      </c>
      <c r="D750" t="s">
        <v>49</v>
      </c>
      <c r="E750" t="s">
        <v>111</v>
      </c>
      <c r="F750" t="s">
        <v>112</v>
      </c>
      <c r="G750" t="s">
        <v>126</v>
      </c>
      <c r="H750" t="s">
        <v>191</v>
      </c>
      <c r="I750" t="s">
        <v>449</v>
      </c>
      <c r="J750" t="s">
        <v>3089</v>
      </c>
      <c r="K750" t="s">
        <v>105</v>
      </c>
      <c r="L750" t="s">
        <v>187</v>
      </c>
      <c r="M750" t="s">
        <v>56</v>
      </c>
      <c r="N750" t="s">
        <v>57</v>
      </c>
      <c r="O750" s="4">
        <v>3</v>
      </c>
      <c r="P750" s="4">
        <v>10</v>
      </c>
      <c r="Q750" t="s">
        <v>138</v>
      </c>
      <c r="R750" s="2">
        <v>46194</v>
      </c>
      <c r="S750" s="4">
        <v>9</v>
      </c>
      <c r="T750" s="3">
        <v>366000000</v>
      </c>
      <c r="U750" t="s">
        <v>42</v>
      </c>
      <c r="V750" t="s">
        <v>70</v>
      </c>
      <c r="W750" t="s">
        <v>60</v>
      </c>
      <c r="Y750" t="s">
        <v>61</v>
      </c>
      <c r="Z750" t="s">
        <v>3177</v>
      </c>
      <c r="AA750" t="s">
        <v>118</v>
      </c>
      <c r="AB750" t="s">
        <v>63</v>
      </c>
      <c r="AC750" t="s">
        <v>118</v>
      </c>
    </row>
    <row r="751" spans="1:29">
      <c r="A751" t="s">
        <v>1167</v>
      </c>
      <c r="B751" s="2">
        <v>46195</v>
      </c>
      <c r="C751" t="s">
        <v>30</v>
      </c>
      <c r="D751" t="s">
        <v>49</v>
      </c>
      <c r="E751" t="s">
        <v>100</v>
      </c>
      <c r="F751" t="s">
        <v>101</v>
      </c>
      <c r="G751" t="s">
        <v>237</v>
      </c>
      <c r="H751" t="s">
        <v>103</v>
      </c>
      <c r="I751" t="s">
        <v>447</v>
      </c>
      <c r="J751" t="s">
        <v>3088</v>
      </c>
      <c r="K751" t="s">
        <v>116</v>
      </c>
      <c r="L751" t="s">
        <v>150</v>
      </c>
      <c r="M751" t="s">
        <v>93</v>
      </c>
      <c r="N751" t="s">
        <v>213</v>
      </c>
      <c r="O751" s="4">
        <v>6</v>
      </c>
      <c r="P751" s="4">
        <v>21</v>
      </c>
      <c r="Q751" t="s">
        <v>41</v>
      </c>
      <c r="R751" s="2">
        <v>46186</v>
      </c>
      <c r="S751" s="4">
        <v>17</v>
      </c>
      <c r="T751" s="3">
        <v>68000000</v>
      </c>
      <c r="U751" t="s">
        <v>260</v>
      </c>
      <c r="V751" t="s">
        <v>70</v>
      </c>
      <c r="W751" t="s">
        <v>390</v>
      </c>
      <c r="X751" t="s">
        <v>381</v>
      </c>
      <c r="Y751" t="s">
        <v>424</v>
      </c>
      <c r="Z751" t="s">
        <v>3179</v>
      </c>
      <c r="AA751" t="s">
        <v>109</v>
      </c>
      <c r="AB751" t="s">
        <v>97</v>
      </c>
      <c r="AC751" t="s">
        <v>109</v>
      </c>
    </row>
    <row r="752" spans="1:29">
      <c r="A752" t="s">
        <v>1168</v>
      </c>
      <c r="B752" s="2">
        <v>46195</v>
      </c>
      <c r="C752" t="s">
        <v>30</v>
      </c>
      <c r="D752" t="s">
        <v>49</v>
      </c>
      <c r="E752" t="s">
        <v>111</v>
      </c>
      <c r="F752" t="s">
        <v>264</v>
      </c>
      <c r="G752" t="s">
        <v>113</v>
      </c>
      <c r="H752" t="s">
        <v>114</v>
      </c>
      <c r="I752" t="s">
        <v>988</v>
      </c>
      <c r="J752" t="s">
        <v>3168</v>
      </c>
      <c r="K752" t="s">
        <v>37</v>
      </c>
      <c r="L752" t="s">
        <v>80</v>
      </c>
      <c r="M752" t="s">
        <v>164</v>
      </c>
      <c r="N752" t="s">
        <v>82</v>
      </c>
      <c r="O752" s="4">
        <v>1</v>
      </c>
      <c r="P752" s="4">
        <v>4</v>
      </c>
      <c r="Q752" t="s">
        <v>41</v>
      </c>
      <c r="R752" s="2">
        <v>46185</v>
      </c>
      <c r="S752" s="4">
        <v>18</v>
      </c>
      <c r="T752" s="3">
        <v>237000000</v>
      </c>
      <c r="U752" t="s">
        <v>42</v>
      </c>
      <c r="V752" t="s">
        <v>43</v>
      </c>
      <c r="W752" t="s">
        <v>359</v>
      </c>
      <c r="Y752" t="s">
        <v>330</v>
      </c>
      <c r="Z752" t="s">
        <v>3176</v>
      </c>
      <c r="AA752" t="s">
        <v>118</v>
      </c>
      <c r="AB752" t="s">
        <v>47</v>
      </c>
      <c r="AC752" t="s">
        <v>118</v>
      </c>
    </row>
    <row r="753" spans="1:29">
      <c r="A753" t="s">
        <v>1169</v>
      </c>
      <c r="B753" s="2">
        <v>46203</v>
      </c>
      <c r="C753" t="s">
        <v>30</v>
      </c>
      <c r="D753" t="s">
        <v>31</v>
      </c>
      <c r="E753" t="s">
        <v>111</v>
      </c>
      <c r="F753" t="s">
        <v>112</v>
      </c>
      <c r="G753" t="s">
        <v>251</v>
      </c>
      <c r="H753" t="s">
        <v>191</v>
      </c>
      <c r="I753" t="s">
        <v>606</v>
      </c>
      <c r="J753" t="s">
        <v>3131</v>
      </c>
      <c r="K753" t="s">
        <v>116</v>
      </c>
      <c r="L753" t="s">
        <v>68</v>
      </c>
      <c r="M753" t="s">
        <v>106</v>
      </c>
      <c r="N753" t="s">
        <v>94</v>
      </c>
      <c r="O753" s="4">
        <v>4</v>
      </c>
      <c r="P753" s="4">
        <v>16</v>
      </c>
      <c r="Q753" t="s">
        <v>138</v>
      </c>
      <c r="R753" s="2">
        <v>46193</v>
      </c>
      <c r="S753" s="4">
        <v>10</v>
      </c>
      <c r="T753" s="3">
        <v>190000000</v>
      </c>
      <c r="U753" t="s">
        <v>426</v>
      </c>
      <c r="V753" t="s">
        <v>70</v>
      </c>
      <c r="W753" t="s">
        <v>188</v>
      </c>
      <c r="X753" t="s">
        <v>179</v>
      </c>
      <c r="Y753" t="s">
        <v>96</v>
      </c>
      <c r="Z753" t="s">
        <v>3179</v>
      </c>
      <c r="AA753" t="s">
        <v>118</v>
      </c>
      <c r="AB753" t="s">
        <v>97</v>
      </c>
      <c r="AC753" t="s">
        <v>118</v>
      </c>
    </row>
    <row r="754" spans="1:29">
      <c r="A754" t="s">
        <v>1170</v>
      </c>
      <c r="B754" s="2">
        <v>46175</v>
      </c>
      <c r="C754" t="s">
        <v>30</v>
      </c>
      <c r="D754" t="s">
        <v>134</v>
      </c>
      <c r="E754" t="s">
        <v>32</v>
      </c>
      <c r="F754" t="s">
        <v>256</v>
      </c>
      <c r="G754" t="s">
        <v>257</v>
      </c>
      <c r="H754" t="s">
        <v>303</v>
      </c>
      <c r="I754" t="s">
        <v>326</v>
      </c>
      <c r="J754" t="s">
        <v>3053</v>
      </c>
      <c r="K754" t="s">
        <v>37</v>
      </c>
      <c r="L754" t="s">
        <v>55</v>
      </c>
      <c r="M754" t="s">
        <v>129</v>
      </c>
      <c r="N754" t="s">
        <v>94</v>
      </c>
      <c r="O754" s="4">
        <v>4</v>
      </c>
      <c r="P754" s="4">
        <v>5</v>
      </c>
      <c r="Q754" t="s">
        <v>58</v>
      </c>
      <c r="R754" s="2">
        <v>46169</v>
      </c>
      <c r="S754" s="4">
        <v>34</v>
      </c>
      <c r="T754" s="3">
        <v>257000000</v>
      </c>
      <c r="U754" t="s">
        <v>42</v>
      </c>
      <c r="V754" t="s">
        <v>59</v>
      </c>
      <c r="W754" t="s">
        <v>267</v>
      </c>
      <c r="X754" t="s">
        <v>253</v>
      </c>
      <c r="Y754" t="s">
        <v>108</v>
      </c>
      <c r="Z754" t="s">
        <v>3179</v>
      </c>
      <c r="AA754" t="s">
        <v>46</v>
      </c>
      <c r="AB754" t="s">
        <v>97</v>
      </c>
      <c r="AC754" t="s">
        <v>46</v>
      </c>
    </row>
    <row r="755" spans="1:29">
      <c r="A755" t="s">
        <v>1171</v>
      </c>
      <c r="B755" s="2">
        <v>46197</v>
      </c>
      <c r="C755" t="s">
        <v>30</v>
      </c>
      <c r="D755" t="s">
        <v>49</v>
      </c>
      <c r="E755" t="s">
        <v>100</v>
      </c>
      <c r="F755" t="s">
        <v>140</v>
      </c>
      <c r="G755" t="s">
        <v>212</v>
      </c>
      <c r="H755" t="s">
        <v>148</v>
      </c>
      <c r="I755" t="s">
        <v>315</v>
      </c>
      <c r="J755" t="s">
        <v>3049</v>
      </c>
      <c r="K755" t="s">
        <v>37</v>
      </c>
      <c r="L755" t="s">
        <v>80</v>
      </c>
      <c r="M755" t="s">
        <v>93</v>
      </c>
      <c r="N755" t="s">
        <v>196</v>
      </c>
      <c r="O755" s="4">
        <v>7</v>
      </c>
      <c r="P755" s="4">
        <v>23</v>
      </c>
      <c r="Q755" t="s">
        <v>58</v>
      </c>
      <c r="R755" s="2">
        <v>46191</v>
      </c>
      <c r="S755" s="4">
        <v>12</v>
      </c>
      <c r="T755" s="3">
        <v>84000000</v>
      </c>
      <c r="U755" t="s">
        <v>196</v>
      </c>
      <c r="V755" t="s">
        <v>70</v>
      </c>
      <c r="W755" t="s">
        <v>243</v>
      </c>
      <c r="Y755" t="s">
        <v>369</v>
      </c>
      <c r="Z755" t="s">
        <v>3181</v>
      </c>
      <c r="AA755" t="s">
        <v>109</v>
      </c>
      <c r="AB755" t="s">
        <v>199</v>
      </c>
      <c r="AC755" t="s">
        <v>109</v>
      </c>
    </row>
    <row r="756" spans="1:29">
      <c r="A756" t="s">
        <v>1172</v>
      </c>
      <c r="B756" s="2">
        <v>46191</v>
      </c>
      <c r="C756" t="s">
        <v>30</v>
      </c>
      <c r="D756" t="s">
        <v>74</v>
      </c>
      <c r="E756" t="s">
        <v>120</v>
      </c>
      <c r="F756" t="s">
        <v>246</v>
      </c>
      <c r="G756" t="s">
        <v>227</v>
      </c>
      <c r="H756" t="s">
        <v>300</v>
      </c>
      <c r="I756" t="s">
        <v>400</v>
      </c>
      <c r="J756" t="s">
        <v>3074</v>
      </c>
      <c r="K756" t="s">
        <v>56</v>
      </c>
      <c r="L756" t="s">
        <v>187</v>
      </c>
      <c r="M756" t="s">
        <v>39</v>
      </c>
      <c r="N756" t="s">
        <v>94</v>
      </c>
      <c r="O756" s="4">
        <v>4</v>
      </c>
      <c r="P756" s="4">
        <v>8</v>
      </c>
      <c r="Q756" t="s">
        <v>83</v>
      </c>
      <c r="R756" s="2">
        <v>46181</v>
      </c>
      <c r="S756" s="4">
        <v>22</v>
      </c>
      <c r="T756" s="3">
        <v>250000000</v>
      </c>
      <c r="U756" t="s">
        <v>42</v>
      </c>
      <c r="V756" t="s">
        <v>70</v>
      </c>
      <c r="W756" t="s">
        <v>95</v>
      </c>
      <c r="Y756" t="s">
        <v>108</v>
      </c>
      <c r="Z756" t="s">
        <v>3179</v>
      </c>
      <c r="AA756" t="s">
        <v>97</v>
      </c>
      <c r="AB756" t="s">
        <v>97</v>
      </c>
      <c r="AC756" t="s">
        <v>97</v>
      </c>
    </row>
    <row r="757" spans="1:29">
      <c r="A757" t="s">
        <v>1173</v>
      </c>
      <c r="B757" s="2">
        <v>46191</v>
      </c>
      <c r="C757" t="s">
        <v>30</v>
      </c>
      <c r="D757" t="s">
        <v>74</v>
      </c>
      <c r="E757" t="s">
        <v>111</v>
      </c>
      <c r="F757" t="s">
        <v>112</v>
      </c>
      <c r="G757" t="s">
        <v>348</v>
      </c>
      <c r="H757" t="s">
        <v>127</v>
      </c>
      <c r="I757" t="s">
        <v>461</v>
      </c>
      <c r="J757" t="s">
        <v>3094</v>
      </c>
      <c r="K757" t="s">
        <v>56</v>
      </c>
      <c r="L757" t="s">
        <v>169</v>
      </c>
      <c r="M757" t="s">
        <v>56</v>
      </c>
      <c r="N757" t="s">
        <v>213</v>
      </c>
      <c r="O757" s="4">
        <v>6</v>
      </c>
      <c r="P757" s="4">
        <v>11</v>
      </c>
      <c r="Q757" t="s">
        <v>142</v>
      </c>
      <c r="R757" s="2">
        <v>46188</v>
      </c>
      <c r="S757" s="4">
        <v>15</v>
      </c>
      <c r="T757" s="3">
        <v>349000000</v>
      </c>
      <c r="U757" t="s">
        <v>214</v>
      </c>
      <c r="V757" t="s">
        <v>70</v>
      </c>
      <c r="W757" t="s">
        <v>390</v>
      </c>
      <c r="Y757" t="s">
        <v>249</v>
      </c>
      <c r="Z757" t="s">
        <v>3179</v>
      </c>
      <c r="AA757" t="s">
        <v>118</v>
      </c>
      <c r="AB757" t="s">
        <v>97</v>
      </c>
      <c r="AC757" t="s">
        <v>118</v>
      </c>
    </row>
    <row r="758" spans="1:29">
      <c r="A758" t="s">
        <v>1174</v>
      </c>
      <c r="B758" s="2">
        <v>46192</v>
      </c>
      <c r="C758" t="s">
        <v>30</v>
      </c>
      <c r="D758" t="s">
        <v>74</v>
      </c>
      <c r="E758" t="s">
        <v>100</v>
      </c>
      <c r="F758" t="s">
        <v>146</v>
      </c>
      <c r="G758" t="s">
        <v>212</v>
      </c>
      <c r="H758" t="s">
        <v>103</v>
      </c>
      <c r="I758" t="s">
        <v>436</v>
      </c>
      <c r="J758" t="s">
        <v>3084</v>
      </c>
      <c r="K758" t="s">
        <v>56</v>
      </c>
      <c r="L758" t="s">
        <v>80</v>
      </c>
      <c r="M758" t="s">
        <v>93</v>
      </c>
      <c r="N758" t="s">
        <v>40</v>
      </c>
      <c r="O758" s="4">
        <v>2</v>
      </c>
      <c r="P758" s="4">
        <v>10</v>
      </c>
      <c r="Q758" t="s">
        <v>107</v>
      </c>
      <c r="R758" s="2">
        <v>46189</v>
      </c>
      <c r="S758" s="4">
        <v>14</v>
      </c>
      <c r="T758" s="3">
        <v>375000000</v>
      </c>
      <c r="U758" t="s">
        <v>42</v>
      </c>
      <c r="V758" t="s">
        <v>43</v>
      </c>
      <c r="W758" t="s">
        <v>298</v>
      </c>
      <c r="Y758" t="s">
        <v>281</v>
      </c>
      <c r="Z758" t="s">
        <v>3178</v>
      </c>
      <c r="AA758" t="s">
        <v>109</v>
      </c>
      <c r="AB758" t="s">
        <v>87</v>
      </c>
      <c r="AC758" t="s">
        <v>109</v>
      </c>
    </row>
    <row r="759" spans="1:29">
      <c r="A759" t="s">
        <v>1175</v>
      </c>
      <c r="B759" s="2">
        <v>46197</v>
      </c>
      <c r="C759" t="s">
        <v>30</v>
      </c>
      <c r="D759" t="s">
        <v>49</v>
      </c>
      <c r="E759" t="s">
        <v>120</v>
      </c>
      <c r="F759" t="s">
        <v>246</v>
      </c>
      <c r="G759" t="s">
        <v>122</v>
      </c>
      <c r="H759" t="s">
        <v>123</v>
      </c>
      <c r="I759" t="s">
        <v>459</v>
      </c>
      <c r="J759" t="s">
        <v>3093</v>
      </c>
      <c r="K759" t="s">
        <v>105</v>
      </c>
      <c r="L759" t="s">
        <v>68</v>
      </c>
      <c r="M759" t="s">
        <v>129</v>
      </c>
      <c r="N759" t="s">
        <v>94</v>
      </c>
      <c r="O759" s="4">
        <v>4</v>
      </c>
      <c r="P759" s="4">
        <v>10</v>
      </c>
      <c r="Q759" t="s">
        <v>41</v>
      </c>
      <c r="R759" s="2">
        <v>46194</v>
      </c>
      <c r="S759" s="4">
        <v>9</v>
      </c>
      <c r="T759" s="3">
        <v>148000000</v>
      </c>
      <c r="U759" t="s">
        <v>426</v>
      </c>
      <c r="V759" t="s">
        <v>59</v>
      </c>
      <c r="W759" t="s">
        <v>188</v>
      </c>
      <c r="X759" t="s">
        <v>381</v>
      </c>
      <c r="Y759" t="s">
        <v>96</v>
      </c>
      <c r="Z759" t="s">
        <v>3179</v>
      </c>
      <c r="AA759" t="s">
        <v>97</v>
      </c>
      <c r="AB759" t="s">
        <v>97</v>
      </c>
      <c r="AC759" t="s">
        <v>97</v>
      </c>
    </row>
    <row r="760" spans="1:29">
      <c r="A760" t="s">
        <v>1176</v>
      </c>
      <c r="B760" s="2">
        <v>46182</v>
      </c>
      <c r="C760" t="s">
        <v>30</v>
      </c>
      <c r="D760" t="s">
        <v>99</v>
      </c>
      <c r="E760" t="s">
        <v>50</v>
      </c>
      <c r="F760" t="s">
        <v>351</v>
      </c>
      <c r="G760" t="s">
        <v>65</v>
      </c>
      <c r="H760" t="s">
        <v>90</v>
      </c>
      <c r="I760" t="s">
        <v>740</v>
      </c>
      <c r="J760" t="s">
        <v>3151</v>
      </c>
      <c r="K760" t="s">
        <v>56</v>
      </c>
      <c r="L760" t="s">
        <v>80</v>
      </c>
      <c r="M760" t="s">
        <v>56</v>
      </c>
      <c r="N760" t="s">
        <v>196</v>
      </c>
      <c r="O760" s="4">
        <v>7</v>
      </c>
      <c r="P760" s="4">
        <v>16</v>
      </c>
      <c r="Q760" t="s">
        <v>58</v>
      </c>
      <c r="R760" s="2">
        <v>46178</v>
      </c>
      <c r="S760" s="4">
        <v>25</v>
      </c>
      <c r="T760" s="3">
        <v>169000000</v>
      </c>
      <c r="U760" t="s">
        <v>196</v>
      </c>
      <c r="V760" t="s">
        <v>70</v>
      </c>
      <c r="W760" t="s">
        <v>197</v>
      </c>
      <c r="Y760" t="s">
        <v>198</v>
      </c>
      <c r="Z760" t="s">
        <v>3181</v>
      </c>
      <c r="AA760" t="s">
        <v>62</v>
      </c>
      <c r="AB760" t="s">
        <v>199</v>
      </c>
      <c r="AC760" t="s">
        <v>62</v>
      </c>
    </row>
    <row r="761" spans="1:29">
      <c r="A761" t="s">
        <v>1177</v>
      </c>
      <c r="B761" s="2">
        <v>46198</v>
      </c>
      <c r="C761" t="s">
        <v>30</v>
      </c>
      <c r="D761" t="s">
        <v>49</v>
      </c>
      <c r="E761" t="s">
        <v>75</v>
      </c>
      <c r="F761" t="s">
        <v>161</v>
      </c>
      <c r="G761" t="s">
        <v>162</v>
      </c>
      <c r="H761" t="s">
        <v>388</v>
      </c>
      <c r="I761" t="s">
        <v>556</v>
      </c>
      <c r="J761" t="s">
        <v>3118</v>
      </c>
      <c r="K761" t="s">
        <v>37</v>
      </c>
      <c r="L761" t="s">
        <v>55</v>
      </c>
      <c r="M761" t="s">
        <v>56</v>
      </c>
      <c r="N761" t="s">
        <v>57</v>
      </c>
      <c r="O761" s="4">
        <v>3</v>
      </c>
      <c r="P761" s="4">
        <v>5</v>
      </c>
      <c r="Q761" t="s">
        <v>107</v>
      </c>
      <c r="R761" s="2">
        <v>46191</v>
      </c>
      <c r="S761" s="4">
        <v>12</v>
      </c>
      <c r="T761" s="3">
        <v>99000000</v>
      </c>
      <c r="U761" t="s">
        <v>42</v>
      </c>
      <c r="V761" t="s">
        <v>59</v>
      </c>
      <c r="W761" t="s">
        <v>203</v>
      </c>
      <c r="Y761" t="s">
        <v>61</v>
      </c>
      <c r="Z761" t="s">
        <v>3177</v>
      </c>
      <c r="AA761" t="s">
        <v>86</v>
      </c>
      <c r="AB761" t="s">
        <v>63</v>
      </c>
      <c r="AC761" t="s">
        <v>86</v>
      </c>
    </row>
    <row r="762" spans="1:29">
      <c r="A762" t="s">
        <v>1178</v>
      </c>
      <c r="B762" s="2">
        <v>46199</v>
      </c>
      <c r="C762" t="s">
        <v>30</v>
      </c>
      <c r="D762" t="s">
        <v>49</v>
      </c>
      <c r="E762" t="s">
        <v>120</v>
      </c>
      <c r="F762" t="s">
        <v>167</v>
      </c>
      <c r="G762" t="s">
        <v>135</v>
      </c>
      <c r="H762" t="s">
        <v>136</v>
      </c>
      <c r="I762" t="s">
        <v>247</v>
      </c>
      <c r="J762" t="s">
        <v>3035</v>
      </c>
      <c r="K762" t="s">
        <v>116</v>
      </c>
      <c r="L762" t="s">
        <v>68</v>
      </c>
      <c r="M762" t="s">
        <v>164</v>
      </c>
      <c r="N762" t="s">
        <v>94</v>
      </c>
      <c r="O762" s="4">
        <v>4</v>
      </c>
      <c r="P762" s="4">
        <v>10</v>
      </c>
      <c r="Q762" t="s">
        <v>142</v>
      </c>
      <c r="R762" s="2">
        <v>46196</v>
      </c>
      <c r="S762" s="4">
        <v>7</v>
      </c>
      <c r="T762" s="3">
        <v>146000000</v>
      </c>
      <c r="U762" t="s">
        <v>42</v>
      </c>
      <c r="V762" t="s">
        <v>59</v>
      </c>
      <c r="W762" t="s">
        <v>95</v>
      </c>
      <c r="Y762" t="s">
        <v>108</v>
      </c>
      <c r="Z762" t="s">
        <v>3179</v>
      </c>
      <c r="AA762" t="s">
        <v>97</v>
      </c>
      <c r="AB762" t="s">
        <v>97</v>
      </c>
      <c r="AC762" t="s">
        <v>97</v>
      </c>
    </row>
    <row r="763" spans="1:29">
      <c r="A763" t="s">
        <v>1179</v>
      </c>
      <c r="B763" s="2">
        <v>46184</v>
      </c>
      <c r="C763" t="s">
        <v>30</v>
      </c>
      <c r="D763" t="s">
        <v>99</v>
      </c>
      <c r="E763" t="s">
        <v>50</v>
      </c>
      <c r="F763" t="s">
        <v>89</v>
      </c>
      <c r="G763" t="s">
        <v>343</v>
      </c>
      <c r="H763" t="s">
        <v>53</v>
      </c>
      <c r="I763" t="s">
        <v>787</v>
      </c>
      <c r="J763" t="s">
        <v>3154</v>
      </c>
      <c r="K763" t="s">
        <v>37</v>
      </c>
      <c r="L763" t="s">
        <v>80</v>
      </c>
      <c r="M763" t="s">
        <v>164</v>
      </c>
      <c r="N763" t="s">
        <v>57</v>
      </c>
      <c r="O763" s="4">
        <v>3</v>
      </c>
      <c r="P763" s="4">
        <v>5</v>
      </c>
      <c r="Q763" t="s">
        <v>142</v>
      </c>
      <c r="R763" s="2">
        <v>46174</v>
      </c>
      <c r="S763" s="4">
        <v>29</v>
      </c>
      <c r="T763" s="3">
        <v>236000000</v>
      </c>
      <c r="U763" t="s">
        <v>42</v>
      </c>
      <c r="V763" t="s">
        <v>59</v>
      </c>
      <c r="W763" t="s">
        <v>60</v>
      </c>
      <c r="Y763" t="s">
        <v>72</v>
      </c>
      <c r="Z763" t="s">
        <v>3177</v>
      </c>
      <c r="AA763" t="s">
        <v>62</v>
      </c>
      <c r="AB763" t="s">
        <v>63</v>
      </c>
      <c r="AC763" t="s">
        <v>62</v>
      </c>
    </row>
    <row r="764" spans="1:29">
      <c r="A764" t="s">
        <v>1180</v>
      </c>
      <c r="B764" s="2">
        <v>46198</v>
      </c>
      <c r="C764" t="s">
        <v>30</v>
      </c>
      <c r="D764" t="s">
        <v>49</v>
      </c>
      <c r="E764" t="s">
        <v>120</v>
      </c>
      <c r="F764" t="s">
        <v>246</v>
      </c>
      <c r="G764" t="s">
        <v>420</v>
      </c>
      <c r="H764" t="s">
        <v>300</v>
      </c>
      <c r="I764" t="s">
        <v>301</v>
      </c>
      <c r="J764" t="s">
        <v>3045</v>
      </c>
      <c r="K764" t="s">
        <v>105</v>
      </c>
      <c r="L764" t="s">
        <v>169</v>
      </c>
      <c r="M764" t="s">
        <v>81</v>
      </c>
      <c r="N764" t="s">
        <v>130</v>
      </c>
      <c r="O764" s="4">
        <v>5</v>
      </c>
      <c r="P764" s="4">
        <v>12</v>
      </c>
      <c r="Q764" t="s">
        <v>41</v>
      </c>
      <c r="R764" s="2">
        <v>46190</v>
      </c>
      <c r="S764" s="4">
        <v>13</v>
      </c>
      <c r="T764" s="3">
        <v>241000000</v>
      </c>
      <c r="U764" t="s">
        <v>42</v>
      </c>
      <c r="V764" t="s">
        <v>70</v>
      </c>
      <c r="W764" t="s">
        <v>355</v>
      </c>
      <c r="Y764" t="s">
        <v>132</v>
      </c>
      <c r="Z764" t="s">
        <v>3179</v>
      </c>
      <c r="AA764" t="s">
        <v>97</v>
      </c>
      <c r="AB764" t="s">
        <v>97</v>
      </c>
      <c r="AC764" t="s">
        <v>97</v>
      </c>
    </row>
    <row r="765" spans="1:29">
      <c r="A765" t="s">
        <v>1181</v>
      </c>
      <c r="B765" s="2">
        <v>46203</v>
      </c>
      <c r="C765" t="s">
        <v>30</v>
      </c>
      <c r="D765" t="s">
        <v>31</v>
      </c>
      <c r="E765" t="s">
        <v>50</v>
      </c>
      <c r="F765" t="s">
        <v>51</v>
      </c>
      <c r="G765" t="s">
        <v>270</v>
      </c>
      <c r="H765" t="s">
        <v>90</v>
      </c>
      <c r="I765" t="s">
        <v>352</v>
      </c>
      <c r="J765" t="s">
        <v>3060</v>
      </c>
      <c r="K765" t="s">
        <v>37</v>
      </c>
      <c r="L765" t="s">
        <v>55</v>
      </c>
      <c r="M765" t="s">
        <v>129</v>
      </c>
      <c r="N765" t="s">
        <v>57</v>
      </c>
      <c r="O765" s="4">
        <v>3</v>
      </c>
      <c r="P765" s="4">
        <v>11</v>
      </c>
      <c r="Q765" t="s">
        <v>41</v>
      </c>
      <c r="R765" s="2">
        <v>46197</v>
      </c>
      <c r="S765" s="4">
        <v>6</v>
      </c>
      <c r="T765" s="3">
        <v>140000000</v>
      </c>
      <c r="U765" t="s">
        <v>42</v>
      </c>
      <c r="V765" t="s">
        <v>59</v>
      </c>
      <c r="W765" t="s">
        <v>71</v>
      </c>
      <c r="Y765" t="s">
        <v>165</v>
      </c>
      <c r="Z765" t="s">
        <v>3177</v>
      </c>
      <c r="AA765" t="s">
        <v>62</v>
      </c>
      <c r="AB765" t="s">
        <v>63</v>
      </c>
      <c r="AC765" t="s">
        <v>62</v>
      </c>
    </row>
    <row r="766" spans="1:29">
      <c r="A766" t="s">
        <v>1182</v>
      </c>
      <c r="B766" s="2">
        <v>46188</v>
      </c>
      <c r="C766" t="s">
        <v>30</v>
      </c>
      <c r="D766" t="s">
        <v>74</v>
      </c>
      <c r="E766" t="s">
        <v>32</v>
      </c>
      <c r="F766" t="s">
        <v>273</v>
      </c>
      <c r="G766" t="s">
        <v>463</v>
      </c>
      <c r="H766" t="s">
        <v>258</v>
      </c>
      <c r="I766" t="s">
        <v>568</v>
      </c>
      <c r="J766" t="s">
        <v>3121</v>
      </c>
      <c r="K766" t="s">
        <v>37</v>
      </c>
      <c r="L766" t="s">
        <v>38</v>
      </c>
      <c r="M766" t="s">
        <v>93</v>
      </c>
      <c r="N766" t="s">
        <v>40</v>
      </c>
      <c r="O766" s="4">
        <v>2</v>
      </c>
      <c r="P766" s="4">
        <v>3</v>
      </c>
      <c r="Q766" t="s">
        <v>69</v>
      </c>
      <c r="R766" s="2">
        <v>46184</v>
      </c>
      <c r="S766" s="4">
        <v>19</v>
      </c>
      <c r="T766" s="3">
        <v>114000000</v>
      </c>
      <c r="U766" t="s">
        <v>42</v>
      </c>
      <c r="V766" t="s">
        <v>43</v>
      </c>
      <c r="W766" t="s">
        <v>298</v>
      </c>
      <c r="Y766" t="s">
        <v>309</v>
      </c>
      <c r="Z766" t="s">
        <v>3176</v>
      </c>
      <c r="AA766" t="s">
        <v>46</v>
      </c>
      <c r="AB766" t="s">
        <v>47</v>
      </c>
      <c r="AC766" t="s">
        <v>46</v>
      </c>
    </row>
    <row r="767" spans="1:29">
      <c r="A767" t="s">
        <v>1183</v>
      </c>
      <c r="B767" s="2">
        <v>46193</v>
      </c>
      <c r="C767" t="s">
        <v>30</v>
      </c>
      <c r="D767" t="s">
        <v>74</v>
      </c>
      <c r="E767" t="s">
        <v>152</v>
      </c>
      <c r="F767" t="s">
        <v>205</v>
      </c>
      <c r="G767" t="s">
        <v>206</v>
      </c>
      <c r="H767" t="s">
        <v>207</v>
      </c>
      <c r="I767" t="s">
        <v>547</v>
      </c>
      <c r="J767" t="s">
        <v>3116</v>
      </c>
      <c r="K767" t="s">
        <v>56</v>
      </c>
      <c r="L767" t="s">
        <v>38</v>
      </c>
      <c r="M767" t="s">
        <v>164</v>
      </c>
      <c r="N767" t="s">
        <v>57</v>
      </c>
      <c r="O767" s="4">
        <v>3</v>
      </c>
      <c r="P767" s="4">
        <v>9</v>
      </c>
      <c r="Q767" t="s">
        <v>107</v>
      </c>
      <c r="R767" s="2">
        <v>46188</v>
      </c>
      <c r="S767" s="4">
        <v>15</v>
      </c>
      <c r="T767" s="3">
        <v>89000000</v>
      </c>
      <c r="U767" t="s">
        <v>42</v>
      </c>
      <c r="V767" t="s">
        <v>43</v>
      </c>
      <c r="W767" t="s">
        <v>60</v>
      </c>
      <c r="Y767" t="s">
        <v>61</v>
      </c>
      <c r="Z767" t="s">
        <v>3177</v>
      </c>
      <c r="AA767" t="s">
        <v>159</v>
      </c>
      <c r="AB767" t="s">
        <v>63</v>
      </c>
      <c r="AC767" t="s">
        <v>159</v>
      </c>
    </row>
    <row r="768" spans="1:29">
      <c r="A768" t="s">
        <v>1184</v>
      </c>
      <c r="B768" s="2">
        <v>46176</v>
      </c>
      <c r="C768" t="s">
        <v>30</v>
      </c>
      <c r="D768" t="s">
        <v>134</v>
      </c>
      <c r="E768" t="s">
        <v>32</v>
      </c>
      <c r="F768" t="s">
        <v>273</v>
      </c>
      <c r="G768" t="s">
        <v>34</v>
      </c>
      <c r="H768" t="s">
        <v>303</v>
      </c>
      <c r="I768" t="s">
        <v>964</v>
      </c>
      <c r="J768" t="s">
        <v>3167</v>
      </c>
      <c r="K768" t="s">
        <v>37</v>
      </c>
      <c r="L768" t="s">
        <v>68</v>
      </c>
      <c r="M768" t="s">
        <v>106</v>
      </c>
      <c r="N768" t="s">
        <v>82</v>
      </c>
      <c r="O768" s="4">
        <v>1</v>
      </c>
      <c r="P768" s="4">
        <v>3</v>
      </c>
      <c r="Q768" t="s">
        <v>69</v>
      </c>
      <c r="R768" s="2">
        <v>46174</v>
      </c>
      <c r="S768" s="4">
        <v>29</v>
      </c>
      <c r="T768" s="3">
        <v>87000000</v>
      </c>
      <c r="U768" t="s">
        <v>42</v>
      </c>
      <c r="V768" t="s">
        <v>59</v>
      </c>
      <c r="W768" t="s">
        <v>84</v>
      </c>
      <c r="Y768" t="s">
        <v>305</v>
      </c>
      <c r="Z768" t="s">
        <v>3176</v>
      </c>
      <c r="AA768" t="s">
        <v>46</v>
      </c>
      <c r="AB768" t="s">
        <v>47</v>
      </c>
      <c r="AC768" t="s">
        <v>46</v>
      </c>
    </row>
    <row r="769" spans="1:29">
      <c r="A769" t="s">
        <v>1185</v>
      </c>
      <c r="B769" s="2">
        <v>46191</v>
      </c>
      <c r="C769" t="s">
        <v>30</v>
      </c>
      <c r="D769" t="s">
        <v>74</v>
      </c>
      <c r="E769" t="s">
        <v>120</v>
      </c>
      <c r="F769" t="s">
        <v>121</v>
      </c>
      <c r="G769" t="s">
        <v>135</v>
      </c>
      <c r="H769" t="s">
        <v>123</v>
      </c>
      <c r="I769" t="s">
        <v>124</v>
      </c>
      <c r="J769" t="s">
        <v>3015</v>
      </c>
      <c r="K769" t="s">
        <v>56</v>
      </c>
      <c r="L769" t="s">
        <v>187</v>
      </c>
      <c r="M769" t="s">
        <v>56</v>
      </c>
      <c r="N769" t="s">
        <v>94</v>
      </c>
      <c r="O769" s="4">
        <v>4</v>
      </c>
      <c r="P769" s="4">
        <v>8</v>
      </c>
      <c r="Q769" t="s">
        <v>69</v>
      </c>
      <c r="R769" s="2">
        <v>46189</v>
      </c>
      <c r="S769" s="4">
        <v>14</v>
      </c>
      <c r="T769" s="3">
        <v>186000000</v>
      </c>
      <c r="U769" t="s">
        <v>42</v>
      </c>
      <c r="V769" t="s">
        <v>70</v>
      </c>
      <c r="W769" t="s">
        <v>170</v>
      </c>
      <c r="X769" t="s">
        <v>253</v>
      </c>
      <c r="Y769" t="s">
        <v>108</v>
      </c>
      <c r="Z769" t="s">
        <v>3179</v>
      </c>
      <c r="AA769" t="s">
        <v>97</v>
      </c>
      <c r="AB769" t="s">
        <v>97</v>
      </c>
      <c r="AC769" t="s">
        <v>97</v>
      </c>
    </row>
    <row r="770" spans="1:29">
      <c r="A770" t="s">
        <v>1186</v>
      </c>
      <c r="B770" s="2">
        <v>46190</v>
      </c>
      <c r="C770" t="s">
        <v>30</v>
      </c>
      <c r="D770" t="s">
        <v>74</v>
      </c>
      <c r="E770" t="s">
        <v>75</v>
      </c>
      <c r="F770" t="s">
        <v>76</v>
      </c>
      <c r="G770" t="s">
        <v>184</v>
      </c>
      <c r="H770" t="s">
        <v>388</v>
      </c>
      <c r="I770" t="s">
        <v>556</v>
      </c>
      <c r="J770" t="s">
        <v>3118</v>
      </c>
      <c r="K770" t="s">
        <v>37</v>
      </c>
      <c r="L770" t="s">
        <v>68</v>
      </c>
      <c r="M770" t="s">
        <v>106</v>
      </c>
      <c r="N770" t="s">
        <v>213</v>
      </c>
      <c r="O770" s="4">
        <v>6</v>
      </c>
      <c r="P770" s="4">
        <v>10</v>
      </c>
      <c r="Q770" t="s">
        <v>142</v>
      </c>
      <c r="R770" s="2">
        <v>46186</v>
      </c>
      <c r="S770" s="4">
        <v>17</v>
      </c>
      <c r="T770" s="3">
        <v>212000000</v>
      </c>
      <c r="U770" t="s">
        <v>214</v>
      </c>
      <c r="V770" t="s">
        <v>70</v>
      </c>
      <c r="W770" t="s">
        <v>215</v>
      </c>
      <c r="Y770" t="s">
        <v>249</v>
      </c>
      <c r="Z770" t="s">
        <v>3179</v>
      </c>
      <c r="AA770" t="s">
        <v>86</v>
      </c>
      <c r="AB770" t="s">
        <v>97</v>
      </c>
      <c r="AC770" t="s">
        <v>86</v>
      </c>
    </row>
    <row r="771" spans="1:29">
      <c r="A771" t="s">
        <v>1187</v>
      </c>
      <c r="B771" s="2">
        <v>46184</v>
      </c>
      <c r="C771" t="s">
        <v>30</v>
      </c>
      <c r="D771" t="s">
        <v>99</v>
      </c>
      <c r="E771" t="s">
        <v>172</v>
      </c>
      <c r="F771" t="s">
        <v>195</v>
      </c>
      <c r="G771" t="s">
        <v>338</v>
      </c>
      <c r="H771" t="s">
        <v>241</v>
      </c>
      <c r="I771" t="s">
        <v>512</v>
      </c>
      <c r="J771" t="s">
        <v>3107</v>
      </c>
      <c r="K771" t="s">
        <v>37</v>
      </c>
      <c r="L771" t="s">
        <v>80</v>
      </c>
      <c r="M771" t="s">
        <v>56</v>
      </c>
      <c r="N771" t="s">
        <v>94</v>
      </c>
      <c r="O771" s="4">
        <v>4</v>
      </c>
      <c r="P771" s="4">
        <v>9</v>
      </c>
      <c r="Q771" t="s">
        <v>41</v>
      </c>
      <c r="R771" s="2">
        <v>46180</v>
      </c>
      <c r="S771" s="4">
        <v>23</v>
      </c>
      <c r="T771" s="3">
        <v>142000000</v>
      </c>
      <c r="U771" t="s">
        <v>42</v>
      </c>
      <c r="V771" t="s">
        <v>59</v>
      </c>
      <c r="W771" t="s">
        <v>170</v>
      </c>
      <c r="X771" t="s">
        <v>117</v>
      </c>
      <c r="Y771" t="s">
        <v>228</v>
      </c>
      <c r="Z771" t="s">
        <v>3179</v>
      </c>
      <c r="AA771" t="s">
        <v>181</v>
      </c>
      <c r="AB771" t="s">
        <v>97</v>
      </c>
      <c r="AC771" t="s">
        <v>181</v>
      </c>
    </row>
    <row r="772" spans="1:29">
      <c r="A772" t="s">
        <v>1188</v>
      </c>
      <c r="B772" s="2">
        <v>46189</v>
      </c>
      <c r="C772" t="s">
        <v>30</v>
      </c>
      <c r="D772" t="s">
        <v>74</v>
      </c>
      <c r="E772" t="s">
        <v>172</v>
      </c>
      <c r="F772" t="s">
        <v>173</v>
      </c>
      <c r="G772" t="s">
        <v>338</v>
      </c>
      <c r="H772" t="s">
        <v>175</v>
      </c>
      <c r="I772" t="s">
        <v>176</v>
      </c>
      <c r="J772" t="s">
        <v>3023</v>
      </c>
      <c r="K772" t="s">
        <v>105</v>
      </c>
      <c r="L772" t="s">
        <v>187</v>
      </c>
      <c r="M772" t="s">
        <v>39</v>
      </c>
      <c r="N772" t="s">
        <v>94</v>
      </c>
      <c r="O772" s="4">
        <v>4</v>
      </c>
      <c r="P772" s="4">
        <v>5</v>
      </c>
      <c r="Q772" t="s">
        <v>107</v>
      </c>
      <c r="R772" s="2">
        <v>46179</v>
      </c>
      <c r="S772" s="4">
        <v>24</v>
      </c>
      <c r="T772" s="3">
        <v>284000000</v>
      </c>
      <c r="U772" t="s">
        <v>42</v>
      </c>
      <c r="V772" t="s">
        <v>70</v>
      </c>
      <c r="W772" t="s">
        <v>95</v>
      </c>
      <c r="Y772" t="s">
        <v>228</v>
      </c>
      <c r="Z772" t="s">
        <v>3179</v>
      </c>
      <c r="AA772" t="s">
        <v>181</v>
      </c>
      <c r="AB772" t="s">
        <v>97</v>
      </c>
      <c r="AC772" t="s">
        <v>181</v>
      </c>
    </row>
    <row r="773" spans="1:29">
      <c r="A773" t="s">
        <v>1189</v>
      </c>
      <c r="B773" s="2">
        <v>46200</v>
      </c>
      <c r="C773" t="s">
        <v>30</v>
      </c>
      <c r="D773" t="s">
        <v>49</v>
      </c>
      <c r="E773" t="s">
        <v>75</v>
      </c>
      <c r="F773" t="s">
        <v>76</v>
      </c>
      <c r="G773" t="s">
        <v>387</v>
      </c>
      <c r="H773" t="s">
        <v>78</v>
      </c>
      <c r="I773" t="s">
        <v>79</v>
      </c>
      <c r="J773" t="s">
        <v>3011</v>
      </c>
      <c r="K773" t="s">
        <v>116</v>
      </c>
      <c r="L773" t="s">
        <v>80</v>
      </c>
      <c r="M773" t="s">
        <v>93</v>
      </c>
      <c r="N773" t="s">
        <v>130</v>
      </c>
      <c r="O773" s="4">
        <v>5</v>
      </c>
      <c r="P773" s="4">
        <v>10</v>
      </c>
      <c r="Q773" t="s">
        <v>142</v>
      </c>
      <c r="R773" s="2">
        <v>46200</v>
      </c>
      <c r="S773" s="4">
        <v>3</v>
      </c>
      <c r="T773" s="3">
        <v>90000000</v>
      </c>
      <c r="U773" t="s">
        <v>42</v>
      </c>
      <c r="V773" t="s">
        <v>70</v>
      </c>
      <c r="W773" t="s">
        <v>144</v>
      </c>
      <c r="Y773" t="s">
        <v>262</v>
      </c>
      <c r="Z773" t="s">
        <v>3179</v>
      </c>
      <c r="AA773" t="s">
        <v>86</v>
      </c>
      <c r="AB773" t="s">
        <v>97</v>
      </c>
      <c r="AC773" t="s">
        <v>86</v>
      </c>
    </row>
    <row r="774" spans="1:29">
      <c r="A774" t="s">
        <v>1190</v>
      </c>
      <c r="B774" s="2">
        <v>46186</v>
      </c>
      <c r="C774" t="s">
        <v>30</v>
      </c>
      <c r="D774" t="s">
        <v>99</v>
      </c>
      <c r="E774" t="s">
        <v>111</v>
      </c>
      <c r="F774" t="s">
        <v>112</v>
      </c>
      <c r="G774" t="s">
        <v>126</v>
      </c>
      <c r="H774" t="s">
        <v>191</v>
      </c>
      <c r="I774" t="s">
        <v>606</v>
      </c>
      <c r="J774" t="s">
        <v>3131</v>
      </c>
      <c r="K774" t="s">
        <v>105</v>
      </c>
      <c r="L774" t="s">
        <v>150</v>
      </c>
      <c r="M774" t="s">
        <v>93</v>
      </c>
      <c r="N774" t="s">
        <v>94</v>
      </c>
      <c r="O774" s="4">
        <v>4</v>
      </c>
      <c r="P774" s="4">
        <v>12</v>
      </c>
      <c r="Q774" t="s">
        <v>69</v>
      </c>
      <c r="R774" s="2">
        <v>46179</v>
      </c>
      <c r="S774" s="4">
        <v>24</v>
      </c>
      <c r="T774" s="3">
        <v>351000000</v>
      </c>
      <c r="U774" t="s">
        <v>426</v>
      </c>
      <c r="V774" t="s">
        <v>59</v>
      </c>
      <c r="W774" t="s">
        <v>188</v>
      </c>
      <c r="X774" t="s">
        <v>520</v>
      </c>
      <c r="Y774" t="s">
        <v>228</v>
      </c>
      <c r="Z774" t="s">
        <v>3179</v>
      </c>
      <c r="AA774" t="s">
        <v>118</v>
      </c>
      <c r="AB774" t="s">
        <v>97</v>
      </c>
      <c r="AC774" t="s">
        <v>118</v>
      </c>
    </row>
    <row r="775" spans="1:29">
      <c r="A775" t="s">
        <v>1191</v>
      </c>
      <c r="B775" s="2">
        <v>46196</v>
      </c>
      <c r="C775" t="s">
        <v>30</v>
      </c>
      <c r="D775" t="s">
        <v>49</v>
      </c>
      <c r="E775" t="s">
        <v>50</v>
      </c>
      <c r="F775" t="s">
        <v>89</v>
      </c>
      <c r="G775" t="s">
        <v>234</v>
      </c>
      <c r="H775" t="s">
        <v>66</v>
      </c>
      <c r="I775" t="s">
        <v>344</v>
      </c>
      <c r="J775" t="s">
        <v>3057</v>
      </c>
      <c r="K775" t="s">
        <v>37</v>
      </c>
      <c r="L775" t="s">
        <v>38</v>
      </c>
      <c r="M775" t="s">
        <v>106</v>
      </c>
      <c r="N775" t="s">
        <v>94</v>
      </c>
      <c r="O775" s="4">
        <v>4</v>
      </c>
      <c r="P775" s="4">
        <v>15</v>
      </c>
      <c r="Q775" t="s">
        <v>69</v>
      </c>
      <c r="R775" s="2">
        <v>46188</v>
      </c>
      <c r="S775" s="4">
        <v>15</v>
      </c>
      <c r="T775" s="3">
        <v>252000000</v>
      </c>
      <c r="U775" t="s">
        <v>42</v>
      </c>
      <c r="V775" t="s">
        <v>59</v>
      </c>
      <c r="W775" t="s">
        <v>188</v>
      </c>
      <c r="X775" t="s">
        <v>117</v>
      </c>
      <c r="Y775" t="s">
        <v>108</v>
      </c>
      <c r="Z775" t="s">
        <v>3179</v>
      </c>
      <c r="AA775" t="s">
        <v>62</v>
      </c>
      <c r="AB775" t="s">
        <v>97</v>
      </c>
      <c r="AC775" t="s">
        <v>62</v>
      </c>
    </row>
    <row r="776" spans="1:29">
      <c r="A776" t="s">
        <v>1192</v>
      </c>
      <c r="B776" s="2">
        <v>46193</v>
      </c>
      <c r="C776" t="s">
        <v>30</v>
      </c>
      <c r="D776" t="s">
        <v>74</v>
      </c>
      <c r="E776" t="s">
        <v>152</v>
      </c>
      <c r="F776" t="s">
        <v>221</v>
      </c>
      <c r="G776" t="s">
        <v>154</v>
      </c>
      <c r="H776" t="s">
        <v>207</v>
      </c>
      <c r="I776" t="s">
        <v>571</v>
      </c>
      <c r="J776" t="s">
        <v>3122</v>
      </c>
      <c r="K776" t="s">
        <v>92</v>
      </c>
      <c r="L776" t="s">
        <v>38</v>
      </c>
      <c r="M776" t="s">
        <v>106</v>
      </c>
      <c r="N776" t="s">
        <v>130</v>
      </c>
      <c r="O776" s="4">
        <v>5</v>
      </c>
      <c r="P776" s="4">
        <v>12</v>
      </c>
      <c r="Q776" t="s">
        <v>69</v>
      </c>
      <c r="R776" s="2">
        <v>46193</v>
      </c>
      <c r="S776" s="4">
        <v>10</v>
      </c>
      <c r="T776" s="3">
        <v>137000000</v>
      </c>
      <c r="U776" t="s">
        <v>42</v>
      </c>
      <c r="V776" t="s">
        <v>70</v>
      </c>
      <c r="W776" t="s">
        <v>144</v>
      </c>
      <c r="Y776" t="s">
        <v>132</v>
      </c>
      <c r="Z776" t="s">
        <v>3179</v>
      </c>
      <c r="AA776" t="s">
        <v>159</v>
      </c>
      <c r="AB776" t="s">
        <v>97</v>
      </c>
      <c r="AC776" t="s">
        <v>159</v>
      </c>
    </row>
    <row r="777" spans="1:29">
      <c r="A777" t="s">
        <v>1193</v>
      </c>
      <c r="B777" s="2">
        <v>46200</v>
      </c>
      <c r="C777" t="s">
        <v>30</v>
      </c>
      <c r="D777" t="s">
        <v>49</v>
      </c>
      <c r="E777" t="s">
        <v>50</v>
      </c>
      <c r="F777" t="s">
        <v>351</v>
      </c>
      <c r="G777" t="s">
        <v>52</v>
      </c>
      <c r="H777" t="s">
        <v>66</v>
      </c>
      <c r="I777" t="s">
        <v>344</v>
      </c>
      <c r="J777" t="s">
        <v>3057</v>
      </c>
      <c r="K777" t="s">
        <v>92</v>
      </c>
      <c r="L777" t="s">
        <v>80</v>
      </c>
      <c r="M777" t="s">
        <v>106</v>
      </c>
      <c r="N777" t="s">
        <v>57</v>
      </c>
      <c r="O777" s="4">
        <v>3</v>
      </c>
      <c r="P777" s="4">
        <v>8</v>
      </c>
      <c r="Q777" t="s">
        <v>69</v>
      </c>
      <c r="R777" s="2">
        <v>46192</v>
      </c>
      <c r="S777" s="4">
        <v>11</v>
      </c>
      <c r="T777" s="3">
        <v>88000000</v>
      </c>
      <c r="U777" t="s">
        <v>42</v>
      </c>
      <c r="V777" t="s">
        <v>43</v>
      </c>
      <c r="W777" t="s">
        <v>203</v>
      </c>
      <c r="Y777" t="s">
        <v>61</v>
      </c>
      <c r="Z777" t="s">
        <v>3177</v>
      </c>
      <c r="AA777" t="s">
        <v>62</v>
      </c>
      <c r="AB777" t="s">
        <v>63</v>
      </c>
      <c r="AC777" t="s">
        <v>62</v>
      </c>
    </row>
    <row r="778" spans="1:29">
      <c r="A778" t="s">
        <v>1194</v>
      </c>
      <c r="B778" s="2">
        <v>46180</v>
      </c>
      <c r="C778" t="s">
        <v>30</v>
      </c>
      <c r="D778" t="s">
        <v>134</v>
      </c>
      <c r="E778" t="s">
        <v>172</v>
      </c>
      <c r="F778" t="s">
        <v>195</v>
      </c>
      <c r="G778" t="s">
        <v>278</v>
      </c>
      <c r="H778" t="s">
        <v>241</v>
      </c>
      <c r="I778" t="s">
        <v>379</v>
      </c>
      <c r="J778" t="s">
        <v>3069</v>
      </c>
      <c r="K778" t="s">
        <v>105</v>
      </c>
      <c r="L778" t="s">
        <v>55</v>
      </c>
      <c r="M778" t="s">
        <v>106</v>
      </c>
      <c r="N778" t="s">
        <v>94</v>
      </c>
      <c r="O778" s="4">
        <v>4</v>
      </c>
      <c r="P778" s="4">
        <v>6</v>
      </c>
      <c r="Q778" t="s">
        <v>138</v>
      </c>
      <c r="R778" s="2">
        <v>46178</v>
      </c>
      <c r="S778" s="4">
        <v>25</v>
      </c>
      <c r="T778" s="3">
        <v>121000000</v>
      </c>
      <c r="U778" t="s">
        <v>42</v>
      </c>
      <c r="V778" t="s">
        <v>59</v>
      </c>
      <c r="W778" t="s">
        <v>267</v>
      </c>
      <c r="Y778" t="s">
        <v>228</v>
      </c>
      <c r="Z778" t="s">
        <v>3179</v>
      </c>
      <c r="AA778" t="s">
        <v>181</v>
      </c>
      <c r="AB778" t="s">
        <v>97</v>
      </c>
      <c r="AC778" t="s">
        <v>181</v>
      </c>
    </row>
    <row r="779" spans="1:29">
      <c r="A779" t="s">
        <v>1195</v>
      </c>
      <c r="B779" s="2">
        <v>46191</v>
      </c>
      <c r="C779" t="s">
        <v>30</v>
      </c>
      <c r="D779" t="s">
        <v>74</v>
      </c>
      <c r="E779" t="s">
        <v>75</v>
      </c>
      <c r="F779" t="s">
        <v>161</v>
      </c>
      <c r="G779" t="s">
        <v>162</v>
      </c>
      <c r="H779" t="s">
        <v>185</v>
      </c>
      <c r="I779" t="s">
        <v>186</v>
      </c>
      <c r="J779" t="s">
        <v>3024</v>
      </c>
      <c r="K779" t="s">
        <v>37</v>
      </c>
      <c r="L779" t="s">
        <v>150</v>
      </c>
      <c r="M779" t="s">
        <v>164</v>
      </c>
      <c r="N779" t="s">
        <v>94</v>
      </c>
      <c r="O779" s="4">
        <v>4</v>
      </c>
      <c r="P779" s="4">
        <v>9</v>
      </c>
      <c r="Q779" t="s">
        <v>69</v>
      </c>
      <c r="R779" s="2">
        <v>46190</v>
      </c>
      <c r="S779" s="4">
        <v>13</v>
      </c>
      <c r="T779" s="3">
        <v>175000000</v>
      </c>
      <c r="U779" t="s">
        <v>42</v>
      </c>
      <c r="V779" t="s">
        <v>59</v>
      </c>
      <c r="W779" t="s">
        <v>267</v>
      </c>
      <c r="Y779" t="s">
        <v>228</v>
      </c>
      <c r="Z779" t="s">
        <v>3179</v>
      </c>
      <c r="AA779" t="s">
        <v>86</v>
      </c>
      <c r="AB779" t="s">
        <v>97</v>
      </c>
      <c r="AC779" t="s">
        <v>86</v>
      </c>
    </row>
    <row r="780" spans="1:29">
      <c r="A780" t="s">
        <v>1196</v>
      </c>
      <c r="B780" s="2">
        <v>46192</v>
      </c>
      <c r="C780" t="s">
        <v>30</v>
      </c>
      <c r="D780" t="s">
        <v>74</v>
      </c>
      <c r="E780" t="s">
        <v>100</v>
      </c>
      <c r="F780" t="s">
        <v>101</v>
      </c>
      <c r="G780" t="s">
        <v>237</v>
      </c>
      <c r="H780" t="s">
        <v>148</v>
      </c>
      <c r="I780" t="s">
        <v>315</v>
      </c>
      <c r="J780" t="s">
        <v>3049</v>
      </c>
      <c r="K780" t="s">
        <v>56</v>
      </c>
      <c r="L780" t="s">
        <v>80</v>
      </c>
      <c r="M780" t="s">
        <v>81</v>
      </c>
      <c r="N780" t="s">
        <v>94</v>
      </c>
      <c r="O780" s="4">
        <v>4</v>
      </c>
      <c r="P780" s="4">
        <v>17</v>
      </c>
      <c r="Q780" t="s">
        <v>142</v>
      </c>
      <c r="R780" s="2">
        <v>46187</v>
      </c>
      <c r="S780" s="4">
        <v>16</v>
      </c>
      <c r="T780" s="3">
        <v>96000000</v>
      </c>
      <c r="U780" t="s">
        <v>42</v>
      </c>
      <c r="V780" t="s">
        <v>70</v>
      </c>
      <c r="W780" t="s">
        <v>95</v>
      </c>
      <c r="Y780" t="s">
        <v>228</v>
      </c>
      <c r="Z780" t="s">
        <v>3179</v>
      </c>
      <c r="AA780" t="s">
        <v>109</v>
      </c>
      <c r="AB780" t="s">
        <v>97</v>
      </c>
      <c r="AC780" t="s">
        <v>109</v>
      </c>
    </row>
    <row r="781" spans="1:29">
      <c r="A781" t="s">
        <v>1197</v>
      </c>
      <c r="B781" s="2">
        <v>46202</v>
      </c>
      <c r="C781" t="s">
        <v>30</v>
      </c>
      <c r="D781" t="s">
        <v>31</v>
      </c>
      <c r="E781" t="s">
        <v>120</v>
      </c>
      <c r="F781" t="s">
        <v>167</v>
      </c>
      <c r="G781" t="s">
        <v>135</v>
      </c>
      <c r="H781" t="s">
        <v>123</v>
      </c>
      <c r="I781" t="s">
        <v>838</v>
      </c>
      <c r="J781" t="s">
        <v>3160</v>
      </c>
      <c r="K781" t="s">
        <v>37</v>
      </c>
      <c r="L781" t="s">
        <v>187</v>
      </c>
      <c r="M781" t="s">
        <v>93</v>
      </c>
      <c r="N781" t="s">
        <v>57</v>
      </c>
      <c r="O781" s="4">
        <v>3</v>
      </c>
      <c r="P781" s="4">
        <v>10</v>
      </c>
      <c r="Q781" t="s">
        <v>41</v>
      </c>
      <c r="R781" s="2">
        <v>46192</v>
      </c>
      <c r="S781" s="4">
        <v>11</v>
      </c>
      <c r="T781" s="3">
        <v>147000000</v>
      </c>
      <c r="U781" t="s">
        <v>42</v>
      </c>
      <c r="V781" t="s">
        <v>59</v>
      </c>
      <c r="W781" t="s">
        <v>60</v>
      </c>
      <c r="Y781" t="s">
        <v>158</v>
      </c>
      <c r="Z781" t="s">
        <v>3177</v>
      </c>
      <c r="AA781" t="s">
        <v>97</v>
      </c>
      <c r="AB781" t="s">
        <v>63</v>
      </c>
      <c r="AC781" t="s">
        <v>97</v>
      </c>
    </row>
    <row r="782" spans="1:29">
      <c r="A782" t="s">
        <v>1198</v>
      </c>
      <c r="B782" s="2">
        <v>46185</v>
      </c>
      <c r="C782" t="s">
        <v>30</v>
      </c>
      <c r="D782" t="s">
        <v>99</v>
      </c>
      <c r="E782" t="s">
        <v>111</v>
      </c>
      <c r="F782" t="s">
        <v>112</v>
      </c>
      <c r="G782" t="s">
        <v>113</v>
      </c>
      <c r="H782" t="s">
        <v>191</v>
      </c>
      <c r="I782" t="s">
        <v>578</v>
      </c>
      <c r="J782" t="s">
        <v>3124</v>
      </c>
      <c r="K782" t="s">
        <v>105</v>
      </c>
      <c r="L782" t="s">
        <v>187</v>
      </c>
      <c r="M782" t="s">
        <v>164</v>
      </c>
      <c r="N782" t="s">
        <v>82</v>
      </c>
      <c r="O782" s="4">
        <v>1</v>
      </c>
      <c r="P782" s="4">
        <v>7</v>
      </c>
      <c r="Q782" t="s">
        <v>138</v>
      </c>
      <c r="R782" s="2">
        <v>46177</v>
      </c>
      <c r="S782" s="4">
        <v>26</v>
      </c>
      <c r="T782" s="3">
        <v>344000000</v>
      </c>
      <c r="U782" t="s">
        <v>42</v>
      </c>
      <c r="V782" t="s">
        <v>43</v>
      </c>
      <c r="W782" t="s">
        <v>359</v>
      </c>
      <c r="Y782" t="s">
        <v>305</v>
      </c>
      <c r="Z782" t="s">
        <v>3178</v>
      </c>
      <c r="AA782" t="s">
        <v>118</v>
      </c>
      <c r="AB782" t="s">
        <v>87</v>
      </c>
      <c r="AC782" t="s">
        <v>118</v>
      </c>
    </row>
    <row r="783" spans="1:29">
      <c r="A783" t="s">
        <v>1199</v>
      </c>
      <c r="B783" s="2">
        <v>46195</v>
      </c>
      <c r="C783" t="s">
        <v>30</v>
      </c>
      <c r="D783" t="s">
        <v>49</v>
      </c>
      <c r="E783" t="s">
        <v>50</v>
      </c>
      <c r="F783" t="s">
        <v>51</v>
      </c>
      <c r="G783" t="s">
        <v>65</v>
      </c>
      <c r="H783" t="s">
        <v>53</v>
      </c>
      <c r="I783" t="s">
        <v>54</v>
      </c>
      <c r="J783" t="s">
        <v>3009</v>
      </c>
      <c r="K783" t="s">
        <v>116</v>
      </c>
      <c r="L783" t="s">
        <v>80</v>
      </c>
      <c r="M783" t="s">
        <v>39</v>
      </c>
      <c r="N783" t="s">
        <v>94</v>
      </c>
      <c r="O783" s="4">
        <v>4</v>
      </c>
      <c r="P783" s="4">
        <v>13</v>
      </c>
      <c r="Q783" t="s">
        <v>83</v>
      </c>
      <c r="R783" s="2">
        <v>46185</v>
      </c>
      <c r="S783" s="4">
        <v>18</v>
      </c>
      <c r="T783" s="3">
        <v>53000000</v>
      </c>
      <c r="U783" t="s">
        <v>42</v>
      </c>
      <c r="V783" t="s">
        <v>59</v>
      </c>
      <c r="W783" t="s">
        <v>95</v>
      </c>
      <c r="Y783" t="s">
        <v>96</v>
      </c>
      <c r="Z783" t="s">
        <v>3179</v>
      </c>
      <c r="AA783" t="s">
        <v>62</v>
      </c>
      <c r="AB783" t="s">
        <v>97</v>
      </c>
      <c r="AC783" t="s">
        <v>62</v>
      </c>
    </row>
    <row r="784" spans="1:29">
      <c r="A784" t="s">
        <v>1200</v>
      </c>
      <c r="B784" s="2">
        <v>46192</v>
      </c>
      <c r="C784" t="s">
        <v>30</v>
      </c>
      <c r="D784" t="s">
        <v>74</v>
      </c>
      <c r="E784" t="s">
        <v>172</v>
      </c>
      <c r="F784" t="s">
        <v>173</v>
      </c>
      <c r="G784" t="s">
        <v>174</v>
      </c>
      <c r="H784" t="s">
        <v>175</v>
      </c>
      <c r="I784" t="s">
        <v>358</v>
      </c>
      <c r="J784" t="s">
        <v>3062</v>
      </c>
      <c r="K784" t="s">
        <v>105</v>
      </c>
      <c r="L784" t="s">
        <v>150</v>
      </c>
      <c r="M784" t="s">
        <v>39</v>
      </c>
      <c r="N784" t="s">
        <v>130</v>
      </c>
      <c r="O784" s="4">
        <v>5</v>
      </c>
      <c r="P784" s="4">
        <v>7</v>
      </c>
      <c r="Q784" t="s">
        <v>142</v>
      </c>
      <c r="R784" s="2">
        <v>46184</v>
      </c>
      <c r="S784" s="4">
        <v>19</v>
      </c>
      <c r="T784" s="3">
        <v>234000000</v>
      </c>
      <c r="U784" t="s">
        <v>260</v>
      </c>
      <c r="V784" t="s">
        <v>70</v>
      </c>
      <c r="W784" t="s">
        <v>252</v>
      </c>
      <c r="X784" t="s">
        <v>422</v>
      </c>
      <c r="Y784" t="s">
        <v>254</v>
      </c>
      <c r="Z784" t="s">
        <v>3179</v>
      </c>
      <c r="AA784" t="s">
        <v>181</v>
      </c>
      <c r="AB784" t="s">
        <v>97</v>
      </c>
      <c r="AC784" t="s">
        <v>181</v>
      </c>
    </row>
    <row r="785" spans="1:29">
      <c r="A785" t="s">
        <v>1201</v>
      </c>
      <c r="B785" s="2">
        <v>46183</v>
      </c>
      <c r="C785" t="s">
        <v>30</v>
      </c>
      <c r="D785" t="s">
        <v>99</v>
      </c>
      <c r="E785" t="s">
        <v>152</v>
      </c>
      <c r="F785" t="s">
        <v>221</v>
      </c>
      <c r="G785" t="s">
        <v>206</v>
      </c>
      <c r="H785" t="s">
        <v>283</v>
      </c>
      <c r="I785" t="s">
        <v>472</v>
      </c>
      <c r="J785" t="s">
        <v>3097</v>
      </c>
      <c r="K785" t="s">
        <v>37</v>
      </c>
      <c r="L785" t="s">
        <v>80</v>
      </c>
      <c r="M785" t="s">
        <v>164</v>
      </c>
      <c r="N785" t="s">
        <v>94</v>
      </c>
      <c r="O785" s="4">
        <v>4</v>
      </c>
      <c r="P785" s="4">
        <v>16</v>
      </c>
      <c r="Q785" t="s">
        <v>83</v>
      </c>
      <c r="R785" s="2">
        <v>46177</v>
      </c>
      <c r="S785" s="4">
        <v>26</v>
      </c>
      <c r="T785" s="3">
        <v>86000000</v>
      </c>
      <c r="U785" t="s">
        <v>42</v>
      </c>
      <c r="V785" t="s">
        <v>59</v>
      </c>
      <c r="W785" t="s">
        <v>170</v>
      </c>
      <c r="Y785" t="s">
        <v>96</v>
      </c>
      <c r="Z785" t="s">
        <v>3179</v>
      </c>
      <c r="AA785" t="s">
        <v>159</v>
      </c>
      <c r="AB785" t="s">
        <v>97</v>
      </c>
      <c r="AC785" t="s">
        <v>159</v>
      </c>
    </row>
    <row r="786" spans="1:29">
      <c r="A786" t="s">
        <v>1202</v>
      </c>
      <c r="B786" s="2">
        <v>46203</v>
      </c>
      <c r="C786" t="s">
        <v>30</v>
      </c>
      <c r="D786" t="s">
        <v>31</v>
      </c>
      <c r="E786" t="s">
        <v>32</v>
      </c>
      <c r="F786" t="s">
        <v>273</v>
      </c>
      <c r="G786" t="s">
        <v>257</v>
      </c>
      <c r="H786" t="s">
        <v>35</v>
      </c>
      <c r="I786" t="s">
        <v>604</v>
      </c>
      <c r="J786" t="s">
        <v>3130</v>
      </c>
      <c r="K786" t="s">
        <v>92</v>
      </c>
      <c r="L786" t="s">
        <v>55</v>
      </c>
      <c r="M786" t="s">
        <v>129</v>
      </c>
      <c r="N786" t="s">
        <v>94</v>
      </c>
      <c r="O786" s="4">
        <v>4</v>
      </c>
      <c r="P786" s="4">
        <v>4</v>
      </c>
      <c r="Q786" t="s">
        <v>83</v>
      </c>
      <c r="R786" s="2">
        <v>46199</v>
      </c>
      <c r="S786" s="4">
        <v>4</v>
      </c>
      <c r="T786" s="3">
        <v>81000000</v>
      </c>
      <c r="U786" t="s">
        <v>42</v>
      </c>
      <c r="V786" t="s">
        <v>70</v>
      </c>
      <c r="W786" t="s">
        <v>170</v>
      </c>
      <c r="Y786" t="s">
        <v>96</v>
      </c>
      <c r="Z786" t="s">
        <v>3179</v>
      </c>
      <c r="AA786" t="s">
        <v>46</v>
      </c>
      <c r="AB786" t="s">
        <v>97</v>
      </c>
      <c r="AC786" t="s">
        <v>46</v>
      </c>
    </row>
    <row r="787" spans="1:29">
      <c r="A787" t="s">
        <v>1203</v>
      </c>
      <c r="B787" s="2">
        <v>46194</v>
      </c>
      <c r="C787" t="s">
        <v>30</v>
      </c>
      <c r="D787" t="s">
        <v>74</v>
      </c>
      <c r="E787" t="s">
        <v>152</v>
      </c>
      <c r="F787" t="s">
        <v>221</v>
      </c>
      <c r="G787" t="s">
        <v>206</v>
      </c>
      <c r="H787" t="s">
        <v>155</v>
      </c>
      <c r="I787" t="s">
        <v>443</v>
      </c>
      <c r="J787" t="s">
        <v>3086</v>
      </c>
      <c r="K787" t="s">
        <v>37</v>
      </c>
      <c r="L787" t="s">
        <v>169</v>
      </c>
      <c r="M787" t="s">
        <v>81</v>
      </c>
      <c r="N787" t="s">
        <v>213</v>
      </c>
      <c r="O787" s="4">
        <v>6</v>
      </c>
      <c r="P787" s="4">
        <v>12</v>
      </c>
      <c r="Q787" t="s">
        <v>138</v>
      </c>
      <c r="R787" s="2">
        <v>46188</v>
      </c>
      <c r="S787" s="4">
        <v>15</v>
      </c>
      <c r="T787" s="3">
        <v>171000000</v>
      </c>
      <c r="U787" t="s">
        <v>214</v>
      </c>
      <c r="V787" t="s">
        <v>70</v>
      </c>
      <c r="W787" t="s">
        <v>390</v>
      </c>
      <c r="Y787" t="s">
        <v>249</v>
      </c>
      <c r="Z787" t="s">
        <v>3179</v>
      </c>
      <c r="AA787" t="s">
        <v>159</v>
      </c>
      <c r="AB787" t="s">
        <v>97</v>
      </c>
      <c r="AC787" t="s">
        <v>159</v>
      </c>
    </row>
    <row r="788" spans="1:29">
      <c r="A788" t="s">
        <v>1204</v>
      </c>
      <c r="B788" s="2">
        <v>46203</v>
      </c>
      <c r="C788" t="s">
        <v>30</v>
      </c>
      <c r="D788" t="s">
        <v>31</v>
      </c>
      <c r="E788" t="s">
        <v>111</v>
      </c>
      <c r="F788" t="s">
        <v>264</v>
      </c>
      <c r="G788" t="s">
        <v>126</v>
      </c>
      <c r="H788" t="s">
        <v>127</v>
      </c>
      <c r="I788" t="s">
        <v>654</v>
      </c>
      <c r="J788" t="s">
        <v>3142</v>
      </c>
      <c r="K788" t="s">
        <v>105</v>
      </c>
      <c r="L788" t="s">
        <v>55</v>
      </c>
      <c r="M788" t="s">
        <v>106</v>
      </c>
      <c r="N788" t="s">
        <v>94</v>
      </c>
      <c r="O788" s="4">
        <v>4</v>
      </c>
      <c r="P788" s="4">
        <v>7</v>
      </c>
      <c r="Q788" t="s">
        <v>41</v>
      </c>
      <c r="R788" s="2">
        <v>46195</v>
      </c>
      <c r="S788" s="4">
        <v>8</v>
      </c>
      <c r="T788" s="3">
        <v>205000000</v>
      </c>
      <c r="U788" t="s">
        <v>42</v>
      </c>
      <c r="V788" t="s">
        <v>59</v>
      </c>
      <c r="W788" t="s">
        <v>188</v>
      </c>
      <c r="Y788" t="s">
        <v>228</v>
      </c>
      <c r="Z788" t="s">
        <v>3179</v>
      </c>
      <c r="AA788" t="s">
        <v>118</v>
      </c>
      <c r="AB788" t="s">
        <v>97</v>
      </c>
      <c r="AC788" t="s">
        <v>118</v>
      </c>
    </row>
    <row r="789" spans="1:29">
      <c r="A789" t="s">
        <v>1205</v>
      </c>
      <c r="B789" s="2">
        <v>46179</v>
      </c>
      <c r="C789" t="s">
        <v>30</v>
      </c>
      <c r="D789" t="s">
        <v>134</v>
      </c>
      <c r="E789" t="s">
        <v>75</v>
      </c>
      <c r="F789" t="s">
        <v>76</v>
      </c>
      <c r="G789" t="s">
        <v>387</v>
      </c>
      <c r="H789" t="s">
        <v>78</v>
      </c>
      <c r="I789" t="s">
        <v>231</v>
      </c>
      <c r="J789" t="s">
        <v>3031</v>
      </c>
      <c r="K789" t="s">
        <v>37</v>
      </c>
      <c r="L789" t="s">
        <v>169</v>
      </c>
      <c r="M789" t="s">
        <v>56</v>
      </c>
      <c r="N789" t="s">
        <v>57</v>
      </c>
      <c r="O789" s="4">
        <v>3</v>
      </c>
      <c r="P789" s="4">
        <v>5</v>
      </c>
      <c r="Q789" t="s">
        <v>69</v>
      </c>
      <c r="R789" s="2">
        <v>46172</v>
      </c>
      <c r="S789" s="4">
        <v>31</v>
      </c>
      <c r="T789" s="3">
        <v>248000000</v>
      </c>
      <c r="U789" t="s">
        <v>42</v>
      </c>
      <c r="V789" t="s">
        <v>59</v>
      </c>
      <c r="W789" t="s">
        <v>60</v>
      </c>
      <c r="Y789" t="s">
        <v>72</v>
      </c>
      <c r="Z789" t="s">
        <v>3177</v>
      </c>
      <c r="AA789" t="s">
        <v>86</v>
      </c>
      <c r="AB789" t="s">
        <v>63</v>
      </c>
      <c r="AC789" t="s">
        <v>86</v>
      </c>
    </row>
    <row r="790" spans="1:29">
      <c r="A790" t="s">
        <v>1206</v>
      </c>
      <c r="B790" s="2">
        <v>46189</v>
      </c>
      <c r="C790" t="s">
        <v>30</v>
      </c>
      <c r="D790" t="s">
        <v>74</v>
      </c>
      <c r="E790" t="s">
        <v>120</v>
      </c>
      <c r="F790" t="s">
        <v>167</v>
      </c>
      <c r="G790" t="s">
        <v>224</v>
      </c>
      <c r="H790" t="s">
        <v>123</v>
      </c>
      <c r="I790" t="s">
        <v>459</v>
      </c>
      <c r="J790" t="s">
        <v>3093</v>
      </c>
      <c r="K790" t="s">
        <v>37</v>
      </c>
      <c r="L790" t="s">
        <v>169</v>
      </c>
      <c r="M790" t="s">
        <v>56</v>
      </c>
      <c r="N790" t="s">
        <v>57</v>
      </c>
      <c r="O790" s="4">
        <v>3</v>
      </c>
      <c r="P790" s="4">
        <v>5</v>
      </c>
      <c r="Q790" t="s">
        <v>138</v>
      </c>
      <c r="R790" s="2">
        <v>46185</v>
      </c>
      <c r="S790" s="4">
        <v>18</v>
      </c>
      <c r="T790" s="3">
        <v>225000000</v>
      </c>
      <c r="U790" t="s">
        <v>42</v>
      </c>
      <c r="V790" t="s">
        <v>43</v>
      </c>
      <c r="W790" t="s">
        <v>60</v>
      </c>
      <c r="Y790" t="s">
        <v>61</v>
      </c>
      <c r="Z790" t="s">
        <v>3177</v>
      </c>
      <c r="AA790" t="s">
        <v>97</v>
      </c>
      <c r="AB790" t="s">
        <v>63</v>
      </c>
      <c r="AC790" t="s">
        <v>97</v>
      </c>
    </row>
    <row r="791" spans="1:29">
      <c r="A791" t="s">
        <v>1207</v>
      </c>
      <c r="B791" s="2">
        <v>46198</v>
      </c>
      <c r="C791" t="s">
        <v>30</v>
      </c>
      <c r="D791" t="s">
        <v>49</v>
      </c>
      <c r="E791" t="s">
        <v>100</v>
      </c>
      <c r="F791" t="s">
        <v>101</v>
      </c>
      <c r="G791" t="s">
        <v>212</v>
      </c>
      <c r="H791" t="s">
        <v>103</v>
      </c>
      <c r="I791" t="s">
        <v>436</v>
      </c>
      <c r="J791" t="s">
        <v>3084</v>
      </c>
      <c r="K791" t="s">
        <v>116</v>
      </c>
      <c r="L791" t="s">
        <v>187</v>
      </c>
      <c r="M791" t="s">
        <v>39</v>
      </c>
      <c r="N791" t="s">
        <v>57</v>
      </c>
      <c r="O791" s="4">
        <v>3</v>
      </c>
      <c r="P791" s="4">
        <v>12</v>
      </c>
      <c r="Q791" t="s">
        <v>41</v>
      </c>
      <c r="R791" s="2">
        <v>46197</v>
      </c>
      <c r="S791" s="4">
        <v>6</v>
      </c>
      <c r="T791" s="3">
        <v>56000000</v>
      </c>
      <c r="U791" t="s">
        <v>260</v>
      </c>
      <c r="V791" t="s">
        <v>43</v>
      </c>
      <c r="W791" t="s">
        <v>203</v>
      </c>
      <c r="X791" t="s">
        <v>381</v>
      </c>
      <c r="Y791" t="s">
        <v>72</v>
      </c>
      <c r="Z791" t="s">
        <v>3180</v>
      </c>
      <c r="AA791" t="s">
        <v>109</v>
      </c>
      <c r="AB791" t="s">
        <v>193</v>
      </c>
      <c r="AC791" t="s">
        <v>109</v>
      </c>
    </row>
    <row r="792" spans="1:29">
      <c r="A792" t="s">
        <v>1208</v>
      </c>
      <c r="B792" s="2">
        <v>46188</v>
      </c>
      <c r="C792" t="s">
        <v>30</v>
      </c>
      <c r="D792" t="s">
        <v>74</v>
      </c>
      <c r="E792" t="s">
        <v>172</v>
      </c>
      <c r="F792" t="s">
        <v>195</v>
      </c>
      <c r="G792" t="s">
        <v>174</v>
      </c>
      <c r="H792" t="s">
        <v>175</v>
      </c>
      <c r="I792" t="s">
        <v>333</v>
      </c>
      <c r="J792" t="s">
        <v>3054</v>
      </c>
      <c r="K792" t="s">
        <v>37</v>
      </c>
      <c r="L792" t="s">
        <v>187</v>
      </c>
      <c r="M792" t="s">
        <v>106</v>
      </c>
      <c r="N792" t="s">
        <v>40</v>
      </c>
      <c r="O792" s="4">
        <v>2</v>
      </c>
      <c r="P792" s="4">
        <v>6</v>
      </c>
      <c r="Q792" t="s">
        <v>69</v>
      </c>
      <c r="R792" s="2">
        <v>46184</v>
      </c>
      <c r="S792" s="4">
        <v>19</v>
      </c>
      <c r="T792" s="3">
        <v>262000000</v>
      </c>
      <c r="U792" t="s">
        <v>42</v>
      </c>
      <c r="V792" t="s">
        <v>59</v>
      </c>
      <c r="W792" t="s">
        <v>178</v>
      </c>
      <c r="Y792" t="s">
        <v>180</v>
      </c>
      <c r="Z792" t="s">
        <v>3178</v>
      </c>
      <c r="AA792" t="s">
        <v>181</v>
      </c>
      <c r="AB792" t="s">
        <v>87</v>
      </c>
      <c r="AC792" t="s">
        <v>181</v>
      </c>
    </row>
    <row r="793" spans="1:29">
      <c r="A793" t="s">
        <v>1209</v>
      </c>
      <c r="B793" s="2">
        <v>46196</v>
      </c>
      <c r="C793" t="s">
        <v>30</v>
      </c>
      <c r="D793" t="s">
        <v>49</v>
      </c>
      <c r="E793" t="s">
        <v>152</v>
      </c>
      <c r="F793" t="s">
        <v>153</v>
      </c>
      <c r="G793" t="s">
        <v>154</v>
      </c>
      <c r="H793" t="s">
        <v>207</v>
      </c>
      <c r="I793" t="s">
        <v>208</v>
      </c>
      <c r="J793" t="s">
        <v>3027</v>
      </c>
      <c r="K793" t="s">
        <v>37</v>
      </c>
      <c r="L793" t="s">
        <v>80</v>
      </c>
      <c r="M793" t="s">
        <v>129</v>
      </c>
      <c r="N793" t="s">
        <v>94</v>
      </c>
      <c r="O793" s="4">
        <v>4</v>
      </c>
      <c r="P793" s="4">
        <v>11</v>
      </c>
      <c r="Q793" t="s">
        <v>138</v>
      </c>
      <c r="R793" s="2">
        <v>46192</v>
      </c>
      <c r="S793" s="4">
        <v>11</v>
      </c>
      <c r="T793" s="3">
        <v>210000000</v>
      </c>
      <c r="U793" t="s">
        <v>42</v>
      </c>
      <c r="V793" t="s">
        <v>59</v>
      </c>
      <c r="W793" t="s">
        <v>188</v>
      </c>
      <c r="Y793" t="s">
        <v>96</v>
      </c>
      <c r="Z793" t="s">
        <v>3179</v>
      </c>
      <c r="AA793" t="s">
        <v>159</v>
      </c>
      <c r="AB793" t="s">
        <v>97</v>
      </c>
      <c r="AC793" t="s">
        <v>159</v>
      </c>
    </row>
    <row r="794" spans="1:29">
      <c r="A794" t="s">
        <v>1210</v>
      </c>
      <c r="B794" s="2">
        <v>46184</v>
      </c>
      <c r="C794" t="s">
        <v>30</v>
      </c>
      <c r="D794" t="s">
        <v>99</v>
      </c>
      <c r="E794" t="s">
        <v>120</v>
      </c>
      <c r="F794" t="s">
        <v>121</v>
      </c>
      <c r="G794" t="s">
        <v>122</v>
      </c>
      <c r="H794" t="s">
        <v>123</v>
      </c>
      <c r="I794" t="s">
        <v>397</v>
      </c>
      <c r="J794" t="s">
        <v>3073</v>
      </c>
      <c r="K794" t="s">
        <v>56</v>
      </c>
      <c r="L794" t="s">
        <v>150</v>
      </c>
      <c r="M794" t="s">
        <v>81</v>
      </c>
      <c r="N794" t="s">
        <v>57</v>
      </c>
      <c r="O794" s="4">
        <v>3</v>
      </c>
      <c r="P794" s="4">
        <v>5</v>
      </c>
      <c r="Q794" t="s">
        <v>41</v>
      </c>
      <c r="R794" s="2">
        <v>46179</v>
      </c>
      <c r="S794" s="4">
        <v>24</v>
      </c>
      <c r="T794" s="3">
        <v>308000000</v>
      </c>
      <c r="U794" t="s">
        <v>42</v>
      </c>
      <c r="V794" t="s">
        <v>43</v>
      </c>
      <c r="W794" t="s">
        <v>71</v>
      </c>
      <c r="Y794" t="s">
        <v>72</v>
      </c>
      <c r="Z794" t="s">
        <v>3177</v>
      </c>
      <c r="AA794" t="s">
        <v>97</v>
      </c>
      <c r="AB794" t="s">
        <v>63</v>
      </c>
      <c r="AC794" t="s">
        <v>97</v>
      </c>
    </row>
    <row r="795" spans="1:29">
      <c r="A795" t="s">
        <v>1211</v>
      </c>
      <c r="B795" s="2">
        <v>46176</v>
      </c>
      <c r="C795" t="s">
        <v>30</v>
      </c>
      <c r="D795" t="s">
        <v>134</v>
      </c>
      <c r="E795" t="s">
        <v>32</v>
      </c>
      <c r="F795" t="s">
        <v>33</v>
      </c>
      <c r="G795" t="s">
        <v>257</v>
      </c>
      <c r="H795" t="s">
        <v>303</v>
      </c>
      <c r="I795" t="s">
        <v>304</v>
      </c>
      <c r="J795" t="s">
        <v>3046</v>
      </c>
      <c r="K795" t="s">
        <v>37</v>
      </c>
      <c r="L795" t="s">
        <v>38</v>
      </c>
      <c r="M795" t="s">
        <v>164</v>
      </c>
      <c r="N795" t="s">
        <v>94</v>
      </c>
      <c r="O795" s="4">
        <v>4</v>
      </c>
      <c r="P795" s="4">
        <v>5</v>
      </c>
      <c r="Q795" t="s">
        <v>83</v>
      </c>
      <c r="R795" s="2">
        <v>46175</v>
      </c>
      <c r="S795" s="4">
        <v>28</v>
      </c>
      <c r="T795" s="3">
        <v>176000000</v>
      </c>
      <c r="U795" t="s">
        <v>42</v>
      </c>
      <c r="V795" t="s">
        <v>59</v>
      </c>
      <c r="W795" t="s">
        <v>267</v>
      </c>
      <c r="Y795" t="s">
        <v>96</v>
      </c>
      <c r="Z795" t="s">
        <v>3179</v>
      </c>
      <c r="AA795" t="s">
        <v>46</v>
      </c>
      <c r="AB795" t="s">
        <v>97</v>
      </c>
      <c r="AC795" t="s">
        <v>46</v>
      </c>
    </row>
    <row r="796" spans="1:29">
      <c r="A796" t="s">
        <v>1212</v>
      </c>
      <c r="B796" s="2">
        <v>46179</v>
      </c>
      <c r="C796" t="s">
        <v>30</v>
      </c>
      <c r="D796" t="s">
        <v>134</v>
      </c>
      <c r="E796" t="s">
        <v>75</v>
      </c>
      <c r="F796" t="s">
        <v>183</v>
      </c>
      <c r="G796" t="s">
        <v>230</v>
      </c>
      <c r="H796" t="s">
        <v>388</v>
      </c>
      <c r="I796" t="s">
        <v>630</v>
      </c>
      <c r="J796" t="s">
        <v>3135</v>
      </c>
      <c r="K796" t="s">
        <v>37</v>
      </c>
      <c r="L796" t="s">
        <v>187</v>
      </c>
      <c r="M796" t="s">
        <v>129</v>
      </c>
      <c r="N796" t="s">
        <v>94</v>
      </c>
      <c r="O796" s="4">
        <v>4</v>
      </c>
      <c r="P796" s="4">
        <v>6</v>
      </c>
      <c r="Q796" t="s">
        <v>41</v>
      </c>
      <c r="R796" s="2">
        <v>46179</v>
      </c>
      <c r="S796" s="4">
        <v>24</v>
      </c>
      <c r="T796" s="3">
        <v>117000000</v>
      </c>
      <c r="U796" t="s">
        <v>42</v>
      </c>
      <c r="V796" t="s">
        <v>70</v>
      </c>
      <c r="W796" t="s">
        <v>95</v>
      </c>
      <c r="X796" t="s">
        <v>117</v>
      </c>
      <c r="Y796" t="s">
        <v>228</v>
      </c>
      <c r="Z796" t="s">
        <v>3179</v>
      </c>
      <c r="AA796" t="s">
        <v>86</v>
      </c>
      <c r="AB796" t="s">
        <v>97</v>
      </c>
      <c r="AC796" t="s">
        <v>86</v>
      </c>
    </row>
    <row r="797" spans="1:29">
      <c r="A797" t="s">
        <v>1213</v>
      </c>
      <c r="B797" s="2">
        <v>46193</v>
      </c>
      <c r="C797" t="s">
        <v>30</v>
      </c>
      <c r="D797" t="s">
        <v>74</v>
      </c>
      <c r="E797" t="s">
        <v>172</v>
      </c>
      <c r="F797" t="s">
        <v>173</v>
      </c>
      <c r="G797" t="s">
        <v>338</v>
      </c>
      <c r="H797" t="s">
        <v>175</v>
      </c>
      <c r="I797" t="s">
        <v>516</v>
      </c>
      <c r="J797" t="s">
        <v>3108</v>
      </c>
      <c r="K797" t="s">
        <v>105</v>
      </c>
      <c r="L797" t="s">
        <v>80</v>
      </c>
      <c r="M797" t="s">
        <v>56</v>
      </c>
      <c r="N797" t="s">
        <v>40</v>
      </c>
      <c r="O797" s="4">
        <v>2</v>
      </c>
      <c r="P797" s="4">
        <v>3</v>
      </c>
      <c r="Q797" t="s">
        <v>58</v>
      </c>
      <c r="R797" s="2">
        <v>46188</v>
      </c>
      <c r="S797" s="4">
        <v>15</v>
      </c>
      <c r="T797" s="3">
        <v>75000000</v>
      </c>
      <c r="U797" t="s">
        <v>260</v>
      </c>
      <c r="V797" t="s">
        <v>59</v>
      </c>
      <c r="W797" t="s">
        <v>239</v>
      </c>
      <c r="X797" t="s">
        <v>261</v>
      </c>
      <c r="Y797" t="s">
        <v>45</v>
      </c>
      <c r="Z797" t="s">
        <v>3176</v>
      </c>
      <c r="AA797" t="s">
        <v>181</v>
      </c>
      <c r="AB797" t="s">
        <v>47</v>
      </c>
      <c r="AC797" t="s">
        <v>181</v>
      </c>
    </row>
    <row r="798" spans="1:29">
      <c r="A798" t="s">
        <v>1214</v>
      </c>
      <c r="B798" s="2">
        <v>46180</v>
      </c>
      <c r="C798" t="s">
        <v>30</v>
      </c>
      <c r="D798" t="s">
        <v>134</v>
      </c>
      <c r="E798" t="s">
        <v>75</v>
      </c>
      <c r="F798" t="s">
        <v>76</v>
      </c>
      <c r="G798" t="s">
        <v>162</v>
      </c>
      <c r="H798" t="s">
        <v>78</v>
      </c>
      <c r="I798" t="s">
        <v>231</v>
      </c>
      <c r="J798" t="s">
        <v>3031</v>
      </c>
      <c r="K798" t="s">
        <v>105</v>
      </c>
      <c r="L798" t="s">
        <v>169</v>
      </c>
      <c r="M798" t="s">
        <v>81</v>
      </c>
      <c r="N798" t="s">
        <v>57</v>
      </c>
      <c r="O798" s="4">
        <v>3</v>
      </c>
      <c r="P798" s="4">
        <v>4</v>
      </c>
      <c r="Q798" t="s">
        <v>41</v>
      </c>
      <c r="R798" s="2">
        <v>46176</v>
      </c>
      <c r="S798" s="4">
        <v>27</v>
      </c>
      <c r="T798" s="3">
        <v>119000000</v>
      </c>
      <c r="U798" t="s">
        <v>42</v>
      </c>
      <c r="V798" t="s">
        <v>59</v>
      </c>
      <c r="W798" t="s">
        <v>71</v>
      </c>
      <c r="Y798" t="s">
        <v>72</v>
      </c>
      <c r="Z798" t="s">
        <v>3177</v>
      </c>
      <c r="AA798" t="s">
        <v>86</v>
      </c>
      <c r="AB798" t="s">
        <v>63</v>
      </c>
      <c r="AC798" t="s">
        <v>86</v>
      </c>
    </row>
    <row r="799" spans="1:29">
      <c r="A799" t="s">
        <v>1215</v>
      </c>
      <c r="B799" s="2">
        <v>46179</v>
      </c>
      <c r="C799" t="s">
        <v>30</v>
      </c>
      <c r="D799" t="s">
        <v>134</v>
      </c>
      <c r="E799" t="s">
        <v>50</v>
      </c>
      <c r="F799" t="s">
        <v>51</v>
      </c>
      <c r="G799" t="s">
        <v>343</v>
      </c>
      <c r="H799" t="s">
        <v>90</v>
      </c>
      <c r="I799" t="s">
        <v>842</v>
      </c>
      <c r="J799" t="s">
        <v>3161</v>
      </c>
      <c r="K799" t="s">
        <v>105</v>
      </c>
      <c r="L799" t="s">
        <v>187</v>
      </c>
      <c r="M799" t="s">
        <v>39</v>
      </c>
      <c r="N799" t="s">
        <v>196</v>
      </c>
      <c r="O799" s="4">
        <v>7</v>
      </c>
      <c r="P799" s="4">
        <v>14</v>
      </c>
      <c r="Q799" t="s">
        <v>41</v>
      </c>
      <c r="R799" s="2">
        <v>46171</v>
      </c>
      <c r="S799" s="4">
        <v>32</v>
      </c>
      <c r="T799" s="3">
        <v>208000000</v>
      </c>
      <c r="U799" t="s">
        <v>564</v>
      </c>
      <c r="V799" t="s">
        <v>70</v>
      </c>
      <c r="W799" t="s">
        <v>243</v>
      </c>
      <c r="Y799" t="s">
        <v>369</v>
      </c>
      <c r="Z799" t="s">
        <v>3181</v>
      </c>
      <c r="AA799" t="s">
        <v>62</v>
      </c>
      <c r="AB799" t="s">
        <v>199</v>
      </c>
      <c r="AC799" t="s">
        <v>62</v>
      </c>
    </row>
    <row r="800" spans="1:29">
      <c r="A800" t="s">
        <v>1216</v>
      </c>
      <c r="B800" s="2">
        <v>46192</v>
      </c>
      <c r="C800" t="s">
        <v>30</v>
      </c>
      <c r="D800" t="s">
        <v>74</v>
      </c>
      <c r="E800" t="s">
        <v>120</v>
      </c>
      <c r="F800" t="s">
        <v>121</v>
      </c>
      <c r="G800" t="s">
        <v>224</v>
      </c>
      <c r="H800" t="s">
        <v>123</v>
      </c>
      <c r="I800" t="s">
        <v>336</v>
      </c>
      <c r="J800" t="s">
        <v>3055</v>
      </c>
      <c r="K800" t="s">
        <v>37</v>
      </c>
      <c r="L800" t="s">
        <v>80</v>
      </c>
      <c r="M800" t="s">
        <v>93</v>
      </c>
      <c r="N800" t="s">
        <v>82</v>
      </c>
      <c r="O800" s="4">
        <v>1</v>
      </c>
      <c r="P800" s="4">
        <v>12</v>
      </c>
      <c r="Q800" t="s">
        <v>58</v>
      </c>
      <c r="R800" s="2">
        <v>46186</v>
      </c>
      <c r="S800" s="4">
        <v>17</v>
      </c>
      <c r="T800" s="3">
        <v>207000000</v>
      </c>
      <c r="U800" t="s">
        <v>42</v>
      </c>
      <c r="V800" t="s">
        <v>43</v>
      </c>
      <c r="W800" t="s">
        <v>290</v>
      </c>
      <c r="Y800" t="s">
        <v>330</v>
      </c>
      <c r="Z800" t="s">
        <v>3180</v>
      </c>
      <c r="AA800" t="s">
        <v>97</v>
      </c>
      <c r="AB800" t="s">
        <v>193</v>
      </c>
      <c r="AC800" t="s">
        <v>97</v>
      </c>
    </row>
    <row r="801" spans="1:29">
      <c r="A801" t="s">
        <v>1217</v>
      </c>
      <c r="B801" s="2">
        <v>46188</v>
      </c>
      <c r="C801" t="s">
        <v>30</v>
      </c>
      <c r="D801" t="s">
        <v>74</v>
      </c>
      <c r="E801" t="s">
        <v>32</v>
      </c>
      <c r="F801" t="s">
        <v>273</v>
      </c>
      <c r="G801" t="s">
        <v>361</v>
      </c>
      <c r="H801" t="s">
        <v>35</v>
      </c>
      <c r="I801" t="s">
        <v>595</v>
      </c>
      <c r="J801" t="s">
        <v>3128</v>
      </c>
      <c r="K801" t="s">
        <v>56</v>
      </c>
      <c r="L801" t="s">
        <v>80</v>
      </c>
      <c r="M801" t="s">
        <v>106</v>
      </c>
      <c r="N801" t="s">
        <v>82</v>
      </c>
      <c r="O801" s="4">
        <v>1</v>
      </c>
      <c r="P801" s="4">
        <v>2</v>
      </c>
      <c r="Q801" t="s">
        <v>142</v>
      </c>
      <c r="R801" s="2">
        <v>46182</v>
      </c>
      <c r="S801" s="4">
        <v>21</v>
      </c>
      <c r="T801" s="3">
        <v>84000000</v>
      </c>
      <c r="U801" t="s">
        <v>42</v>
      </c>
      <c r="V801" t="s">
        <v>43</v>
      </c>
      <c r="W801" t="s">
        <v>359</v>
      </c>
      <c r="Y801" t="s">
        <v>330</v>
      </c>
      <c r="Z801" t="s">
        <v>3176</v>
      </c>
      <c r="AA801" t="s">
        <v>46</v>
      </c>
      <c r="AB801" t="s">
        <v>47</v>
      </c>
      <c r="AC801" t="s">
        <v>46</v>
      </c>
    </row>
    <row r="802" spans="1:29">
      <c r="A802" t="s">
        <v>1218</v>
      </c>
      <c r="B802" s="2">
        <v>46198</v>
      </c>
      <c r="C802" t="s">
        <v>30</v>
      </c>
      <c r="D802" t="s">
        <v>49</v>
      </c>
      <c r="E802" t="s">
        <v>32</v>
      </c>
      <c r="F802" t="s">
        <v>33</v>
      </c>
      <c r="G802" t="s">
        <v>361</v>
      </c>
      <c r="H802" t="s">
        <v>35</v>
      </c>
      <c r="I802" t="s">
        <v>604</v>
      </c>
      <c r="J802" t="s">
        <v>3130</v>
      </c>
      <c r="K802" t="s">
        <v>105</v>
      </c>
      <c r="L802" t="s">
        <v>80</v>
      </c>
      <c r="M802" t="s">
        <v>93</v>
      </c>
      <c r="N802" t="s">
        <v>57</v>
      </c>
      <c r="O802" s="4">
        <v>3</v>
      </c>
      <c r="P802" s="4">
        <v>2</v>
      </c>
      <c r="Q802" t="s">
        <v>83</v>
      </c>
      <c r="R802" s="2">
        <v>46196</v>
      </c>
      <c r="S802" s="4">
        <v>7</v>
      </c>
      <c r="T802" s="3">
        <v>226000000</v>
      </c>
      <c r="U802" t="s">
        <v>42</v>
      </c>
      <c r="V802" t="s">
        <v>59</v>
      </c>
      <c r="W802" t="s">
        <v>203</v>
      </c>
      <c r="Y802" t="s">
        <v>158</v>
      </c>
      <c r="Z802" t="s">
        <v>3177</v>
      </c>
      <c r="AA802" t="s">
        <v>46</v>
      </c>
      <c r="AB802" t="s">
        <v>63</v>
      </c>
      <c r="AC802" t="s">
        <v>46</v>
      </c>
    </row>
    <row r="803" spans="1:29">
      <c r="A803" t="s">
        <v>1219</v>
      </c>
      <c r="B803" s="2">
        <v>46202</v>
      </c>
      <c r="C803" t="s">
        <v>30</v>
      </c>
      <c r="D803" t="s">
        <v>31</v>
      </c>
      <c r="E803" t="s">
        <v>111</v>
      </c>
      <c r="F803" t="s">
        <v>112</v>
      </c>
      <c r="G803" t="s">
        <v>348</v>
      </c>
      <c r="H803" t="s">
        <v>191</v>
      </c>
      <c r="I803" t="s">
        <v>455</v>
      </c>
      <c r="J803" t="s">
        <v>3091</v>
      </c>
      <c r="K803" t="s">
        <v>37</v>
      </c>
      <c r="L803" t="s">
        <v>55</v>
      </c>
      <c r="M803" t="s">
        <v>106</v>
      </c>
      <c r="N803" t="s">
        <v>57</v>
      </c>
      <c r="O803" s="4">
        <v>3</v>
      </c>
      <c r="P803" s="4">
        <v>5</v>
      </c>
      <c r="Q803" t="s">
        <v>69</v>
      </c>
      <c r="R803" s="2">
        <v>46201</v>
      </c>
      <c r="S803" s="4">
        <v>2</v>
      </c>
      <c r="T803" s="3">
        <v>188000000</v>
      </c>
      <c r="U803" t="s">
        <v>42</v>
      </c>
      <c r="V803" t="s">
        <v>43</v>
      </c>
      <c r="W803" t="s">
        <v>60</v>
      </c>
      <c r="Y803" t="s">
        <v>158</v>
      </c>
      <c r="Z803" t="s">
        <v>3177</v>
      </c>
      <c r="AA803" t="s">
        <v>118</v>
      </c>
      <c r="AB803" t="s">
        <v>63</v>
      </c>
      <c r="AC803" t="s">
        <v>118</v>
      </c>
    </row>
    <row r="804" spans="1:29">
      <c r="A804" t="s">
        <v>1220</v>
      </c>
      <c r="B804" s="2">
        <v>46192</v>
      </c>
      <c r="C804" t="s">
        <v>30</v>
      </c>
      <c r="D804" t="s">
        <v>74</v>
      </c>
      <c r="E804" t="s">
        <v>50</v>
      </c>
      <c r="F804" t="s">
        <v>351</v>
      </c>
      <c r="G804" t="s">
        <v>270</v>
      </c>
      <c r="H804" t="s">
        <v>53</v>
      </c>
      <c r="I804" t="s">
        <v>307</v>
      </c>
      <c r="J804" t="s">
        <v>3047</v>
      </c>
      <c r="K804" t="s">
        <v>37</v>
      </c>
      <c r="L804" t="s">
        <v>55</v>
      </c>
      <c r="M804" t="s">
        <v>56</v>
      </c>
      <c r="N804" t="s">
        <v>196</v>
      </c>
      <c r="O804" s="4">
        <v>7</v>
      </c>
      <c r="P804" s="4">
        <v>15</v>
      </c>
      <c r="Q804" t="s">
        <v>58</v>
      </c>
      <c r="R804" s="2">
        <v>46183</v>
      </c>
      <c r="S804" s="4">
        <v>20</v>
      </c>
      <c r="T804" s="3">
        <v>191000000</v>
      </c>
      <c r="U804" t="s">
        <v>196</v>
      </c>
      <c r="V804" t="s">
        <v>70</v>
      </c>
      <c r="W804" t="s">
        <v>209</v>
      </c>
      <c r="Y804" t="s">
        <v>244</v>
      </c>
      <c r="Z804" t="s">
        <v>3181</v>
      </c>
      <c r="AA804" t="s">
        <v>62</v>
      </c>
      <c r="AB804" t="s">
        <v>199</v>
      </c>
      <c r="AC804" t="s">
        <v>62</v>
      </c>
    </row>
    <row r="805" spans="1:29">
      <c r="A805" t="s">
        <v>1221</v>
      </c>
      <c r="B805" s="2">
        <v>46182</v>
      </c>
      <c r="C805" t="s">
        <v>30</v>
      </c>
      <c r="D805" t="s">
        <v>99</v>
      </c>
      <c r="E805" t="s">
        <v>100</v>
      </c>
      <c r="F805" t="s">
        <v>140</v>
      </c>
      <c r="G805" t="s">
        <v>102</v>
      </c>
      <c r="H805" t="s">
        <v>148</v>
      </c>
      <c r="I805" t="s">
        <v>490</v>
      </c>
      <c r="J805" t="s">
        <v>3103</v>
      </c>
      <c r="K805" t="s">
        <v>37</v>
      </c>
      <c r="L805" t="s">
        <v>38</v>
      </c>
      <c r="M805" t="s">
        <v>106</v>
      </c>
      <c r="N805" t="s">
        <v>94</v>
      </c>
      <c r="O805" s="4">
        <v>4</v>
      </c>
      <c r="P805" s="4">
        <v>15</v>
      </c>
      <c r="Q805" t="s">
        <v>41</v>
      </c>
      <c r="R805" s="2">
        <v>46175</v>
      </c>
      <c r="S805" s="4">
        <v>28</v>
      </c>
      <c r="T805" s="3">
        <v>101000000</v>
      </c>
      <c r="U805" t="s">
        <v>42</v>
      </c>
      <c r="V805" t="s">
        <v>59</v>
      </c>
      <c r="W805" t="s">
        <v>170</v>
      </c>
      <c r="Y805" t="s">
        <v>96</v>
      </c>
      <c r="Z805" t="s">
        <v>3179</v>
      </c>
      <c r="AA805" t="s">
        <v>109</v>
      </c>
      <c r="AB805" t="s">
        <v>97</v>
      </c>
      <c r="AC805" t="s">
        <v>109</v>
      </c>
    </row>
    <row r="806" spans="1:29">
      <c r="A806" t="s">
        <v>1222</v>
      </c>
      <c r="B806" s="2">
        <v>46203</v>
      </c>
      <c r="C806" t="s">
        <v>30</v>
      </c>
      <c r="D806" t="s">
        <v>31</v>
      </c>
      <c r="E806" t="s">
        <v>75</v>
      </c>
      <c r="F806" t="s">
        <v>183</v>
      </c>
      <c r="G806" t="s">
        <v>387</v>
      </c>
      <c r="H806" t="s">
        <v>78</v>
      </c>
      <c r="I806" t="s">
        <v>231</v>
      </c>
      <c r="J806" t="s">
        <v>3031</v>
      </c>
      <c r="K806" t="s">
        <v>105</v>
      </c>
      <c r="L806" t="s">
        <v>68</v>
      </c>
      <c r="M806" t="s">
        <v>56</v>
      </c>
      <c r="N806" t="s">
        <v>130</v>
      </c>
      <c r="O806" s="4">
        <v>5</v>
      </c>
      <c r="P806" s="4">
        <v>6</v>
      </c>
      <c r="Q806" t="s">
        <v>58</v>
      </c>
      <c r="R806" s="2">
        <v>46196</v>
      </c>
      <c r="S806" s="4">
        <v>7</v>
      </c>
      <c r="T806" s="3">
        <v>111000000</v>
      </c>
      <c r="U806" t="s">
        <v>42</v>
      </c>
      <c r="V806" t="s">
        <v>70</v>
      </c>
      <c r="W806" t="s">
        <v>131</v>
      </c>
      <c r="Y806" t="s">
        <v>334</v>
      </c>
      <c r="Z806" t="s">
        <v>3179</v>
      </c>
      <c r="AA806" t="s">
        <v>86</v>
      </c>
      <c r="AB806" t="s">
        <v>97</v>
      </c>
      <c r="AC806" t="s">
        <v>86</v>
      </c>
    </row>
    <row r="807" spans="1:29">
      <c r="A807" t="s">
        <v>1223</v>
      </c>
      <c r="B807" s="2">
        <v>46198</v>
      </c>
      <c r="C807" t="s">
        <v>30</v>
      </c>
      <c r="D807" t="s">
        <v>49</v>
      </c>
      <c r="E807" t="s">
        <v>75</v>
      </c>
      <c r="F807" t="s">
        <v>161</v>
      </c>
      <c r="G807" t="s">
        <v>387</v>
      </c>
      <c r="H807" t="s">
        <v>78</v>
      </c>
      <c r="I807" t="s">
        <v>494</v>
      </c>
      <c r="J807" t="s">
        <v>3104</v>
      </c>
      <c r="K807" t="s">
        <v>37</v>
      </c>
      <c r="L807" t="s">
        <v>68</v>
      </c>
      <c r="M807" t="s">
        <v>129</v>
      </c>
      <c r="N807" t="s">
        <v>82</v>
      </c>
      <c r="O807" s="4">
        <v>1</v>
      </c>
      <c r="P807" s="4">
        <v>7</v>
      </c>
      <c r="Q807" t="s">
        <v>142</v>
      </c>
      <c r="R807" s="2">
        <v>46193</v>
      </c>
      <c r="S807" s="4">
        <v>10</v>
      </c>
      <c r="T807" s="3">
        <v>248000000</v>
      </c>
      <c r="U807" t="s">
        <v>42</v>
      </c>
      <c r="V807" t="s">
        <v>43</v>
      </c>
      <c r="W807" t="s">
        <v>290</v>
      </c>
      <c r="Y807" t="s">
        <v>291</v>
      </c>
      <c r="Z807" t="s">
        <v>3178</v>
      </c>
      <c r="AA807" t="s">
        <v>86</v>
      </c>
      <c r="AB807" t="s">
        <v>87</v>
      </c>
      <c r="AC807" t="s">
        <v>86</v>
      </c>
    </row>
    <row r="808" spans="1:29">
      <c r="A808" t="s">
        <v>1224</v>
      </c>
      <c r="B808" s="2">
        <v>46179</v>
      </c>
      <c r="C808" t="s">
        <v>30</v>
      </c>
      <c r="D808" t="s">
        <v>134</v>
      </c>
      <c r="E808" t="s">
        <v>100</v>
      </c>
      <c r="F808" t="s">
        <v>146</v>
      </c>
      <c r="G808" t="s">
        <v>237</v>
      </c>
      <c r="H808" t="s">
        <v>148</v>
      </c>
      <c r="I808" t="s">
        <v>800</v>
      </c>
      <c r="J808" t="s">
        <v>3156</v>
      </c>
      <c r="K808" t="s">
        <v>105</v>
      </c>
      <c r="L808" t="s">
        <v>187</v>
      </c>
      <c r="M808" t="s">
        <v>129</v>
      </c>
      <c r="N808" t="s">
        <v>57</v>
      </c>
      <c r="O808" s="4">
        <v>3</v>
      </c>
      <c r="P808" s="4">
        <v>6</v>
      </c>
      <c r="Q808" t="s">
        <v>142</v>
      </c>
      <c r="R808" s="2">
        <v>46179</v>
      </c>
      <c r="S808" s="4">
        <v>24</v>
      </c>
      <c r="T808" s="3">
        <v>173000000</v>
      </c>
      <c r="U808" t="s">
        <v>42</v>
      </c>
      <c r="V808" t="s">
        <v>59</v>
      </c>
      <c r="W808" t="s">
        <v>71</v>
      </c>
      <c r="Y808" t="s">
        <v>72</v>
      </c>
      <c r="Z808" t="s">
        <v>3177</v>
      </c>
      <c r="AA808" t="s">
        <v>109</v>
      </c>
      <c r="AB808" t="s">
        <v>63</v>
      </c>
      <c r="AC808" t="s">
        <v>109</v>
      </c>
    </row>
    <row r="809" spans="1:29">
      <c r="A809" t="s">
        <v>1225</v>
      </c>
      <c r="B809" s="2">
        <v>46185</v>
      </c>
      <c r="C809" t="s">
        <v>30</v>
      </c>
      <c r="D809" t="s">
        <v>99</v>
      </c>
      <c r="E809" t="s">
        <v>75</v>
      </c>
      <c r="F809" t="s">
        <v>161</v>
      </c>
      <c r="G809" t="s">
        <v>387</v>
      </c>
      <c r="H809" t="s">
        <v>185</v>
      </c>
      <c r="I809" t="s">
        <v>673</v>
      </c>
      <c r="J809" t="s">
        <v>3146</v>
      </c>
      <c r="K809" t="s">
        <v>37</v>
      </c>
      <c r="L809" t="s">
        <v>38</v>
      </c>
      <c r="M809" t="s">
        <v>164</v>
      </c>
      <c r="N809" t="s">
        <v>130</v>
      </c>
      <c r="O809" s="4">
        <v>5</v>
      </c>
      <c r="P809" s="4">
        <v>9</v>
      </c>
      <c r="Q809" t="s">
        <v>83</v>
      </c>
      <c r="R809" s="2">
        <v>46176</v>
      </c>
      <c r="S809" s="4">
        <v>27</v>
      </c>
      <c r="T809" s="3">
        <v>265000000</v>
      </c>
      <c r="U809" t="s">
        <v>42</v>
      </c>
      <c r="V809" t="s">
        <v>59</v>
      </c>
      <c r="W809" t="s">
        <v>144</v>
      </c>
      <c r="Y809" t="s">
        <v>262</v>
      </c>
      <c r="Z809" t="s">
        <v>3179</v>
      </c>
      <c r="AA809" t="s">
        <v>86</v>
      </c>
      <c r="AB809" t="s">
        <v>97</v>
      </c>
      <c r="AC809" t="s">
        <v>86</v>
      </c>
    </row>
    <row r="810" spans="1:29">
      <c r="A810" t="s">
        <v>1226</v>
      </c>
      <c r="B810" s="2">
        <v>46202</v>
      </c>
      <c r="C810" t="s">
        <v>30</v>
      </c>
      <c r="D810" t="s">
        <v>31</v>
      </c>
      <c r="E810" t="s">
        <v>32</v>
      </c>
      <c r="F810" t="s">
        <v>256</v>
      </c>
      <c r="G810" t="s">
        <v>361</v>
      </c>
      <c r="H810" t="s">
        <v>303</v>
      </c>
      <c r="I810" t="s">
        <v>304</v>
      </c>
      <c r="J810" t="s">
        <v>3046</v>
      </c>
      <c r="K810" t="s">
        <v>37</v>
      </c>
      <c r="L810" t="s">
        <v>150</v>
      </c>
      <c r="M810" t="s">
        <v>164</v>
      </c>
      <c r="N810" t="s">
        <v>40</v>
      </c>
      <c r="O810" s="4">
        <v>2</v>
      </c>
      <c r="P810" s="4">
        <v>5</v>
      </c>
      <c r="Q810" t="s">
        <v>107</v>
      </c>
      <c r="R810" s="2">
        <v>46200</v>
      </c>
      <c r="S810" s="4">
        <v>3</v>
      </c>
      <c r="T810" s="3">
        <v>154000000</v>
      </c>
      <c r="U810" t="s">
        <v>42</v>
      </c>
      <c r="V810" t="s">
        <v>43</v>
      </c>
      <c r="W810" t="s">
        <v>44</v>
      </c>
      <c r="Y810" t="s">
        <v>180</v>
      </c>
      <c r="Z810" t="s">
        <v>3178</v>
      </c>
      <c r="AA810" t="s">
        <v>46</v>
      </c>
      <c r="AB810" t="s">
        <v>87</v>
      </c>
      <c r="AC810" t="s">
        <v>46</v>
      </c>
    </row>
    <row r="811" spans="1:29">
      <c r="A811" t="s">
        <v>1227</v>
      </c>
      <c r="B811" s="2">
        <v>46174</v>
      </c>
      <c r="C811" t="s">
        <v>30</v>
      </c>
      <c r="D811" t="s">
        <v>134</v>
      </c>
      <c r="E811" t="s">
        <v>111</v>
      </c>
      <c r="F811" t="s">
        <v>112</v>
      </c>
      <c r="G811" t="s">
        <v>265</v>
      </c>
      <c r="H811" t="s">
        <v>114</v>
      </c>
      <c r="I811" t="s">
        <v>383</v>
      </c>
      <c r="J811" t="s">
        <v>3070</v>
      </c>
      <c r="K811" t="s">
        <v>37</v>
      </c>
      <c r="L811" t="s">
        <v>68</v>
      </c>
      <c r="M811" t="s">
        <v>39</v>
      </c>
      <c r="N811" t="s">
        <v>40</v>
      </c>
      <c r="O811" s="4">
        <v>2</v>
      </c>
      <c r="P811" s="4">
        <v>6</v>
      </c>
      <c r="Q811" t="s">
        <v>41</v>
      </c>
      <c r="R811" s="2">
        <v>46164</v>
      </c>
      <c r="S811" s="4">
        <v>39</v>
      </c>
      <c r="T811" s="3">
        <v>86000000</v>
      </c>
      <c r="U811" t="s">
        <v>42</v>
      </c>
      <c r="V811" t="s">
        <v>43</v>
      </c>
      <c r="W811" t="s">
        <v>44</v>
      </c>
      <c r="Y811" t="s">
        <v>309</v>
      </c>
      <c r="Z811" t="s">
        <v>3178</v>
      </c>
      <c r="AA811" t="s">
        <v>118</v>
      </c>
      <c r="AB811" t="s">
        <v>87</v>
      </c>
      <c r="AC811" t="s">
        <v>118</v>
      </c>
    </row>
    <row r="812" spans="1:29">
      <c r="A812" t="s">
        <v>1228</v>
      </c>
      <c r="B812" s="2">
        <v>46178</v>
      </c>
      <c r="C812" t="s">
        <v>30</v>
      </c>
      <c r="D812" t="s">
        <v>134</v>
      </c>
      <c r="E812" t="s">
        <v>32</v>
      </c>
      <c r="F812" t="s">
        <v>273</v>
      </c>
      <c r="G812" t="s">
        <v>257</v>
      </c>
      <c r="H812" t="s">
        <v>35</v>
      </c>
      <c r="I812" t="s">
        <v>219</v>
      </c>
      <c r="J812" t="s">
        <v>3028</v>
      </c>
      <c r="K812" t="s">
        <v>56</v>
      </c>
      <c r="L812" t="s">
        <v>68</v>
      </c>
      <c r="M812" t="s">
        <v>39</v>
      </c>
      <c r="N812" t="s">
        <v>57</v>
      </c>
      <c r="O812" s="4">
        <v>3</v>
      </c>
      <c r="P812" s="4">
        <v>1</v>
      </c>
      <c r="Q812" t="s">
        <v>107</v>
      </c>
      <c r="R812" s="2">
        <v>46169</v>
      </c>
      <c r="S812" s="4">
        <v>34</v>
      </c>
      <c r="T812" s="3">
        <v>198000000</v>
      </c>
      <c r="U812" t="s">
        <v>177</v>
      </c>
      <c r="V812" t="s">
        <v>43</v>
      </c>
      <c r="W812" t="s">
        <v>60</v>
      </c>
      <c r="X812" t="s">
        <v>422</v>
      </c>
      <c r="Y812" t="s">
        <v>61</v>
      </c>
      <c r="Z812" t="s">
        <v>3177</v>
      </c>
      <c r="AA812" t="s">
        <v>46</v>
      </c>
      <c r="AB812" t="s">
        <v>63</v>
      </c>
      <c r="AC812" t="s">
        <v>46</v>
      </c>
    </row>
    <row r="813" spans="1:29">
      <c r="A813" t="s">
        <v>1229</v>
      </c>
      <c r="B813" s="2">
        <v>46185</v>
      </c>
      <c r="C813" t="s">
        <v>30</v>
      </c>
      <c r="D813" t="s">
        <v>99</v>
      </c>
      <c r="E813" t="s">
        <v>152</v>
      </c>
      <c r="F813" t="s">
        <v>205</v>
      </c>
      <c r="G813" t="s">
        <v>206</v>
      </c>
      <c r="H813" t="s">
        <v>207</v>
      </c>
      <c r="I813" t="s">
        <v>208</v>
      </c>
      <c r="J813" t="s">
        <v>3027</v>
      </c>
      <c r="K813" t="s">
        <v>92</v>
      </c>
      <c r="L813" t="s">
        <v>187</v>
      </c>
      <c r="M813" t="s">
        <v>164</v>
      </c>
      <c r="N813" t="s">
        <v>57</v>
      </c>
      <c r="O813" s="4">
        <v>3</v>
      </c>
      <c r="P813" s="4">
        <v>6</v>
      </c>
      <c r="Q813" t="s">
        <v>58</v>
      </c>
      <c r="R813" s="2">
        <v>46180</v>
      </c>
      <c r="S813" s="4">
        <v>23</v>
      </c>
      <c r="T813" s="3">
        <v>123000000</v>
      </c>
      <c r="U813" t="s">
        <v>42</v>
      </c>
      <c r="V813" t="s">
        <v>43</v>
      </c>
      <c r="W813" t="s">
        <v>71</v>
      </c>
      <c r="Y813" t="s">
        <v>165</v>
      </c>
      <c r="Z813" t="s">
        <v>3177</v>
      </c>
      <c r="AA813" t="s">
        <v>159</v>
      </c>
      <c r="AB813" t="s">
        <v>63</v>
      </c>
      <c r="AC813" t="s">
        <v>159</v>
      </c>
    </row>
    <row r="814" spans="1:29">
      <c r="A814" t="s">
        <v>1230</v>
      </c>
      <c r="B814" s="2">
        <v>46201</v>
      </c>
      <c r="C814" t="s">
        <v>30</v>
      </c>
      <c r="D814" t="s">
        <v>49</v>
      </c>
      <c r="E814" t="s">
        <v>32</v>
      </c>
      <c r="F814" t="s">
        <v>33</v>
      </c>
      <c r="G814" t="s">
        <v>218</v>
      </c>
      <c r="H814" t="s">
        <v>258</v>
      </c>
      <c r="I814" t="s">
        <v>593</v>
      </c>
      <c r="J814" t="s">
        <v>3127</v>
      </c>
      <c r="K814" t="s">
        <v>37</v>
      </c>
      <c r="L814" t="s">
        <v>80</v>
      </c>
      <c r="M814" t="s">
        <v>81</v>
      </c>
      <c r="N814" t="s">
        <v>82</v>
      </c>
      <c r="O814" s="4">
        <v>1</v>
      </c>
      <c r="P814" s="4">
        <v>4</v>
      </c>
      <c r="Q814" t="s">
        <v>58</v>
      </c>
      <c r="R814" s="2">
        <v>46199</v>
      </c>
      <c r="S814" s="4">
        <v>4</v>
      </c>
      <c r="T814" s="3">
        <v>92000000</v>
      </c>
      <c r="U814" t="s">
        <v>42</v>
      </c>
      <c r="V814" t="s">
        <v>59</v>
      </c>
      <c r="W814" t="s">
        <v>404</v>
      </c>
      <c r="Y814" t="s">
        <v>291</v>
      </c>
      <c r="Z814" t="s">
        <v>3176</v>
      </c>
      <c r="AA814" t="s">
        <v>46</v>
      </c>
      <c r="AB814" t="s">
        <v>47</v>
      </c>
      <c r="AC814" t="s">
        <v>46</v>
      </c>
    </row>
    <row r="815" spans="1:29">
      <c r="A815" t="s">
        <v>1231</v>
      </c>
      <c r="B815" s="2">
        <v>46193</v>
      </c>
      <c r="C815" t="s">
        <v>30</v>
      </c>
      <c r="D815" t="s">
        <v>74</v>
      </c>
      <c r="E815" t="s">
        <v>50</v>
      </c>
      <c r="F815" t="s">
        <v>89</v>
      </c>
      <c r="G815" t="s">
        <v>270</v>
      </c>
      <c r="H815" t="s">
        <v>53</v>
      </c>
      <c r="I815" t="s">
        <v>54</v>
      </c>
      <c r="J815" t="s">
        <v>3009</v>
      </c>
      <c r="K815" t="s">
        <v>116</v>
      </c>
      <c r="L815" t="s">
        <v>187</v>
      </c>
      <c r="M815" t="s">
        <v>56</v>
      </c>
      <c r="N815" t="s">
        <v>130</v>
      </c>
      <c r="O815" s="4">
        <v>5</v>
      </c>
      <c r="P815" s="4">
        <v>8</v>
      </c>
      <c r="Q815" t="s">
        <v>69</v>
      </c>
      <c r="R815" s="2">
        <v>46183</v>
      </c>
      <c r="S815" s="4">
        <v>20</v>
      </c>
      <c r="T815" s="3">
        <v>153000000</v>
      </c>
      <c r="U815" t="s">
        <v>42</v>
      </c>
      <c r="V815" t="s">
        <v>70</v>
      </c>
      <c r="W815" t="s">
        <v>131</v>
      </c>
      <c r="Y815" t="s">
        <v>254</v>
      </c>
      <c r="Z815" t="s">
        <v>3179</v>
      </c>
      <c r="AA815" t="s">
        <v>62</v>
      </c>
      <c r="AB815" t="s">
        <v>97</v>
      </c>
      <c r="AC815" t="s">
        <v>62</v>
      </c>
    </row>
    <row r="816" spans="1:29">
      <c r="A816" t="s">
        <v>1232</v>
      </c>
      <c r="B816" s="2">
        <v>46181</v>
      </c>
      <c r="C816" t="s">
        <v>30</v>
      </c>
      <c r="D816" t="s">
        <v>99</v>
      </c>
      <c r="E816" t="s">
        <v>75</v>
      </c>
      <c r="F816" t="s">
        <v>76</v>
      </c>
      <c r="G816" t="s">
        <v>230</v>
      </c>
      <c r="H816" t="s">
        <v>388</v>
      </c>
      <c r="I816" t="s">
        <v>409</v>
      </c>
      <c r="J816" t="s">
        <v>3076</v>
      </c>
      <c r="K816" t="s">
        <v>56</v>
      </c>
      <c r="L816" t="s">
        <v>187</v>
      </c>
      <c r="M816" t="s">
        <v>93</v>
      </c>
      <c r="N816" t="s">
        <v>94</v>
      </c>
      <c r="O816" s="4">
        <v>4</v>
      </c>
      <c r="P816" s="4">
        <v>8</v>
      </c>
      <c r="Q816" t="s">
        <v>58</v>
      </c>
      <c r="R816" s="2">
        <v>46178</v>
      </c>
      <c r="S816" s="4">
        <v>25</v>
      </c>
      <c r="T816" s="3">
        <v>203000000</v>
      </c>
      <c r="U816" t="s">
        <v>426</v>
      </c>
      <c r="V816" t="s">
        <v>70</v>
      </c>
      <c r="W816" t="s">
        <v>95</v>
      </c>
      <c r="X816" t="s">
        <v>179</v>
      </c>
      <c r="Y816" t="s">
        <v>268</v>
      </c>
      <c r="Z816" t="s">
        <v>3179</v>
      </c>
      <c r="AA816" t="s">
        <v>86</v>
      </c>
      <c r="AB816" t="s">
        <v>97</v>
      </c>
      <c r="AC816" t="s">
        <v>86</v>
      </c>
    </row>
    <row r="817" spans="1:29">
      <c r="A817" t="s">
        <v>1233</v>
      </c>
      <c r="B817" s="2">
        <v>46199</v>
      </c>
      <c r="C817" t="s">
        <v>30</v>
      </c>
      <c r="D817" t="s">
        <v>49</v>
      </c>
      <c r="E817" t="s">
        <v>152</v>
      </c>
      <c r="F817" t="s">
        <v>221</v>
      </c>
      <c r="G817" t="s">
        <v>294</v>
      </c>
      <c r="H817" t="s">
        <v>207</v>
      </c>
      <c r="I817" t="s">
        <v>208</v>
      </c>
      <c r="J817" t="s">
        <v>3027</v>
      </c>
      <c r="K817" t="s">
        <v>56</v>
      </c>
      <c r="L817" t="s">
        <v>187</v>
      </c>
      <c r="M817" t="s">
        <v>81</v>
      </c>
      <c r="N817" t="s">
        <v>94</v>
      </c>
      <c r="O817" s="4">
        <v>4</v>
      </c>
      <c r="P817" s="4">
        <v>13</v>
      </c>
      <c r="Q817" t="s">
        <v>107</v>
      </c>
      <c r="R817" s="2">
        <v>46192</v>
      </c>
      <c r="S817" s="4">
        <v>11</v>
      </c>
      <c r="T817" s="3">
        <v>241000000</v>
      </c>
      <c r="U817" t="s">
        <v>42</v>
      </c>
      <c r="V817" t="s">
        <v>59</v>
      </c>
      <c r="W817" t="s">
        <v>95</v>
      </c>
      <c r="X817" t="s">
        <v>253</v>
      </c>
      <c r="Y817" t="s">
        <v>268</v>
      </c>
      <c r="Z817" t="s">
        <v>3179</v>
      </c>
      <c r="AA817" t="s">
        <v>159</v>
      </c>
      <c r="AB817" t="s">
        <v>97</v>
      </c>
      <c r="AC817" t="s">
        <v>159</v>
      </c>
    </row>
    <row r="818" spans="1:29">
      <c r="A818" t="s">
        <v>1234</v>
      </c>
      <c r="B818" s="2">
        <v>46176</v>
      </c>
      <c r="C818" t="s">
        <v>30</v>
      </c>
      <c r="D818" t="s">
        <v>134</v>
      </c>
      <c r="E818" t="s">
        <v>50</v>
      </c>
      <c r="F818" t="s">
        <v>89</v>
      </c>
      <c r="G818" t="s">
        <v>234</v>
      </c>
      <c r="H818" t="s">
        <v>53</v>
      </c>
      <c r="I818" t="s">
        <v>307</v>
      </c>
      <c r="J818" t="s">
        <v>3047</v>
      </c>
      <c r="K818" t="s">
        <v>37</v>
      </c>
      <c r="L818" t="s">
        <v>55</v>
      </c>
      <c r="M818" t="s">
        <v>106</v>
      </c>
      <c r="N818" t="s">
        <v>57</v>
      </c>
      <c r="O818" s="4">
        <v>3</v>
      </c>
      <c r="P818" s="4">
        <v>10</v>
      </c>
      <c r="Q818" t="s">
        <v>83</v>
      </c>
      <c r="R818" s="2">
        <v>46174</v>
      </c>
      <c r="S818" s="4">
        <v>29</v>
      </c>
      <c r="T818" s="3">
        <v>69000000</v>
      </c>
      <c r="U818" t="s">
        <v>42</v>
      </c>
      <c r="V818" t="s">
        <v>59</v>
      </c>
      <c r="W818" t="s">
        <v>203</v>
      </c>
      <c r="Y818" t="s">
        <v>158</v>
      </c>
      <c r="Z818" t="s">
        <v>3177</v>
      </c>
      <c r="AA818" t="s">
        <v>62</v>
      </c>
      <c r="AB818" t="s">
        <v>63</v>
      </c>
      <c r="AC818" t="s">
        <v>62</v>
      </c>
    </row>
    <row r="819" spans="1:29">
      <c r="A819" t="s">
        <v>1235</v>
      </c>
      <c r="B819" s="2">
        <v>46177</v>
      </c>
      <c r="C819" t="s">
        <v>30</v>
      </c>
      <c r="D819" t="s">
        <v>134</v>
      </c>
      <c r="E819" t="s">
        <v>172</v>
      </c>
      <c r="F819" t="s">
        <v>173</v>
      </c>
      <c r="G819" t="s">
        <v>174</v>
      </c>
      <c r="H819" t="s">
        <v>317</v>
      </c>
      <c r="I819" t="s">
        <v>815</v>
      </c>
      <c r="J819" t="s">
        <v>3158</v>
      </c>
      <c r="K819" t="s">
        <v>56</v>
      </c>
      <c r="L819" t="s">
        <v>68</v>
      </c>
      <c r="M819" t="s">
        <v>81</v>
      </c>
      <c r="N819" t="s">
        <v>40</v>
      </c>
      <c r="O819" s="4">
        <v>2</v>
      </c>
      <c r="P819" s="4">
        <v>3</v>
      </c>
      <c r="Q819" t="s">
        <v>58</v>
      </c>
      <c r="R819" s="2">
        <v>46174</v>
      </c>
      <c r="S819" s="4">
        <v>29</v>
      </c>
      <c r="T819" s="3">
        <v>234000000</v>
      </c>
      <c r="U819" t="s">
        <v>42</v>
      </c>
      <c r="V819" t="s">
        <v>59</v>
      </c>
      <c r="W819" t="s">
        <v>239</v>
      </c>
      <c r="Y819" t="s">
        <v>281</v>
      </c>
      <c r="Z819" t="s">
        <v>3176</v>
      </c>
      <c r="AA819" t="s">
        <v>181</v>
      </c>
      <c r="AB819" t="s">
        <v>47</v>
      </c>
      <c r="AC819" t="s">
        <v>181</v>
      </c>
    </row>
    <row r="820" spans="1:29">
      <c r="A820" t="s">
        <v>1236</v>
      </c>
      <c r="B820" s="2">
        <v>46184</v>
      </c>
      <c r="C820" t="s">
        <v>30</v>
      </c>
      <c r="D820" t="s">
        <v>99</v>
      </c>
      <c r="E820" t="s">
        <v>50</v>
      </c>
      <c r="F820" t="s">
        <v>89</v>
      </c>
      <c r="G820" t="s">
        <v>234</v>
      </c>
      <c r="H820" t="s">
        <v>90</v>
      </c>
      <c r="I820" t="s">
        <v>842</v>
      </c>
      <c r="J820" t="s">
        <v>3161</v>
      </c>
      <c r="K820" t="s">
        <v>56</v>
      </c>
      <c r="L820" t="s">
        <v>68</v>
      </c>
      <c r="M820" t="s">
        <v>93</v>
      </c>
      <c r="N820" t="s">
        <v>213</v>
      </c>
      <c r="O820" s="4">
        <v>6</v>
      </c>
      <c r="P820" s="4">
        <v>11</v>
      </c>
      <c r="Q820" t="s">
        <v>107</v>
      </c>
      <c r="R820" s="2">
        <v>46180</v>
      </c>
      <c r="S820" s="4">
        <v>23</v>
      </c>
      <c r="T820" s="3">
        <v>124000000</v>
      </c>
      <c r="U820" t="s">
        <v>214</v>
      </c>
      <c r="V820" t="s">
        <v>143</v>
      </c>
      <c r="W820" t="s">
        <v>248</v>
      </c>
      <c r="Y820" t="s">
        <v>432</v>
      </c>
      <c r="Z820" t="s">
        <v>3179</v>
      </c>
      <c r="AA820" t="s">
        <v>62</v>
      </c>
      <c r="AB820" t="s">
        <v>97</v>
      </c>
      <c r="AC820" t="s">
        <v>62</v>
      </c>
    </row>
    <row r="821" spans="1:29">
      <c r="A821" t="s">
        <v>1237</v>
      </c>
      <c r="B821" s="2">
        <v>46176</v>
      </c>
      <c r="C821" t="s">
        <v>30</v>
      </c>
      <c r="D821" t="s">
        <v>134</v>
      </c>
      <c r="E821" t="s">
        <v>32</v>
      </c>
      <c r="F821" t="s">
        <v>256</v>
      </c>
      <c r="G821" t="s">
        <v>257</v>
      </c>
      <c r="H821" t="s">
        <v>303</v>
      </c>
      <c r="I821" t="s">
        <v>487</v>
      </c>
      <c r="J821" t="s">
        <v>3102</v>
      </c>
      <c r="K821" t="s">
        <v>105</v>
      </c>
      <c r="L821" t="s">
        <v>38</v>
      </c>
      <c r="M821" t="s">
        <v>81</v>
      </c>
      <c r="N821" t="s">
        <v>40</v>
      </c>
      <c r="O821" s="4">
        <v>2</v>
      </c>
      <c r="P821" s="4">
        <v>3</v>
      </c>
      <c r="Q821" t="s">
        <v>69</v>
      </c>
      <c r="R821" s="2">
        <v>46168</v>
      </c>
      <c r="S821" s="4">
        <v>35</v>
      </c>
      <c r="T821" s="3">
        <v>166000000</v>
      </c>
      <c r="U821" t="s">
        <v>42</v>
      </c>
      <c r="V821" t="s">
        <v>43</v>
      </c>
      <c r="W821" t="s">
        <v>239</v>
      </c>
      <c r="Y821" t="s">
        <v>45</v>
      </c>
      <c r="Z821" t="s">
        <v>3176</v>
      </c>
      <c r="AA821" t="s">
        <v>46</v>
      </c>
      <c r="AB821" t="s">
        <v>47</v>
      </c>
      <c r="AC821" t="s">
        <v>46</v>
      </c>
    </row>
    <row r="822" spans="1:29">
      <c r="A822" t="s">
        <v>1238</v>
      </c>
      <c r="B822" s="2">
        <v>46195</v>
      </c>
      <c r="C822" t="s">
        <v>30</v>
      </c>
      <c r="D822" t="s">
        <v>49</v>
      </c>
      <c r="E822" t="s">
        <v>152</v>
      </c>
      <c r="F822" t="s">
        <v>205</v>
      </c>
      <c r="G822" t="s">
        <v>154</v>
      </c>
      <c r="H822" t="s">
        <v>155</v>
      </c>
      <c r="I822" t="s">
        <v>729</v>
      </c>
      <c r="J822" t="s">
        <v>3149</v>
      </c>
      <c r="K822" t="s">
        <v>116</v>
      </c>
      <c r="L822" t="s">
        <v>80</v>
      </c>
      <c r="M822" t="s">
        <v>129</v>
      </c>
      <c r="N822" t="s">
        <v>130</v>
      </c>
      <c r="O822" s="4">
        <v>5</v>
      </c>
      <c r="P822" s="4">
        <v>16</v>
      </c>
      <c r="Q822" t="s">
        <v>107</v>
      </c>
      <c r="R822" s="2">
        <v>46195</v>
      </c>
      <c r="S822" s="4">
        <v>8</v>
      </c>
      <c r="T822" s="3">
        <v>134000000</v>
      </c>
      <c r="U822" t="s">
        <v>426</v>
      </c>
      <c r="V822" t="s">
        <v>70</v>
      </c>
      <c r="W822" t="s">
        <v>131</v>
      </c>
      <c r="X822" t="s">
        <v>179</v>
      </c>
      <c r="Y822" t="s">
        <v>262</v>
      </c>
      <c r="Z822" t="s">
        <v>3179</v>
      </c>
      <c r="AA822" t="s">
        <v>159</v>
      </c>
      <c r="AB822" t="s">
        <v>97</v>
      </c>
      <c r="AC822" t="s">
        <v>159</v>
      </c>
    </row>
    <row r="823" spans="1:29">
      <c r="A823" t="s">
        <v>1239</v>
      </c>
      <c r="B823" s="2">
        <v>46203</v>
      </c>
      <c r="C823" t="s">
        <v>30</v>
      </c>
      <c r="D823" t="s">
        <v>31</v>
      </c>
      <c r="E823" t="s">
        <v>111</v>
      </c>
      <c r="F823" t="s">
        <v>264</v>
      </c>
      <c r="G823" t="s">
        <v>348</v>
      </c>
      <c r="H823" t="s">
        <v>191</v>
      </c>
      <c r="I823" t="s">
        <v>606</v>
      </c>
      <c r="J823" t="s">
        <v>3131</v>
      </c>
      <c r="K823" t="s">
        <v>92</v>
      </c>
      <c r="L823" t="s">
        <v>80</v>
      </c>
      <c r="M823" t="s">
        <v>164</v>
      </c>
      <c r="N823" t="s">
        <v>213</v>
      </c>
      <c r="O823" s="4">
        <v>6</v>
      </c>
      <c r="P823" s="4">
        <v>13</v>
      </c>
      <c r="Q823" t="s">
        <v>142</v>
      </c>
      <c r="R823" s="2">
        <v>46195</v>
      </c>
      <c r="S823" s="4">
        <v>8</v>
      </c>
      <c r="T823" s="3">
        <v>143000000</v>
      </c>
      <c r="U823" t="s">
        <v>214</v>
      </c>
      <c r="V823" t="s">
        <v>70</v>
      </c>
      <c r="W823" t="s">
        <v>390</v>
      </c>
      <c r="Y823" t="s">
        <v>432</v>
      </c>
      <c r="Z823" t="s">
        <v>3179</v>
      </c>
      <c r="AA823" t="s">
        <v>118</v>
      </c>
      <c r="AB823" t="s">
        <v>97</v>
      </c>
      <c r="AC823" t="s">
        <v>118</v>
      </c>
    </row>
    <row r="824" spans="1:29">
      <c r="A824" t="s">
        <v>1240</v>
      </c>
      <c r="B824" s="2">
        <v>46192</v>
      </c>
      <c r="C824" t="s">
        <v>30</v>
      </c>
      <c r="D824" t="s">
        <v>74</v>
      </c>
      <c r="E824" t="s">
        <v>75</v>
      </c>
      <c r="F824" t="s">
        <v>183</v>
      </c>
      <c r="G824" t="s">
        <v>184</v>
      </c>
      <c r="H824" t="s">
        <v>78</v>
      </c>
      <c r="I824" t="s">
        <v>231</v>
      </c>
      <c r="J824" t="s">
        <v>3031</v>
      </c>
      <c r="K824" t="s">
        <v>37</v>
      </c>
      <c r="L824" t="s">
        <v>55</v>
      </c>
      <c r="M824" t="s">
        <v>56</v>
      </c>
      <c r="N824" t="s">
        <v>94</v>
      </c>
      <c r="O824" s="4">
        <v>4</v>
      </c>
      <c r="P824" s="4">
        <v>8</v>
      </c>
      <c r="Q824" t="s">
        <v>138</v>
      </c>
      <c r="R824" s="2">
        <v>46191</v>
      </c>
      <c r="S824" s="4">
        <v>12</v>
      </c>
      <c r="T824" s="3">
        <v>217000000</v>
      </c>
      <c r="U824" t="s">
        <v>42</v>
      </c>
      <c r="V824" t="s">
        <v>59</v>
      </c>
      <c r="W824" t="s">
        <v>188</v>
      </c>
      <c r="Y824" t="s">
        <v>96</v>
      </c>
      <c r="Z824" t="s">
        <v>3179</v>
      </c>
      <c r="AA824" t="s">
        <v>86</v>
      </c>
      <c r="AB824" t="s">
        <v>97</v>
      </c>
      <c r="AC824" t="s">
        <v>86</v>
      </c>
    </row>
    <row r="825" spans="1:29">
      <c r="A825" t="s">
        <v>1241</v>
      </c>
      <c r="B825" s="2">
        <v>46189</v>
      </c>
      <c r="C825" t="s">
        <v>30</v>
      </c>
      <c r="D825" t="s">
        <v>74</v>
      </c>
      <c r="E825" t="s">
        <v>111</v>
      </c>
      <c r="F825" t="s">
        <v>112</v>
      </c>
      <c r="G825" t="s">
        <v>265</v>
      </c>
      <c r="H825" t="s">
        <v>114</v>
      </c>
      <c r="I825" t="s">
        <v>383</v>
      </c>
      <c r="J825" t="s">
        <v>3070</v>
      </c>
      <c r="K825" t="s">
        <v>105</v>
      </c>
      <c r="L825" t="s">
        <v>169</v>
      </c>
      <c r="M825" t="s">
        <v>56</v>
      </c>
      <c r="N825" t="s">
        <v>94</v>
      </c>
      <c r="O825" s="4">
        <v>4</v>
      </c>
      <c r="P825" s="4">
        <v>10</v>
      </c>
      <c r="Q825" t="s">
        <v>138</v>
      </c>
      <c r="R825" s="2">
        <v>46186</v>
      </c>
      <c r="S825" s="4">
        <v>17</v>
      </c>
      <c r="T825" s="3">
        <v>269000000</v>
      </c>
      <c r="U825" t="s">
        <v>426</v>
      </c>
      <c r="V825" t="s">
        <v>59</v>
      </c>
      <c r="W825" t="s">
        <v>95</v>
      </c>
      <c r="X825" t="s">
        <v>520</v>
      </c>
      <c r="Y825" t="s">
        <v>96</v>
      </c>
      <c r="Z825" t="s">
        <v>3179</v>
      </c>
      <c r="AA825" t="s">
        <v>118</v>
      </c>
      <c r="AB825" t="s">
        <v>97</v>
      </c>
      <c r="AC825" t="s">
        <v>118</v>
      </c>
    </row>
    <row r="826" spans="1:29">
      <c r="A826" t="s">
        <v>1242</v>
      </c>
      <c r="B826" s="2">
        <v>46181</v>
      </c>
      <c r="C826" t="s">
        <v>30</v>
      </c>
      <c r="D826" t="s">
        <v>99</v>
      </c>
      <c r="E826" t="s">
        <v>120</v>
      </c>
      <c r="F826" t="s">
        <v>167</v>
      </c>
      <c r="G826" t="s">
        <v>420</v>
      </c>
      <c r="H826" t="s">
        <v>123</v>
      </c>
      <c r="I826" t="s">
        <v>225</v>
      </c>
      <c r="J826" t="s">
        <v>3030</v>
      </c>
      <c r="K826" t="s">
        <v>37</v>
      </c>
      <c r="L826" t="s">
        <v>150</v>
      </c>
      <c r="M826" t="s">
        <v>56</v>
      </c>
      <c r="N826" t="s">
        <v>130</v>
      </c>
      <c r="O826" s="4">
        <v>5</v>
      </c>
      <c r="P826" s="4">
        <v>12</v>
      </c>
      <c r="Q826" t="s">
        <v>69</v>
      </c>
      <c r="R826" s="2">
        <v>46175</v>
      </c>
      <c r="S826" s="4">
        <v>28</v>
      </c>
      <c r="T826" s="3">
        <v>169000000</v>
      </c>
      <c r="U826" t="s">
        <v>260</v>
      </c>
      <c r="V826" t="s">
        <v>59</v>
      </c>
      <c r="W826" t="s">
        <v>355</v>
      </c>
      <c r="X826" t="s">
        <v>422</v>
      </c>
      <c r="Y826" t="s">
        <v>132</v>
      </c>
      <c r="Z826" t="s">
        <v>3179</v>
      </c>
      <c r="AA826" t="s">
        <v>97</v>
      </c>
      <c r="AB826" t="s">
        <v>97</v>
      </c>
      <c r="AC826" t="s">
        <v>97</v>
      </c>
    </row>
    <row r="827" spans="1:29">
      <c r="A827" t="s">
        <v>1243</v>
      </c>
      <c r="B827" s="2">
        <v>46186</v>
      </c>
      <c r="C827" t="s">
        <v>30</v>
      </c>
      <c r="D827" t="s">
        <v>99</v>
      </c>
      <c r="E827" t="s">
        <v>100</v>
      </c>
      <c r="F827" t="s">
        <v>101</v>
      </c>
      <c r="G827" t="s">
        <v>313</v>
      </c>
      <c r="H827" t="s">
        <v>201</v>
      </c>
      <c r="I827" t="s">
        <v>202</v>
      </c>
      <c r="J827" t="s">
        <v>3026</v>
      </c>
      <c r="K827" t="s">
        <v>37</v>
      </c>
      <c r="L827" t="s">
        <v>55</v>
      </c>
      <c r="M827" t="s">
        <v>93</v>
      </c>
      <c r="N827" t="s">
        <v>82</v>
      </c>
      <c r="O827" s="4">
        <v>1</v>
      </c>
      <c r="P827" s="4">
        <v>11</v>
      </c>
      <c r="Q827" t="s">
        <v>138</v>
      </c>
      <c r="R827" s="2">
        <v>46185</v>
      </c>
      <c r="S827" s="4">
        <v>18</v>
      </c>
      <c r="T827" s="3">
        <v>209000000</v>
      </c>
      <c r="U827" t="s">
        <v>42</v>
      </c>
      <c r="V827" t="s">
        <v>59</v>
      </c>
      <c r="W827" t="s">
        <v>359</v>
      </c>
      <c r="Y827" t="s">
        <v>291</v>
      </c>
      <c r="Z827" t="s">
        <v>3178</v>
      </c>
      <c r="AA827" t="s">
        <v>109</v>
      </c>
      <c r="AB827" t="s">
        <v>87</v>
      </c>
      <c r="AC827" t="s">
        <v>109</v>
      </c>
    </row>
    <row r="828" spans="1:29">
      <c r="A828" t="s">
        <v>1244</v>
      </c>
      <c r="B828" s="2">
        <v>46180</v>
      </c>
      <c r="C828" t="s">
        <v>30</v>
      </c>
      <c r="D828" t="s">
        <v>134</v>
      </c>
      <c r="E828" t="s">
        <v>152</v>
      </c>
      <c r="F828" t="s">
        <v>153</v>
      </c>
      <c r="G828" t="s">
        <v>328</v>
      </c>
      <c r="H828" t="s">
        <v>155</v>
      </c>
      <c r="I828" t="s">
        <v>375</v>
      </c>
      <c r="J828" t="s">
        <v>3067</v>
      </c>
      <c r="K828" t="s">
        <v>37</v>
      </c>
      <c r="L828" t="s">
        <v>38</v>
      </c>
      <c r="M828" t="s">
        <v>129</v>
      </c>
      <c r="N828" t="s">
        <v>82</v>
      </c>
      <c r="O828" s="4">
        <v>1</v>
      </c>
      <c r="P828" s="4">
        <v>8</v>
      </c>
      <c r="Q828" t="s">
        <v>83</v>
      </c>
      <c r="R828" s="2">
        <v>46178</v>
      </c>
      <c r="S828" s="4">
        <v>25</v>
      </c>
      <c r="T828" s="3">
        <v>251000000</v>
      </c>
      <c r="U828" t="s">
        <v>42</v>
      </c>
      <c r="V828" t="s">
        <v>43</v>
      </c>
      <c r="W828" t="s">
        <v>290</v>
      </c>
      <c r="Y828" t="s">
        <v>330</v>
      </c>
      <c r="Z828" t="s">
        <v>3178</v>
      </c>
      <c r="AA828" t="s">
        <v>159</v>
      </c>
      <c r="AB828" t="s">
        <v>87</v>
      </c>
      <c r="AC828" t="s">
        <v>159</v>
      </c>
    </row>
    <row r="829" spans="1:29">
      <c r="A829" t="s">
        <v>1245</v>
      </c>
      <c r="B829" s="2">
        <v>46202</v>
      </c>
      <c r="C829" t="s">
        <v>30</v>
      </c>
      <c r="D829" t="s">
        <v>31</v>
      </c>
      <c r="E829" t="s">
        <v>152</v>
      </c>
      <c r="F829" t="s">
        <v>221</v>
      </c>
      <c r="G829" t="s">
        <v>328</v>
      </c>
      <c r="H829" t="s">
        <v>283</v>
      </c>
      <c r="I829" t="s">
        <v>287</v>
      </c>
      <c r="J829" t="s">
        <v>3042</v>
      </c>
      <c r="K829" t="s">
        <v>105</v>
      </c>
      <c r="L829" t="s">
        <v>187</v>
      </c>
      <c r="M829" t="s">
        <v>164</v>
      </c>
      <c r="N829" t="s">
        <v>40</v>
      </c>
      <c r="O829" s="4">
        <v>2</v>
      </c>
      <c r="P829" s="4">
        <v>9</v>
      </c>
      <c r="Q829" t="s">
        <v>69</v>
      </c>
      <c r="R829" s="2">
        <v>46196</v>
      </c>
      <c r="S829" s="4">
        <v>7</v>
      </c>
      <c r="T829" s="3">
        <v>315000000</v>
      </c>
      <c r="U829" t="s">
        <v>42</v>
      </c>
      <c r="V829" t="s">
        <v>59</v>
      </c>
      <c r="W829" t="s">
        <v>239</v>
      </c>
      <c r="Y829" t="s">
        <v>281</v>
      </c>
      <c r="Z829" t="s">
        <v>3178</v>
      </c>
      <c r="AA829" t="s">
        <v>159</v>
      </c>
      <c r="AB829" t="s">
        <v>87</v>
      </c>
      <c r="AC829" t="s">
        <v>159</v>
      </c>
    </row>
    <row r="830" spans="1:29">
      <c r="A830" t="s">
        <v>1246</v>
      </c>
      <c r="B830" s="2">
        <v>46184</v>
      </c>
      <c r="C830" t="s">
        <v>30</v>
      </c>
      <c r="D830" t="s">
        <v>99</v>
      </c>
      <c r="E830" t="s">
        <v>75</v>
      </c>
      <c r="F830" t="s">
        <v>161</v>
      </c>
      <c r="G830" t="s">
        <v>230</v>
      </c>
      <c r="H830" t="s">
        <v>78</v>
      </c>
      <c r="I830" t="s">
        <v>79</v>
      </c>
      <c r="J830" t="s">
        <v>3011</v>
      </c>
      <c r="K830" t="s">
        <v>105</v>
      </c>
      <c r="L830" t="s">
        <v>187</v>
      </c>
      <c r="M830" t="s">
        <v>129</v>
      </c>
      <c r="N830" t="s">
        <v>130</v>
      </c>
      <c r="O830" s="4">
        <v>5</v>
      </c>
      <c r="P830" s="4">
        <v>6</v>
      </c>
      <c r="Q830" t="s">
        <v>41</v>
      </c>
      <c r="R830" s="2">
        <v>46182</v>
      </c>
      <c r="S830" s="4">
        <v>21</v>
      </c>
      <c r="T830" s="3">
        <v>97000000</v>
      </c>
      <c r="U830" t="s">
        <v>42</v>
      </c>
      <c r="V830" t="s">
        <v>70</v>
      </c>
      <c r="W830" t="s">
        <v>355</v>
      </c>
      <c r="Y830" t="s">
        <v>334</v>
      </c>
      <c r="Z830" t="s">
        <v>3179</v>
      </c>
      <c r="AA830" t="s">
        <v>86</v>
      </c>
      <c r="AB830" t="s">
        <v>97</v>
      </c>
      <c r="AC830" t="s">
        <v>86</v>
      </c>
    </row>
    <row r="831" spans="1:29">
      <c r="A831" t="s">
        <v>1247</v>
      </c>
      <c r="B831" s="2">
        <v>46203</v>
      </c>
      <c r="C831" t="s">
        <v>30</v>
      </c>
      <c r="D831" t="s">
        <v>31</v>
      </c>
      <c r="E831" t="s">
        <v>100</v>
      </c>
      <c r="F831" t="s">
        <v>140</v>
      </c>
      <c r="G831" t="s">
        <v>102</v>
      </c>
      <c r="H831" t="s">
        <v>201</v>
      </c>
      <c r="I831" t="s">
        <v>453</v>
      </c>
      <c r="J831" t="s">
        <v>3090</v>
      </c>
      <c r="K831" t="s">
        <v>92</v>
      </c>
      <c r="L831" t="s">
        <v>68</v>
      </c>
      <c r="M831" t="s">
        <v>106</v>
      </c>
      <c r="N831" t="s">
        <v>130</v>
      </c>
      <c r="O831" s="4">
        <v>5</v>
      </c>
      <c r="P831" s="4">
        <v>12</v>
      </c>
      <c r="Q831" t="s">
        <v>138</v>
      </c>
      <c r="R831" s="2">
        <v>46193</v>
      </c>
      <c r="S831" s="4">
        <v>10</v>
      </c>
      <c r="T831" s="3">
        <v>123000000</v>
      </c>
      <c r="U831" t="s">
        <v>42</v>
      </c>
      <c r="V831" t="s">
        <v>59</v>
      </c>
      <c r="W831" t="s">
        <v>252</v>
      </c>
      <c r="Y831" t="s">
        <v>334</v>
      </c>
      <c r="Z831" t="s">
        <v>3179</v>
      </c>
      <c r="AA831" t="s">
        <v>109</v>
      </c>
      <c r="AB831" t="s">
        <v>97</v>
      </c>
      <c r="AC831" t="s">
        <v>109</v>
      </c>
    </row>
    <row r="832" spans="1:29">
      <c r="A832" t="s">
        <v>1248</v>
      </c>
      <c r="B832" s="2">
        <v>46199</v>
      </c>
      <c r="C832" t="s">
        <v>30</v>
      </c>
      <c r="D832" t="s">
        <v>49</v>
      </c>
      <c r="E832" t="s">
        <v>32</v>
      </c>
      <c r="F832" t="s">
        <v>273</v>
      </c>
      <c r="G832" t="s">
        <v>361</v>
      </c>
      <c r="H832" t="s">
        <v>35</v>
      </c>
      <c r="I832" t="s">
        <v>36</v>
      </c>
      <c r="J832" t="s">
        <v>3008</v>
      </c>
      <c r="K832" t="s">
        <v>92</v>
      </c>
      <c r="L832" t="s">
        <v>187</v>
      </c>
      <c r="M832" t="s">
        <v>81</v>
      </c>
      <c r="N832" t="s">
        <v>82</v>
      </c>
      <c r="O832" s="4">
        <v>1</v>
      </c>
      <c r="P832" s="4">
        <v>1</v>
      </c>
      <c r="Q832" t="s">
        <v>138</v>
      </c>
      <c r="R832" s="2">
        <v>46197</v>
      </c>
      <c r="S832" s="4">
        <v>6</v>
      </c>
      <c r="T832" s="3">
        <v>157000000</v>
      </c>
      <c r="U832" t="s">
        <v>260</v>
      </c>
      <c r="V832" t="s">
        <v>43</v>
      </c>
      <c r="W832" t="s">
        <v>290</v>
      </c>
      <c r="X832" t="s">
        <v>520</v>
      </c>
      <c r="Y832" t="s">
        <v>330</v>
      </c>
      <c r="Z832" t="s">
        <v>3176</v>
      </c>
      <c r="AA832" t="s">
        <v>46</v>
      </c>
      <c r="AB832" t="s">
        <v>47</v>
      </c>
      <c r="AC832" t="s">
        <v>46</v>
      </c>
    </row>
    <row r="833" spans="1:29">
      <c r="A833" t="s">
        <v>1249</v>
      </c>
      <c r="B833" s="2">
        <v>46175</v>
      </c>
      <c r="C833" t="s">
        <v>30</v>
      </c>
      <c r="D833" t="s">
        <v>134</v>
      </c>
      <c r="E833" t="s">
        <v>152</v>
      </c>
      <c r="F833" t="s">
        <v>153</v>
      </c>
      <c r="G833" t="s">
        <v>294</v>
      </c>
      <c r="H833" t="s">
        <v>207</v>
      </c>
      <c r="I833" t="s">
        <v>208</v>
      </c>
      <c r="J833" t="s">
        <v>3027</v>
      </c>
      <c r="K833" t="s">
        <v>56</v>
      </c>
      <c r="L833" t="s">
        <v>68</v>
      </c>
      <c r="M833" t="s">
        <v>81</v>
      </c>
      <c r="N833" t="s">
        <v>57</v>
      </c>
      <c r="O833" s="4">
        <v>3</v>
      </c>
      <c r="P833" s="4">
        <v>14</v>
      </c>
      <c r="Q833" t="s">
        <v>107</v>
      </c>
      <c r="R833" s="2">
        <v>46166</v>
      </c>
      <c r="S833" s="4">
        <v>37</v>
      </c>
      <c r="T833" s="3">
        <v>126000000</v>
      </c>
      <c r="U833" t="s">
        <v>42</v>
      </c>
      <c r="V833" t="s">
        <v>43</v>
      </c>
      <c r="W833" t="s">
        <v>60</v>
      </c>
      <c r="Y833" t="s">
        <v>72</v>
      </c>
      <c r="Z833" t="s">
        <v>3180</v>
      </c>
      <c r="AA833" t="s">
        <v>159</v>
      </c>
      <c r="AB833" t="s">
        <v>193</v>
      </c>
      <c r="AC833" t="s">
        <v>159</v>
      </c>
    </row>
    <row r="834" spans="1:29">
      <c r="A834" t="s">
        <v>1250</v>
      </c>
      <c r="B834" s="2">
        <v>46181</v>
      </c>
      <c r="C834" t="s">
        <v>30</v>
      </c>
      <c r="D834" t="s">
        <v>99</v>
      </c>
      <c r="E834" t="s">
        <v>50</v>
      </c>
      <c r="F834" t="s">
        <v>51</v>
      </c>
      <c r="G834" t="s">
        <v>234</v>
      </c>
      <c r="H834" t="s">
        <v>53</v>
      </c>
      <c r="I834" t="s">
        <v>373</v>
      </c>
      <c r="J834" t="s">
        <v>3066</v>
      </c>
      <c r="K834" t="s">
        <v>56</v>
      </c>
      <c r="L834" t="s">
        <v>187</v>
      </c>
      <c r="M834" t="s">
        <v>56</v>
      </c>
      <c r="N834" t="s">
        <v>130</v>
      </c>
      <c r="O834" s="4">
        <v>5</v>
      </c>
      <c r="P834" s="4">
        <v>10</v>
      </c>
      <c r="Q834" t="s">
        <v>83</v>
      </c>
      <c r="R834" s="2">
        <v>46171</v>
      </c>
      <c r="S834" s="4">
        <v>32</v>
      </c>
      <c r="T834" s="3">
        <v>492000000</v>
      </c>
      <c r="U834" t="s">
        <v>42</v>
      </c>
      <c r="V834" t="s">
        <v>70</v>
      </c>
      <c r="W834" t="s">
        <v>131</v>
      </c>
      <c r="Y834" t="s">
        <v>254</v>
      </c>
      <c r="Z834" t="s">
        <v>3179</v>
      </c>
      <c r="AA834" t="s">
        <v>62</v>
      </c>
      <c r="AB834" t="s">
        <v>97</v>
      </c>
      <c r="AC834" t="s">
        <v>62</v>
      </c>
    </row>
    <row r="835" spans="1:29">
      <c r="A835" t="s">
        <v>1251</v>
      </c>
      <c r="B835" s="2">
        <v>46189</v>
      </c>
      <c r="C835" t="s">
        <v>30</v>
      </c>
      <c r="D835" t="s">
        <v>74</v>
      </c>
      <c r="E835" t="s">
        <v>120</v>
      </c>
      <c r="F835" t="s">
        <v>246</v>
      </c>
      <c r="G835" t="s">
        <v>227</v>
      </c>
      <c r="H835" t="s">
        <v>136</v>
      </c>
      <c r="I835" t="s">
        <v>168</v>
      </c>
      <c r="J835" t="s">
        <v>3022</v>
      </c>
      <c r="K835" t="s">
        <v>92</v>
      </c>
      <c r="L835" t="s">
        <v>38</v>
      </c>
      <c r="M835" t="s">
        <v>164</v>
      </c>
      <c r="N835" t="s">
        <v>130</v>
      </c>
      <c r="O835" s="4">
        <v>5</v>
      </c>
      <c r="P835" s="4">
        <v>10</v>
      </c>
      <c r="Q835" t="s">
        <v>138</v>
      </c>
      <c r="R835" s="2">
        <v>46183</v>
      </c>
      <c r="S835" s="4">
        <v>20</v>
      </c>
      <c r="T835" s="3">
        <v>210000000</v>
      </c>
      <c r="U835" t="s">
        <v>42</v>
      </c>
      <c r="V835" t="s">
        <v>59</v>
      </c>
      <c r="W835" t="s">
        <v>355</v>
      </c>
      <c r="Y835" t="s">
        <v>254</v>
      </c>
      <c r="Z835" t="s">
        <v>3179</v>
      </c>
      <c r="AA835" t="s">
        <v>97</v>
      </c>
      <c r="AB835" t="s">
        <v>97</v>
      </c>
      <c r="AC835" t="s">
        <v>97</v>
      </c>
    </row>
    <row r="836" spans="1:29">
      <c r="A836" t="s">
        <v>1252</v>
      </c>
      <c r="B836" s="2">
        <v>46176</v>
      </c>
      <c r="C836" t="s">
        <v>30</v>
      </c>
      <c r="D836" t="s">
        <v>134</v>
      </c>
      <c r="E836" t="s">
        <v>152</v>
      </c>
      <c r="F836" t="s">
        <v>153</v>
      </c>
      <c r="G836" t="s">
        <v>294</v>
      </c>
      <c r="H836" t="s">
        <v>283</v>
      </c>
      <c r="I836" t="s">
        <v>663</v>
      </c>
      <c r="J836" t="s">
        <v>3145</v>
      </c>
      <c r="K836" t="s">
        <v>56</v>
      </c>
      <c r="L836" t="s">
        <v>80</v>
      </c>
      <c r="M836" t="s">
        <v>81</v>
      </c>
      <c r="N836" t="s">
        <v>57</v>
      </c>
      <c r="O836" s="4">
        <v>3</v>
      </c>
      <c r="P836" s="4">
        <v>9</v>
      </c>
      <c r="Q836" t="s">
        <v>83</v>
      </c>
      <c r="R836" s="2">
        <v>46170</v>
      </c>
      <c r="S836" s="4">
        <v>33</v>
      </c>
      <c r="T836" s="3">
        <v>280000000</v>
      </c>
      <c r="U836" t="s">
        <v>42</v>
      </c>
      <c r="V836" t="s">
        <v>43</v>
      </c>
      <c r="W836" t="s">
        <v>157</v>
      </c>
      <c r="Y836" t="s">
        <v>61</v>
      </c>
      <c r="Z836" t="s">
        <v>3177</v>
      </c>
      <c r="AA836" t="s">
        <v>159</v>
      </c>
      <c r="AB836" t="s">
        <v>63</v>
      </c>
      <c r="AC836" t="s">
        <v>159</v>
      </c>
    </row>
    <row r="837" spans="1:29">
      <c r="A837" t="s">
        <v>1253</v>
      </c>
      <c r="B837" s="2">
        <v>46176</v>
      </c>
      <c r="C837" t="s">
        <v>30</v>
      </c>
      <c r="D837" t="s">
        <v>134</v>
      </c>
      <c r="E837" t="s">
        <v>152</v>
      </c>
      <c r="F837" t="s">
        <v>153</v>
      </c>
      <c r="G837" t="s">
        <v>294</v>
      </c>
      <c r="H837" t="s">
        <v>283</v>
      </c>
      <c r="I837" t="s">
        <v>663</v>
      </c>
      <c r="J837" t="s">
        <v>3145</v>
      </c>
      <c r="K837" t="s">
        <v>56</v>
      </c>
      <c r="L837" t="s">
        <v>80</v>
      </c>
      <c r="M837" t="s">
        <v>106</v>
      </c>
      <c r="N837" t="s">
        <v>40</v>
      </c>
      <c r="O837" s="4">
        <v>2</v>
      </c>
      <c r="P837" s="4">
        <v>16</v>
      </c>
      <c r="Q837" t="s">
        <v>142</v>
      </c>
      <c r="R837" s="2">
        <v>46175</v>
      </c>
      <c r="S837" s="4">
        <v>28</v>
      </c>
      <c r="T837" s="3">
        <v>279000000</v>
      </c>
      <c r="U837" t="s">
        <v>42</v>
      </c>
      <c r="V837" t="s">
        <v>43</v>
      </c>
      <c r="W837" t="s">
        <v>44</v>
      </c>
      <c r="Y837" t="s">
        <v>45</v>
      </c>
      <c r="Z837" t="s">
        <v>3180</v>
      </c>
      <c r="AA837" t="s">
        <v>159</v>
      </c>
      <c r="AB837" t="s">
        <v>193</v>
      </c>
      <c r="AC837" t="s">
        <v>159</v>
      </c>
    </row>
    <row r="838" spans="1:29">
      <c r="A838" t="s">
        <v>1254</v>
      </c>
      <c r="B838" s="2">
        <v>46201</v>
      </c>
      <c r="C838" t="s">
        <v>30</v>
      </c>
      <c r="D838" t="s">
        <v>49</v>
      </c>
      <c r="E838" t="s">
        <v>172</v>
      </c>
      <c r="F838" t="s">
        <v>277</v>
      </c>
      <c r="G838" t="s">
        <v>174</v>
      </c>
      <c r="H838" t="s">
        <v>317</v>
      </c>
      <c r="I838" t="s">
        <v>478</v>
      </c>
      <c r="J838" t="s">
        <v>3099</v>
      </c>
      <c r="K838" t="s">
        <v>116</v>
      </c>
      <c r="L838" t="s">
        <v>38</v>
      </c>
      <c r="M838" t="s">
        <v>93</v>
      </c>
      <c r="N838" t="s">
        <v>40</v>
      </c>
      <c r="O838" s="4">
        <v>2</v>
      </c>
      <c r="P838" s="4">
        <v>7</v>
      </c>
      <c r="Q838" t="s">
        <v>142</v>
      </c>
      <c r="R838" s="2">
        <v>46196</v>
      </c>
      <c r="S838" s="4">
        <v>7</v>
      </c>
      <c r="T838" s="3">
        <v>123000000</v>
      </c>
      <c r="U838" t="s">
        <v>42</v>
      </c>
      <c r="V838" t="s">
        <v>43</v>
      </c>
      <c r="W838" t="s">
        <v>239</v>
      </c>
      <c r="Y838" t="s">
        <v>309</v>
      </c>
      <c r="Z838" t="s">
        <v>3178</v>
      </c>
      <c r="AA838" t="s">
        <v>181</v>
      </c>
      <c r="AB838" t="s">
        <v>87</v>
      </c>
      <c r="AC838" t="s">
        <v>181</v>
      </c>
    </row>
    <row r="839" spans="1:29">
      <c r="A839" t="s">
        <v>1255</v>
      </c>
      <c r="B839" s="2">
        <v>46181</v>
      </c>
      <c r="C839" t="s">
        <v>30</v>
      </c>
      <c r="D839" t="s">
        <v>99</v>
      </c>
      <c r="E839" t="s">
        <v>120</v>
      </c>
      <c r="F839" t="s">
        <v>246</v>
      </c>
      <c r="G839" t="s">
        <v>135</v>
      </c>
      <c r="H839" t="s">
        <v>123</v>
      </c>
      <c r="I839" t="s">
        <v>124</v>
      </c>
      <c r="J839" t="s">
        <v>3015</v>
      </c>
      <c r="K839" t="s">
        <v>105</v>
      </c>
      <c r="L839" t="s">
        <v>187</v>
      </c>
      <c r="M839" t="s">
        <v>164</v>
      </c>
      <c r="N839" t="s">
        <v>94</v>
      </c>
      <c r="O839" s="4">
        <v>4</v>
      </c>
      <c r="P839" s="4">
        <v>8</v>
      </c>
      <c r="Q839" t="s">
        <v>138</v>
      </c>
      <c r="R839" s="2">
        <v>46172</v>
      </c>
      <c r="S839" s="4">
        <v>31</v>
      </c>
      <c r="T839" s="3">
        <v>203000000</v>
      </c>
      <c r="U839" t="s">
        <v>42</v>
      </c>
      <c r="V839" t="s">
        <v>70</v>
      </c>
      <c r="W839" t="s">
        <v>170</v>
      </c>
      <c r="Y839" t="s">
        <v>228</v>
      </c>
      <c r="Z839" t="s">
        <v>3179</v>
      </c>
      <c r="AA839" t="s">
        <v>97</v>
      </c>
      <c r="AB839" t="s">
        <v>97</v>
      </c>
      <c r="AC839" t="s">
        <v>97</v>
      </c>
    </row>
    <row r="840" spans="1:29">
      <c r="A840" t="s">
        <v>1256</v>
      </c>
      <c r="B840" s="2">
        <v>46191</v>
      </c>
      <c r="C840" t="s">
        <v>30</v>
      </c>
      <c r="D840" t="s">
        <v>74</v>
      </c>
      <c r="E840" t="s">
        <v>172</v>
      </c>
      <c r="F840" t="s">
        <v>195</v>
      </c>
      <c r="G840" t="s">
        <v>476</v>
      </c>
      <c r="H840" t="s">
        <v>175</v>
      </c>
      <c r="I840" t="s">
        <v>176</v>
      </c>
      <c r="J840" t="s">
        <v>3023</v>
      </c>
      <c r="K840" t="s">
        <v>105</v>
      </c>
      <c r="L840" t="s">
        <v>80</v>
      </c>
      <c r="M840" t="s">
        <v>56</v>
      </c>
      <c r="N840" t="s">
        <v>196</v>
      </c>
      <c r="O840" s="4">
        <v>7</v>
      </c>
      <c r="P840" s="4">
        <v>11</v>
      </c>
      <c r="Q840" t="s">
        <v>83</v>
      </c>
      <c r="R840" s="2">
        <v>46181</v>
      </c>
      <c r="S840" s="4">
        <v>22</v>
      </c>
      <c r="T840" s="3">
        <v>155000000</v>
      </c>
      <c r="U840" t="s">
        <v>196</v>
      </c>
      <c r="V840" t="s">
        <v>70</v>
      </c>
      <c r="W840" t="s">
        <v>675</v>
      </c>
      <c r="Y840" t="s">
        <v>244</v>
      </c>
      <c r="Z840" t="s">
        <v>3181</v>
      </c>
      <c r="AA840" t="s">
        <v>181</v>
      </c>
      <c r="AB840" t="s">
        <v>199</v>
      </c>
      <c r="AC840" t="s">
        <v>181</v>
      </c>
    </row>
    <row r="841" spans="1:29">
      <c r="A841" t="s">
        <v>1257</v>
      </c>
      <c r="B841" s="2">
        <v>46190</v>
      </c>
      <c r="C841" t="s">
        <v>30</v>
      </c>
      <c r="D841" t="s">
        <v>74</v>
      </c>
      <c r="E841" t="s">
        <v>120</v>
      </c>
      <c r="F841" t="s">
        <v>246</v>
      </c>
      <c r="G841" t="s">
        <v>135</v>
      </c>
      <c r="H841" t="s">
        <v>123</v>
      </c>
      <c r="I841" t="s">
        <v>225</v>
      </c>
      <c r="J841" t="s">
        <v>3030</v>
      </c>
      <c r="K841" t="s">
        <v>92</v>
      </c>
      <c r="L841" t="s">
        <v>187</v>
      </c>
      <c r="M841" t="s">
        <v>39</v>
      </c>
      <c r="N841" t="s">
        <v>57</v>
      </c>
      <c r="O841" s="4">
        <v>3</v>
      </c>
      <c r="P841" s="4">
        <v>7</v>
      </c>
      <c r="Q841" t="s">
        <v>69</v>
      </c>
      <c r="R841" s="2">
        <v>46185</v>
      </c>
      <c r="S841" s="4">
        <v>18</v>
      </c>
      <c r="T841" s="3">
        <v>158000000</v>
      </c>
      <c r="U841" t="s">
        <v>42</v>
      </c>
      <c r="V841" t="s">
        <v>59</v>
      </c>
      <c r="W841" t="s">
        <v>71</v>
      </c>
      <c r="Y841" t="s">
        <v>61</v>
      </c>
      <c r="Z841" t="s">
        <v>3177</v>
      </c>
      <c r="AA841" t="s">
        <v>97</v>
      </c>
      <c r="AB841" t="s">
        <v>63</v>
      </c>
      <c r="AC841" t="s">
        <v>97</v>
      </c>
    </row>
    <row r="842" spans="1:29">
      <c r="A842" t="s">
        <v>1258</v>
      </c>
      <c r="B842" s="2">
        <v>46197</v>
      </c>
      <c r="C842" t="s">
        <v>30</v>
      </c>
      <c r="D842" t="s">
        <v>49</v>
      </c>
      <c r="E842" t="s">
        <v>172</v>
      </c>
      <c r="F842" t="s">
        <v>195</v>
      </c>
      <c r="G842" t="s">
        <v>278</v>
      </c>
      <c r="H842" t="s">
        <v>175</v>
      </c>
      <c r="I842" t="s">
        <v>516</v>
      </c>
      <c r="J842" t="s">
        <v>3108</v>
      </c>
      <c r="K842" t="s">
        <v>37</v>
      </c>
      <c r="L842" t="s">
        <v>169</v>
      </c>
      <c r="M842" t="s">
        <v>164</v>
      </c>
      <c r="N842" t="s">
        <v>130</v>
      </c>
      <c r="O842" s="4">
        <v>5</v>
      </c>
      <c r="P842" s="4">
        <v>6</v>
      </c>
      <c r="Q842" t="s">
        <v>41</v>
      </c>
      <c r="R842" s="2">
        <v>46192</v>
      </c>
      <c r="S842" s="4">
        <v>11</v>
      </c>
      <c r="T842" s="3">
        <v>100000000</v>
      </c>
      <c r="U842" t="s">
        <v>42</v>
      </c>
      <c r="V842" t="s">
        <v>143</v>
      </c>
      <c r="W842" t="s">
        <v>131</v>
      </c>
      <c r="Y842" t="s">
        <v>334</v>
      </c>
      <c r="Z842" t="s">
        <v>3179</v>
      </c>
      <c r="AA842" t="s">
        <v>181</v>
      </c>
      <c r="AB842" t="s">
        <v>97</v>
      </c>
      <c r="AC842" t="s">
        <v>181</v>
      </c>
    </row>
    <row r="843" spans="1:29">
      <c r="A843" t="s">
        <v>1259</v>
      </c>
      <c r="B843" s="2">
        <v>46185</v>
      </c>
      <c r="C843" t="s">
        <v>30</v>
      </c>
      <c r="D843" t="s">
        <v>99</v>
      </c>
      <c r="E843" t="s">
        <v>111</v>
      </c>
      <c r="F843" t="s">
        <v>112</v>
      </c>
      <c r="G843" t="s">
        <v>265</v>
      </c>
      <c r="H843" t="s">
        <v>114</v>
      </c>
      <c r="I843" t="s">
        <v>383</v>
      </c>
      <c r="J843" t="s">
        <v>3070</v>
      </c>
      <c r="K843" t="s">
        <v>37</v>
      </c>
      <c r="L843" t="s">
        <v>80</v>
      </c>
      <c r="M843" t="s">
        <v>106</v>
      </c>
      <c r="N843" t="s">
        <v>196</v>
      </c>
      <c r="O843" s="4">
        <v>7</v>
      </c>
      <c r="P843" s="4">
        <v>12</v>
      </c>
      <c r="Q843" t="s">
        <v>41</v>
      </c>
      <c r="R843" s="2">
        <v>46177</v>
      </c>
      <c r="S843" s="4">
        <v>26</v>
      </c>
      <c r="T843" s="3">
        <v>284000000</v>
      </c>
      <c r="U843" t="s">
        <v>196</v>
      </c>
      <c r="V843" t="s">
        <v>70</v>
      </c>
      <c r="W843" t="s">
        <v>197</v>
      </c>
      <c r="Y843" t="s">
        <v>369</v>
      </c>
      <c r="Z843" t="s">
        <v>3181</v>
      </c>
      <c r="AA843" t="s">
        <v>118</v>
      </c>
      <c r="AB843" t="s">
        <v>199</v>
      </c>
      <c r="AC843" t="s">
        <v>118</v>
      </c>
    </row>
    <row r="844" spans="1:29">
      <c r="A844" t="s">
        <v>1260</v>
      </c>
      <c r="B844" s="2">
        <v>46203</v>
      </c>
      <c r="C844" t="s">
        <v>30</v>
      </c>
      <c r="D844" t="s">
        <v>31</v>
      </c>
      <c r="E844" t="s">
        <v>50</v>
      </c>
      <c r="F844" t="s">
        <v>351</v>
      </c>
      <c r="G844" t="s">
        <v>52</v>
      </c>
      <c r="H844" t="s">
        <v>90</v>
      </c>
      <c r="I844" t="s">
        <v>842</v>
      </c>
      <c r="J844" t="s">
        <v>3161</v>
      </c>
      <c r="K844" t="s">
        <v>56</v>
      </c>
      <c r="L844" t="s">
        <v>55</v>
      </c>
      <c r="M844" t="s">
        <v>93</v>
      </c>
      <c r="N844" t="s">
        <v>40</v>
      </c>
      <c r="O844" s="4">
        <v>2</v>
      </c>
      <c r="P844" s="4">
        <v>11</v>
      </c>
      <c r="Q844" t="s">
        <v>69</v>
      </c>
      <c r="R844" s="2">
        <v>46193</v>
      </c>
      <c r="S844" s="4">
        <v>10</v>
      </c>
      <c r="T844" s="3">
        <v>189000000</v>
      </c>
      <c r="U844" t="s">
        <v>42</v>
      </c>
      <c r="V844" t="s">
        <v>43</v>
      </c>
      <c r="W844" t="s">
        <v>298</v>
      </c>
      <c r="Y844" t="s">
        <v>180</v>
      </c>
      <c r="Z844" t="s">
        <v>3178</v>
      </c>
      <c r="AA844" t="s">
        <v>62</v>
      </c>
      <c r="AB844" t="s">
        <v>87</v>
      </c>
      <c r="AC844" t="s">
        <v>62</v>
      </c>
    </row>
    <row r="845" spans="1:29">
      <c r="A845" t="s">
        <v>1261</v>
      </c>
      <c r="B845" s="2">
        <v>46192</v>
      </c>
      <c r="C845" t="s">
        <v>30</v>
      </c>
      <c r="D845" t="s">
        <v>74</v>
      </c>
      <c r="E845" t="s">
        <v>120</v>
      </c>
      <c r="F845" t="s">
        <v>121</v>
      </c>
      <c r="G845" t="s">
        <v>227</v>
      </c>
      <c r="H845" t="s">
        <v>300</v>
      </c>
      <c r="I845" t="s">
        <v>830</v>
      </c>
      <c r="J845" t="s">
        <v>3159</v>
      </c>
      <c r="K845" t="s">
        <v>92</v>
      </c>
      <c r="L845" t="s">
        <v>80</v>
      </c>
      <c r="M845" t="s">
        <v>129</v>
      </c>
      <c r="N845" t="s">
        <v>130</v>
      </c>
      <c r="O845" s="4">
        <v>5</v>
      </c>
      <c r="P845" s="4">
        <v>12</v>
      </c>
      <c r="Q845" t="s">
        <v>142</v>
      </c>
      <c r="R845" s="2">
        <v>46188</v>
      </c>
      <c r="S845" s="4">
        <v>15</v>
      </c>
      <c r="T845" s="3">
        <v>59000000</v>
      </c>
      <c r="U845" t="s">
        <v>42</v>
      </c>
      <c r="V845" t="s">
        <v>143</v>
      </c>
      <c r="W845" t="s">
        <v>131</v>
      </c>
      <c r="Y845" t="s">
        <v>132</v>
      </c>
      <c r="Z845" t="s">
        <v>3179</v>
      </c>
      <c r="AA845" t="s">
        <v>97</v>
      </c>
      <c r="AB845" t="s">
        <v>97</v>
      </c>
      <c r="AC845" t="s">
        <v>97</v>
      </c>
    </row>
    <row r="846" spans="1:29">
      <c r="A846" t="s">
        <v>1262</v>
      </c>
      <c r="B846" s="2">
        <v>46193</v>
      </c>
      <c r="C846" t="s">
        <v>30</v>
      </c>
      <c r="D846" t="s">
        <v>74</v>
      </c>
      <c r="E846" t="s">
        <v>120</v>
      </c>
      <c r="F846" t="s">
        <v>167</v>
      </c>
      <c r="G846" t="s">
        <v>122</v>
      </c>
      <c r="H846" t="s">
        <v>136</v>
      </c>
      <c r="I846" t="s">
        <v>168</v>
      </c>
      <c r="J846" t="s">
        <v>3022</v>
      </c>
      <c r="K846" t="s">
        <v>92</v>
      </c>
      <c r="L846" t="s">
        <v>80</v>
      </c>
      <c r="M846" t="s">
        <v>56</v>
      </c>
      <c r="N846" t="s">
        <v>40</v>
      </c>
      <c r="O846" s="4">
        <v>2</v>
      </c>
      <c r="P846" s="4">
        <v>10</v>
      </c>
      <c r="Q846" t="s">
        <v>41</v>
      </c>
      <c r="R846" s="2">
        <v>46189</v>
      </c>
      <c r="S846" s="4">
        <v>14</v>
      </c>
      <c r="T846" s="3">
        <v>91000000</v>
      </c>
      <c r="U846" t="s">
        <v>42</v>
      </c>
      <c r="V846" t="s">
        <v>59</v>
      </c>
      <c r="W846" t="s">
        <v>44</v>
      </c>
      <c r="Y846" t="s">
        <v>309</v>
      </c>
      <c r="Z846" t="s">
        <v>3178</v>
      </c>
      <c r="AA846" t="s">
        <v>97</v>
      </c>
      <c r="AB846" t="s">
        <v>87</v>
      </c>
      <c r="AC846" t="s">
        <v>97</v>
      </c>
    </row>
    <row r="847" spans="1:29">
      <c r="A847" t="s">
        <v>1263</v>
      </c>
      <c r="B847" s="2">
        <v>46181</v>
      </c>
      <c r="C847" t="s">
        <v>30</v>
      </c>
      <c r="D847" t="s">
        <v>99</v>
      </c>
      <c r="E847" t="s">
        <v>32</v>
      </c>
      <c r="F847" t="s">
        <v>256</v>
      </c>
      <c r="G847" t="s">
        <v>361</v>
      </c>
      <c r="H847" t="s">
        <v>35</v>
      </c>
      <c r="I847" t="s">
        <v>604</v>
      </c>
      <c r="J847" t="s">
        <v>3130</v>
      </c>
      <c r="K847" t="s">
        <v>37</v>
      </c>
      <c r="L847" t="s">
        <v>169</v>
      </c>
      <c r="M847" t="s">
        <v>93</v>
      </c>
      <c r="N847" t="s">
        <v>94</v>
      </c>
      <c r="O847" s="4">
        <v>4</v>
      </c>
      <c r="P847" s="4">
        <v>4</v>
      </c>
      <c r="Q847" t="s">
        <v>138</v>
      </c>
      <c r="R847" s="2">
        <v>46178</v>
      </c>
      <c r="S847" s="4">
        <v>25</v>
      </c>
      <c r="T847" s="3">
        <v>192000000</v>
      </c>
      <c r="U847" t="s">
        <v>42</v>
      </c>
      <c r="V847" t="s">
        <v>59</v>
      </c>
      <c r="W847" t="s">
        <v>95</v>
      </c>
      <c r="Y847" t="s">
        <v>108</v>
      </c>
      <c r="Z847" t="s">
        <v>3179</v>
      </c>
      <c r="AA847" t="s">
        <v>46</v>
      </c>
      <c r="AB847" t="s">
        <v>97</v>
      </c>
      <c r="AC847" t="s">
        <v>46</v>
      </c>
    </row>
    <row r="848" spans="1:29">
      <c r="A848" t="s">
        <v>1264</v>
      </c>
      <c r="B848" s="2">
        <v>46175</v>
      </c>
      <c r="C848" t="s">
        <v>30</v>
      </c>
      <c r="D848" t="s">
        <v>134</v>
      </c>
      <c r="E848" t="s">
        <v>100</v>
      </c>
      <c r="F848" t="s">
        <v>101</v>
      </c>
      <c r="G848" t="s">
        <v>237</v>
      </c>
      <c r="H848" t="s">
        <v>201</v>
      </c>
      <c r="I848" t="s">
        <v>608</v>
      </c>
      <c r="J848" t="s">
        <v>3132</v>
      </c>
      <c r="K848" t="s">
        <v>56</v>
      </c>
      <c r="L848" t="s">
        <v>169</v>
      </c>
      <c r="M848" t="s">
        <v>164</v>
      </c>
      <c r="N848" t="s">
        <v>57</v>
      </c>
      <c r="O848" s="4">
        <v>3</v>
      </c>
      <c r="P848" s="4">
        <v>8</v>
      </c>
      <c r="Q848" t="s">
        <v>83</v>
      </c>
      <c r="R848" s="2">
        <v>46174</v>
      </c>
      <c r="S848" s="4">
        <v>29</v>
      </c>
      <c r="T848" s="3">
        <v>412000000</v>
      </c>
      <c r="U848" t="s">
        <v>42</v>
      </c>
      <c r="V848" t="s">
        <v>43</v>
      </c>
      <c r="W848" t="s">
        <v>157</v>
      </c>
      <c r="Y848" t="s">
        <v>72</v>
      </c>
      <c r="Z848" t="s">
        <v>3177</v>
      </c>
      <c r="AA848" t="s">
        <v>109</v>
      </c>
      <c r="AB848" t="s">
        <v>63</v>
      </c>
      <c r="AC848" t="s">
        <v>109</v>
      </c>
    </row>
    <row r="849" spans="1:29">
      <c r="A849" t="s">
        <v>1265</v>
      </c>
      <c r="B849" s="2">
        <v>46179</v>
      </c>
      <c r="C849" t="s">
        <v>30</v>
      </c>
      <c r="D849" t="s">
        <v>134</v>
      </c>
      <c r="E849" t="s">
        <v>120</v>
      </c>
      <c r="F849" t="s">
        <v>121</v>
      </c>
      <c r="G849" t="s">
        <v>122</v>
      </c>
      <c r="H849" t="s">
        <v>300</v>
      </c>
      <c r="I849" t="s">
        <v>830</v>
      </c>
      <c r="J849" t="s">
        <v>3159</v>
      </c>
      <c r="K849" t="s">
        <v>105</v>
      </c>
      <c r="L849" t="s">
        <v>38</v>
      </c>
      <c r="M849" t="s">
        <v>164</v>
      </c>
      <c r="N849" t="s">
        <v>82</v>
      </c>
      <c r="O849" s="4">
        <v>1</v>
      </c>
      <c r="P849" s="4">
        <v>6</v>
      </c>
      <c r="Q849" t="s">
        <v>58</v>
      </c>
      <c r="R849" s="2">
        <v>46169</v>
      </c>
      <c r="S849" s="4">
        <v>34</v>
      </c>
      <c r="T849" s="3">
        <v>250000000</v>
      </c>
      <c r="U849" t="s">
        <v>42</v>
      </c>
      <c r="V849" t="s">
        <v>43</v>
      </c>
      <c r="W849" t="s">
        <v>84</v>
      </c>
      <c r="Y849" t="s">
        <v>85</v>
      </c>
      <c r="Z849" t="s">
        <v>3178</v>
      </c>
      <c r="AA849" t="s">
        <v>97</v>
      </c>
      <c r="AB849" t="s">
        <v>87</v>
      </c>
      <c r="AC849" t="s">
        <v>97</v>
      </c>
    </row>
    <row r="850" spans="1:29">
      <c r="A850" t="s">
        <v>1266</v>
      </c>
      <c r="B850" s="2">
        <v>46201</v>
      </c>
      <c r="C850" t="s">
        <v>30</v>
      </c>
      <c r="D850" t="s">
        <v>49</v>
      </c>
      <c r="E850" t="s">
        <v>32</v>
      </c>
      <c r="F850" t="s">
        <v>256</v>
      </c>
      <c r="G850" t="s">
        <v>34</v>
      </c>
      <c r="H850" t="s">
        <v>258</v>
      </c>
      <c r="I850" t="s">
        <v>568</v>
      </c>
      <c r="J850" t="s">
        <v>3121</v>
      </c>
      <c r="K850" t="s">
        <v>105</v>
      </c>
      <c r="L850" t="s">
        <v>80</v>
      </c>
      <c r="M850" t="s">
        <v>106</v>
      </c>
      <c r="N850" t="s">
        <v>94</v>
      </c>
      <c r="O850" s="4">
        <v>4</v>
      </c>
      <c r="P850" s="4">
        <v>4</v>
      </c>
      <c r="Q850" t="s">
        <v>138</v>
      </c>
      <c r="R850" s="2">
        <v>46199</v>
      </c>
      <c r="S850" s="4">
        <v>4</v>
      </c>
      <c r="T850" s="3">
        <v>261000000</v>
      </c>
      <c r="U850" t="s">
        <v>42</v>
      </c>
      <c r="V850" t="s">
        <v>70</v>
      </c>
      <c r="W850" t="s">
        <v>267</v>
      </c>
      <c r="Y850" t="s">
        <v>268</v>
      </c>
      <c r="Z850" t="s">
        <v>3179</v>
      </c>
      <c r="AA850" t="s">
        <v>46</v>
      </c>
      <c r="AB850" t="s">
        <v>97</v>
      </c>
      <c r="AC850" t="s">
        <v>46</v>
      </c>
    </row>
    <row r="851" spans="1:29">
      <c r="A851" t="s">
        <v>1267</v>
      </c>
      <c r="B851" s="2">
        <v>46190</v>
      </c>
      <c r="C851" t="s">
        <v>30</v>
      </c>
      <c r="D851" t="s">
        <v>74</v>
      </c>
      <c r="E851" t="s">
        <v>100</v>
      </c>
      <c r="F851" t="s">
        <v>140</v>
      </c>
      <c r="G851" t="s">
        <v>212</v>
      </c>
      <c r="H851" t="s">
        <v>103</v>
      </c>
      <c r="I851" t="s">
        <v>447</v>
      </c>
      <c r="J851" t="s">
        <v>3088</v>
      </c>
      <c r="K851" t="s">
        <v>37</v>
      </c>
      <c r="L851" t="s">
        <v>38</v>
      </c>
      <c r="M851" t="s">
        <v>81</v>
      </c>
      <c r="N851" t="s">
        <v>94</v>
      </c>
      <c r="O851" s="4">
        <v>4</v>
      </c>
      <c r="P851" s="4">
        <v>14</v>
      </c>
      <c r="Q851" t="s">
        <v>83</v>
      </c>
      <c r="R851" s="2">
        <v>46188</v>
      </c>
      <c r="S851" s="4">
        <v>15</v>
      </c>
      <c r="T851" s="3">
        <v>119000000</v>
      </c>
      <c r="U851" t="s">
        <v>42</v>
      </c>
      <c r="V851" t="s">
        <v>59</v>
      </c>
      <c r="W851" t="s">
        <v>95</v>
      </c>
      <c r="X851" t="s">
        <v>253</v>
      </c>
      <c r="Y851" t="s">
        <v>228</v>
      </c>
      <c r="Z851" t="s">
        <v>3179</v>
      </c>
      <c r="AA851" t="s">
        <v>109</v>
      </c>
      <c r="AB851" t="s">
        <v>97</v>
      </c>
      <c r="AC851" t="s">
        <v>109</v>
      </c>
    </row>
    <row r="852" spans="1:29">
      <c r="A852" t="s">
        <v>1268</v>
      </c>
      <c r="B852" s="2">
        <v>46200</v>
      </c>
      <c r="C852" t="s">
        <v>30</v>
      </c>
      <c r="D852" t="s">
        <v>49</v>
      </c>
      <c r="E852" t="s">
        <v>50</v>
      </c>
      <c r="F852" t="s">
        <v>89</v>
      </c>
      <c r="G852" t="s">
        <v>65</v>
      </c>
      <c r="H852" t="s">
        <v>53</v>
      </c>
      <c r="I852" t="s">
        <v>373</v>
      </c>
      <c r="J852" t="s">
        <v>3066</v>
      </c>
      <c r="K852" t="s">
        <v>37</v>
      </c>
      <c r="L852" t="s">
        <v>80</v>
      </c>
      <c r="M852" t="s">
        <v>56</v>
      </c>
      <c r="N852" t="s">
        <v>94</v>
      </c>
      <c r="O852" s="4">
        <v>4</v>
      </c>
      <c r="P852" s="4">
        <v>10</v>
      </c>
      <c r="Q852" t="s">
        <v>107</v>
      </c>
      <c r="R852" s="2">
        <v>46193</v>
      </c>
      <c r="S852" s="4">
        <v>10</v>
      </c>
      <c r="T852" s="3">
        <v>246000000</v>
      </c>
      <c r="U852" t="s">
        <v>426</v>
      </c>
      <c r="V852" t="s">
        <v>59</v>
      </c>
      <c r="W852" t="s">
        <v>188</v>
      </c>
      <c r="X852" t="s">
        <v>261</v>
      </c>
      <c r="Y852" t="s">
        <v>228</v>
      </c>
      <c r="Z852" t="s">
        <v>3179</v>
      </c>
      <c r="AA852" t="s">
        <v>62</v>
      </c>
      <c r="AB852" t="s">
        <v>97</v>
      </c>
      <c r="AC852" t="s">
        <v>62</v>
      </c>
    </row>
    <row r="853" spans="1:29">
      <c r="A853" t="s">
        <v>1269</v>
      </c>
      <c r="B853" s="2">
        <v>46179</v>
      </c>
      <c r="C853" t="s">
        <v>30</v>
      </c>
      <c r="D853" t="s">
        <v>134</v>
      </c>
      <c r="E853" t="s">
        <v>172</v>
      </c>
      <c r="F853" t="s">
        <v>195</v>
      </c>
      <c r="G853" t="s">
        <v>289</v>
      </c>
      <c r="H853" t="s">
        <v>317</v>
      </c>
      <c r="I853" t="s">
        <v>407</v>
      </c>
      <c r="J853" t="s">
        <v>3075</v>
      </c>
      <c r="K853" t="s">
        <v>105</v>
      </c>
      <c r="L853" t="s">
        <v>55</v>
      </c>
      <c r="M853" t="s">
        <v>39</v>
      </c>
      <c r="N853" t="s">
        <v>40</v>
      </c>
      <c r="O853" s="4">
        <v>2</v>
      </c>
      <c r="P853" s="4">
        <v>3</v>
      </c>
      <c r="Q853" t="s">
        <v>83</v>
      </c>
      <c r="R853" s="2">
        <v>46177</v>
      </c>
      <c r="S853" s="4">
        <v>26</v>
      </c>
      <c r="T853" s="3">
        <v>210000000</v>
      </c>
      <c r="U853" t="s">
        <v>42</v>
      </c>
      <c r="V853" t="s">
        <v>43</v>
      </c>
      <c r="W853" t="s">
        <v>298</v>
      </c>
      <c r="Y853" t="s">
        <v>309</v>
      </c>
      <c r="Z853" t="s">
        <v>3176</v>
      </c>
      <c r="AA853" t="s">
        <v>181</v>
      </c>
      <c r="AB853" t="s">
        <v>47</v>
      </c>
      <c r="AC853" t="s">
        <v>181</v>
      </c>
    </row>
    <row r="854" spans="1:29">
      <c r="A854" t="s">
        <v>1270</v>
      </c>
      <c r="B854" s="2">
        <v>46200</v>
      </c>
      <c r="C854" t="s">
        <v>30</v>
      </c>
      <c r="D854" t="s">
        <v>49</v>
      </c>
      <c r="E854" t="s">
        <v>75</v>
      </c>
      <c r="F854" t="s">
        <v>183</v>
      </c>
      <c r="G854" t="s">
        <v>230</v>
      </c>
      <c r="H854" t="s">
        <v>78</v>
      </c>
      <c r="I854" t="s">
        <v>163</v>
      </c>
      <c r="J854" t="s">
        <v>3021</v>
      </c>
      <c r="K854" t="s">
        <v>92</v>
      </c>
      <c r="L854" t="s">
        <v>150</v>
      </c>
      <c r="M854" t="s">
        <v>129</v>
      </c>
      <c r="N854" t="s">
        <v>57</v>
      </c>
      <c r="O854" s="4">
        <v>3</v>
      </c>
      <c r="P854" s="4">
        <v>8</v>
      </c>
      <c r="Q854" t="s">
        <v>69</v>
      </c>
      <c r="R854" s="2">
        <v>46200</v>
      </c>
      <c r="S854" s="4">
        <v>3</v>
      </c>
      <c r="T854" s="3">
        <v>188000000</v>
      </c>
      <c r="U854" t="s">
        <v>42</v>
      </c>
      <c r="V854" t="s">
        <v>43</v>
      </c>
      <c r="W854" t="s">
        <v>71</v>
      </c>
      <c r="Y854" t="s">
        <v>61</v>
      </c>
      <c r="Z854" t="s">
        <v>3177</v>
      </c>
      <c r="AA854" t="s">
        <v>86</v>
      </c>
      <c r="AB854" t="s">
        <v>63</v>
      </c>
      <c r="AC854" t="s">
        <v>86</v>
      </c>
    </row>
    <row r="855" spans="1:29">
      <c r="A855" t="s">
        <v>1271</v>
      </c>
      <c r="B855" s="2">
        <v>46202</v>
      </c>
      <c r="C855" t="s">
        <v>30</v>
      </c>
      <c r="D855" t="s">
        <v>31</v>
      </c>
      <c r="E855" t="s">
        <v>120</v>
      </c>
      <c r="F855" t="s">
        <v>121</v>
      </c>
      <c r="G855" t="s">
        <v>135</v>
      </c>
      <c r="H855" t="s">
        <v>123</v>
      </c>
      <c r="I855" t="s">
        <v>519</v>
      </c>
      <c r="J855" t="s">
        <v>3109</v>
      </c>
      <c r="K855" t="s">
        <v>105</v>
      </c>
      <c r="L855" t="s">
        <v>169</v>
      </c>
      <c r="M855" t="s">
        <v>39</v>
      </c>
      <c r="N855" t="s">
        <v>94</v>
      </c>
      <c r="O855" s="4">
        <v>4</v>
      </c>
      <c r="P855" s="4">
        <v>11</v>
      </c>
      <c r="Q855" t="s">
        <v>142</v>
      </c>
      <c r="R855" s="2">
        <v>46200</v>
      </c>
      <c r="S855" s="4">
        <v>3</v>
      </c>
      <c r="T855" s="3">
        <v>174000000</v>
      </c>
      <c r="U855" t="s">
        <v>42</v>
      </c>
      <c r="V855" t="s">
        <v>59</v>
      </c>
      <c r="W855" t="s">
        <v>188</v>
      </c>
      <c r="X855" t="s">
        <v>117</v>
      </c>
      <c r="Y855" t="s">
        <v>96</v>
      </c>
      <c r="Z855" t="s">
        <v>3179</v>
      </c>
      <c r="AA855" t="s">
        <v>97</v>
      </c>
      <c r="AB855" t="s">
        <v>97</v>
      </c>
      <c r="AC855" t="s">
        <v>97</v>
      </c>
    </row>
    <row r="856" spans="1:29">
      <c r="A856" t="s">
        <v>1272</v>
      </c>
      <c r="B856" s="2">
        <v>46174</v>
      </c>
      <c r="C856" t="s">
        <v>30</v>
      </c>
      <c r="D856" t="s">
        <v>134</v>
      </c>
      <c r="E856" t="s">
        <v>152</v>
      </c>
      <c r="F856" t="s">
        <v>221</v>
      </c>
      <c r="G856" t="s">
        <v>206</v>
      </c>
      <c r="H856" t="s">
        <v>283</v>
      </c>
      <c r="I856" t="s">
        <v>472</v>
      </c>
      <c r="J856" t="s">
        <v>3097</v>
      </c>
      <c r="K856" t="s">
        <v>105</v>
      </c>
      <c r="L856" t="s">
        <v>55</v>
      </c>
      <c r="M856" t="s">
        <v>81</v>
      </c>
      <c r="N856" t="s">
        <v>82</v>
      </c>
      <c r="O856" s="4">
        <v>1</v>
      </c>
      <c r="P856" s="4">
        <v>11</v>
      </c>
      <c r="Q856" t="s">
        <v>142</v>
      </c>
      <c r="R856" s="2">
        <v>46164</v>
      </c>
      <c r="S856" s="4">
        <v>39</v>
      </c>
      <c r="T856" s="3">
        <v>135000000</v>
      </c>
      <c r="U856" t="s">
        <v>42</v>
      </c>
      <c r="V856" t="s">
        <v>43</v>
      </c>
      <c r="W856" t="s">
        <v>290</v>
      </c>
      <c r="Y856" t="s">
        <v>291</v>
      </c>
      <c r="Z856" t="s">
        <v>3178</v>
      </c>
      <c r="AA856" t="s">
        <v>159</v>
      </c>
      <c r="AB856" t="s">
        <v>87</v>
      </c>
      <c r="AC856" t="s">
        <v>159</v>
      </c>
    </row>
    <row r="857" spans="1:29">
      <c r="A857" t="s">
        <v>1273</v>
      </c>
      <c r="B857" s="2">
        <v>46194</v>
      </c>
      <c r="C857" t="s">
        <v>30</v>
      </c>
      <c r="D857" t="s">
        <v>74</v>
      </c>
      <c r="E857" t="s">
        <v>50</v>
      </c>
      <c r="F857" t="s">
        <v>89</v>
      </c>
      <c r="G857" t="s">
        <v>234</v>
      </c>
      <c r="H857" t="s">
        <v>90</v>
      </c>
      <c r="I857" t="s">
        <v>740</v>
      </c>
      <c r="J857" t="s">
        <v>3151</v>
      </c>
      <c r="K857" t="s">
        <v>92</v>
      </c>
      <c r="L857" t="s">
        <v>80</v>
      </c>
      <c r="M857" t="s">
        <v>81</v>
      </c>
      <c r="N857" t="s">
        <v>130</v>
      </c>
      <c r="O857" s="4">
        <v>5</v>
      </c>
      <c r="P857" s="4">
        <v>9</v>
      </c>
      <c r="Q857" t="s">
        <v>58</v>
      </c>
      <c r="R857" s="2">
        <v>46188</v>
      </c>
      <c r="S857" s="4">
        <v>15</v>
      </c>
      <c r="T857" s="3">
        <v>132000000</v>
      </c>
      <c r="U857" t="s">
        <v>42</v>
      </c>
      <c r="V857" t="s">
        <v>70</v>
      </c>
      <c r="W857" t="s">
        <v>131</v>
      </c>
      <c r="Y857" t="s">
        <v>262</v>
      </c>
      <c r="Z857" t="s">
        <v>3179</v>
      </c>
      <c r="AA857" t="s">
        <v>62</v>
      </c>
      <c r="AB857" t="s">
        <v>97</v>
      </c>
      <c r="AC857" t="s">
        <v>62</v>
      </c>
    </row>
    <row r="858" spans="1:29">
      <c r="A858" t="s">
        <v>1274</v>
      </c>
      <c r="B858" s="2">
        <v>46196</v>
      </c>
      <c r="C858" t="s">
        <v>30</v>
      </c>
      <c r="D858" t="s">
        <v>49</v>
      </c>
      <c r="E858" t="s">
        <v>50</v>
      </c>
      <c r="F858" t="s">
        <v>351</v>
      </c>
      <c r="G858" t="s">
        <v>270</v>
      </c>
      <c r="H858" t="s">
        <v>90</v>
      </c>
      <c r="I858" t="s">
        <v>377</v>
      </c>
      <c r="J858" t="s">
        <v>3068</v>
      </c>
      <c r="K858" t="s">
        <v>92</v>
      </c>
      <c r="L858" t="s">
        <v>150</v>
      </c>
      <c r="M858" t="s">
        <v>164</v>
      </c>
      <c r="N858" t="s">
        <v>94</v>
      </c>
      <c r="O858" s="4">
        <v>4</v>
      </c>
      <c r="P858" s="4">
        <v>7</v>
      </c>
      <c r="Q858" t="s">
        <v>69</v>
      </c>
      <c r="R858" s="2">
        <v>46194</v>
      </c>
      <c r="S858" s="4">
        <v>9</v>
      </c>
      <c r="T858" s="3">
        <v>67000000</v>
      </c>
      <c r="U858" t="s">
        <v>42</v>
      </c>
      <c r="V858" t="s">
        <v>59</v>
      </c>
      <c r="W858" t="s">
        <v>267</v>
      </c>
      <c r="X858" t="s">
        <v>117</v>
      </c>
      <c r="Y858" t="s">
        <v>96</v>
      </c>
      <c r="Z858" t="s">
        <v>3179</v>
      </c>
      <c r="AA858" t="s">
        <v>62</v>
      </c>
      <c r="AB858" t="s">
        <v>97</v>
      </c>
      <c r="AC858" t="s">
        <v>62</v>
      </c>
    </row>
    <row r="859" spans="1:29">
      <c r="A859" t="s">
        <v>1275</v>
      </c>
      <c r="B859" s="2">
        <v>46184</v>
      </c>
      <c r="C859" t="s">
        <v>30</v>
      </c>
      <c r="D859" t="s">
        <v>99</v>
      </c>
      <c r="E859" t="s">
        <v>50</v>
      </c>
      <c r="F859" t="s">
        <v>89</v>
      </c>
      <c r="G859" t="s">
        <v>65</v>
      </c>
      <c r="H859" t="s">
        <v>66</v>
      </c>
      <c r="I859" t="s">
        <v>902</v>
      </c>
      <c r="J859" t="s">
        <v>3165</v>
      </c>
      <c r="K859" t="s">
        <v>37</v>
      </c>
      <c r="L859" t="s">
        <v>150</v>
      </c>
      <c r="M859" t="s">
        <v>56</v>
      </c>
      <c r="N859" t="s">
        <v>213</v>
      </c>
      <c r="O859" s="4">
        <v>6</v>
      </c>
      <c r="P859" s="4">
        <v>16</v>
      </c>
      <c r="Q859" t="s">
        <v>58</v>
      </c>
      <c r="R859" s="2">
        <v>46180</v>
      </c>
      <c r="S859" s="4">
        <v>23</v>
      </c>
      <c r="T859" s="3">
        <v>185000000</v>
      </c>
      <c r="U859" t="s">
        <v>214</v>
      </c>
      <c r="V859" t="s">
        <v>70</v>
      </c>
      <c r="W859" t="s">
        <v>438</v>
      </c>
      <c r="Y859" t="s">
        <v>424</v>
      </c>
      <c r="Z859" t="s">
        <v>3179</v>
      </c>
      <c r="AA859" t="s">
        <v>62</v>
      </c>
      <c r="AB859" t="s">
        <v>97</v>
      </c>
      <c r="AC859" t="s">
        <v>62</v>
      </c>
    </row>
    <row r="860" spans="1:29">
      <c r="A860" t="s">
        <v>1276</v>
      </c>
      <c r="B860" s="2">
        <v>46201</v>
      </c>
      <c r="C860" t="s">
        <v>30</v>
      </c>
      <c r="D860" t="s">
        <v>49</v>
      </c>
      <c r="E860" t="s">
        <v>100</v>
      </c>
      <c r="F860" t="s">
        <v>146</v>
      </c>
      <c r="G860" t="s">
        <v>147</v>
      </c>
      <c r="H860" t="s">
        <v>148</v>
      </c>
      <c r="I860" t="s">
        <v>532</v>
      </c>
      <c r="J860" t="s">
        <v>3111</v>
      </c>
      <c r="K860" t="s">
        <v>37</v>
      </c>
      <c r="L860" t="s">
        <v>38</v>
      </c>
      <c r="M860" t="s">
        <v>39</v>
      </c>
      <c r="N860" t="s">
        <v>130</v>
      </c>
      <c r="O860" s="4">
        <v>5</v>
      </c>
      <c r="P860" s="4">
        <v>13</v>
      </c>
      <c r="Q860" t="s">
        <v>142</v>
      </c>
      <c r="R860" s="2">
        <v>46195</v>
      </c>
      <c r="S860" s="4">
        <v>8</v>
      </c>
      <c r="T860" s="3">
        <v>280000000</v>
      </c>
      <c r="U860" t="s">
        <v>42</v>
      </c>
      <c r="V860" t="s">
        <v>70</v>
      </c>
      <c r="W860" t="s">
        <v>252</v>
      </c>
      <c r="Y860" t="s">
        <v>132</v>
      </c>
      <c r="Z860" t="s">
        <v>3179</v>
      </c>
      <c r="AA860" t="s">
        <v>109</v>
      </c>
      <c r="AB860" t="s">
        <v>97</v>
      </c>
      <c r="AC860" t="s">
        <v>109</v>
      </c>
    </row>
    <row r="861" spans="1:29">
      <c r="A861" t="s">
        <v>1277</v>
      </c>
      <c r="B861" s="2">
        <v>46197</v>
      </c>
      <c r="C861" t="s">
        <v>30</v>
      </c>
      <c r="D861" t="s">
        <v>49</v>
      </c>
      <c r="E861" t="s">
        <v>32</v>
      </c>
      <c r="F861" t="s">
        <v>33</v>
      </c>
      <c r="G861" t="s">
        <v>361</v>
      </c>
      <c r="H861" t="s">
        <v>35</v>
      </c>
      <c r="I861" t="s">
        <v>323</v>
      </c>
      <c r="J861" t="s">
        <v>3052</v>
      </c>
      <c r="K861" t="s">
        <v>37</v>
      </c>
      <c r="L861" t="s">
        <v>80</v>
      </c>
      <c r="M861" t="s">
        <v>81</v>
      </c>
      <c r="N861" t="s">
        <v>94</v>
      </c>
      <c r="O861" s="4">
        <v>4</v>
      </c>
      <c r="P861" s="4">
        <v>6</v>
      </c>
      <c r="Q861" t="s">
        <v>58</v>
      </c>
      <c r="R861" s="2">
        <v>46190</v>
      </c>
      <c r="S861" s="4">
        <v>13</v>
      </c>
      <c r="T861" s="3">
        <v>229000000</v>
      </c>
      <c r="U861" t="s">
        <v>42</v>
      </c>
      <c r="V861" t="s">
        <v>59</v>
      </c>
      <c r="W861" t="s">
        <v>188</v>
      </c>
      <c r="Y861" t="s">
        <v>228</v>
      </c>
      <c r="Z861" t="s">
        <v>3179</v>
      </c>
      <c r="AA861" t="s">
        <v>46</v>
      </c>
      <c r="AB861" t="s">
        <v>97</v>
      </c>
      <c r="AC861" t="s">
        <v>46</v>
      </c>
    </row>
    <row r="862" spans="1:29">
      <c r="A862" t="s">
        <v>1278</v>
      </c>
      <c r="B862" s="2">
        <v>46187</v>
      </c>
      <c r="C862" t="s">
        <v>30</v>
      </c>
      <c r="D862" t="s">
        <v>99</v>
      </c>
      <c r="E862" t="s">
        <v>172</v>
      </c>
      <c r="F862" t="s">
        <v>277</v>
      </c>
      <c r="G862" t="s">
        <v>278</v>
      </c>
      <c r="H862" t="s">
        <v>175</v>
      </c>
      <c r="I862" t="s">
        <v>956</v>
      </c>
      <c r="J862" t="s">
        <v>3166</v>
      </c>
      <c r="K862" t="s">
        <v>56</v>
      </c>
      <c r="L862" t="s">
        <v>80</v>
      </c>
      <c r="M862" t="s">
        <v>93</v>
      </c>
      <c r="N862" t="s">
        <v>40</v>
      </c>
      <c r="O862" s="4">
        <v>2</v>
      </c>
      <c r="P862" s="4">
        <v>5</v>
      </c>
      <c r="Q862" t="s">
        <v>58</v>
      </c>
      <c r="R862" s="2">
        <v>46187</v>
      </c>
      <c r="S862" s="4">
        <v>16</v>
      </c>
      <c r="T862" s="3">
        <v>116000000</v>
      </c>
      <c r="U862" t="s">
        <v>42</v>
      </c>
      <c r="V862" t="s">
        <v>59</v>
      </c>
      <c r="W862" t="s">
        <v>178</v>
      </c>
      <c r="Y862" t="s">
        <v>45</v>
      </c>
      <c r="Z862" t="s">
        <v>3178</v>
      </c>
      <c r="AA862" t="s">
        <v>181</v>
      </c>
      <c r="AB862" t="s">
        <v>87</v>
      </c>
      <c r="AC862" t="s">
        <v>181</v>
      </c>
    </row>
    <row r="863" spans="1:29">
      <c r="A863" t="s">
        <v>1279</v>
      </c>
      <c r="B863" s="2">
        <v>46191</v>
      </c>
      <c r="C863" t="s">
        <v>30</v>
      </c>
      <c r="D863" t="s">
        <v>74</v>
      </c>
      <c r="E863" t="s">
        <v>172</v>
      </c>
      <c r="F863" t="s">
        <v>277</v>
      </c>
      <c r="G863" t="s">
        <v>338</v>
      </c>
      <c r="H863" t="s">
        <v>241</v>
      </c>
      <c r="I863" t="s">
        <v>379</v>
      </c>
      <c r="J863" t="s">
        <v>3069</v>
      </c>
      <c r="K863" t="s">
        <v>116</v>
      </c>
      <c r="L863" t="s">
        <v>187</v>
      </c>
      <c r="M863" t="s">
        <v>93</v>
      </c>
      <c r="N863" t="s">
        <v>94</v>
      </c>
      <c r="O863" s="4">
        <v>4</v>
      </c>
      <c r="P863" s="4">
        <v>10</v>
      </c>
      <c r="Q863" t="s">
        <v>69</v>
      </c>
      <c r="R863" s="2">
        <v>46189</v>
      </c>
      <c r="S863" s="4">
        <v>14</v>
      </c>
      <c r="T863" s="3">
        <v>82000000</v>
      </c>
      <c r="U863" t="s">
        <v>42</v>
      </c>
      <c r="V863" t="s">
        <v>59</v>
      </c>
      <c r="W863" t="s">
        <v>95</v>
      </c>
      <c r="X863" t="s">
        <v>117</v>
      </c>
      <c r="Y863" t="s">
        <v>96</v>
      </c>
      <c r="Z863" t="s">
        <v>3179</v>
      </c>
      <c r="AA863" t="s">
        <v>181</v>
      </c>
      <c r="AB863" t="s">
        <v>97</v>
      </c>
      <c r="AC863" t="s">
        <v>181</v>
      </c>
    </row>
    <row r="864" spans="1:29">
      <c r="A864" t="s">
        <v>1280</v>
      </c>
      <c r="B864" s="2">
        <v>46202</v>
      </c>
      <c r="C864" t="s">
        <v>30</v>
      </c>
      <c r="D864" t="s">
        <v>31</v>
      </c>
      <c r="E864" t="s">
        <v>50</v>
      </c>
      <c r="F864" t="s">
        <v>51</v>
      </c>
      <c r="G864" t="s">
        <v>270</v>
      </c>
      <c r="H864" t="s">
        <v>90</v>
      </c>
      <c r="I864" t="s">
        <v>497</v>
      </c>
      <c r="J864" t="s">
        <v>3105</v>
      </c>
      <c r="K864" t="s">
        <v>105</v>
      </c>
      <c r="L864" t="s">
        <v>80</v>
      </c>
      <c r="M864" t="s">
        <v>81</v>
      </c>
      <c r="N864" t="s">
        <v>196</v>
      </c>
      <c r="O864" s="4">
        <v>7</v>
      </c>
      <c r="P864" s="4">
        <v>12</v>
      </c>
      <c r="Q864" t="s">
        <v>58</v>
      </c>
      <c r="R864" s="2">
        <v>46199</v>
      </c>
      <c r="S864" s="4">
        <v>4</v>
      </c>
      <c r="T864" s="3">
        <v>309000000</v>
      </c>
      <c r="U864" t="s">
        <v>564</v>
      </c>
      <c r="V864" t="s">
        <v>70</v>
      </c>
      <c r="W864" t="s">
        <v>675</v>
      </c>
      <c r="Y864" t="s">
        <v>198</v>
      </c>
      <c r="Z864" t="s">
        <v>3181</v>
      </c>
      <c r="AA864" t="s">
        <v>62</v>
      </c>
      <c r="AB864" t="s">
        <v>199</v>
      </c>
      <c r="AC864" t="s">
        <v>62</v>
      </c>
    </row>
    <row r="865" spans="1:29">
      <c r="A865" t="s">
        <v>1281</v>
      </c>
      <c r="B865" s="2">
        <v>46183</v>
      </c>
      <c r="C865" t="s">
        <v>30</v>
      </c>
      <c r="D865" t="s">
        <v>99</v>
      </c>
      <c r="E865" t="s">
        <v>111</v>
      </c>
      <c r="F865" t="s">
        <v>190</v>
      </c>
      <c r="G865" t="s">
        <v>113</v>
      </c>
      <c r="H865" t="s">
        <v>127</v>
      </c>
      <c r="I865" t="s">
        <v>128</v>
      </c>
      <c r="J865" t="s">
        <v>3016</v>
      </c>
      <c r="K865" t="s">
        <v>56</v>
      </c>
      <c r="L865" t="s">
        <v>150</v>
      </c>
      <c r="M865" t="s">
        <v>106</v>
      </c>
      <c r="N865" t="s">
        <v>40</v>
      </c>
      <c r="O865" s="4">
        <v>2</v>
      </c>
      <c r="P865" s="4">
        <v>4</v>
      </c>
      <c r="Q865" t="s">
        <v>83</v>
      </c>
      <c r="R865" s="2">
        <v>46182</v>
      </c>
      <c r="S865" s="4">
        <v>21</v>
      </c>
      <c r="T865" s="3">
        <v>186000000</v>
      </c>
      <c r="U865" t="s">
        <v>42</v>
      </c>
      <c r="V865" t="s">
        <v>43</v>
      </c>
      <c r="W865" t="s">
        <v>44</v>
      </c>
      <c r="Y865" t="s">
        <v>45</v>
      </c>
      <c r="Z865" t="s">
        <v>3176</v>
      </c>
      <c r="AA865" t="s">
        <v>118</v>
      </c>
      <c r="AB865" t="s">
        <v>47</v>
      </c>
      <c r="AC865" t="s">
        <v>118</v>
      </c>
    </row>
    <row r="866" spans="1:29">
      <c r="A866" t="s">
        <v>1282</v>
      </c>
      <c r="B866" s="2">
        <v>46196</v>
      </c>
      <c r="C866" t="s">
        <v>30</v>
      </c>
      <c r="D866" t="s">
        <v>49</v>
      </c>
      <c r="E866" t="s">
        <v>75</v>
      </c>
      <c r="F866" t="s">
        <v>183</v>
      </c>
      <c r="G866" t="s">
        <v>230</v>
      </c>
      <c r="H866" t="s">
        <v>78</v>
      </c>
      <c r="I866" t="s">
        <v>1145</v>
      </c>
      <c r="J866" t="s">
        <v>3174</v>
      </c>
      <c r="K866" t="s">
        <v>92</v>
      </c>
      <c r="L866" t="s">
        <v>55</v>
      </c>
      <c r="M866" t="s">
        <v>106</v>
      </c>
      <c r="N866" t="s">
        <v>94</v>
      </c>
      <c r="O866" s="4">
        <v>4</v>
      </c>
      <c r="P866" s="4">
        <v>11</v>
      </c>
      <c r="Q866" t="s">
        <v>83</v>
      </c>
      <c r="R866" s="2">
        <v>46196</v>
      </c>
      <c r="S866" s="4">
        <v>7</v>
      </c>
      <c r="T866" s="3">
        <v>182000000</v>
      </c>
      <c r="U866" t="s">
        <v>42</v>
      </c>
      <c r="V866" t="s">
        <v>70</v>
      </c>
      <c r="W866" t="s">
        <v>267</v>
      </c>
      <c r="X866" t="s">
        <v>117</v>
      </c>
      <c r="Y866" t="s">
        <v>268</v>
      </c>
      <c r="Z866" t="s">
        <v>3179</v>
      </c>
      <c r="AA866" t="s">
        <v>86</v>
      </c>
      <c r="AB866" t="s">
        <v>97</v>
      </c>
      <c r="AC866" t="s">
        <v>86</v>
      </c>
    </row>
    <row r="867" spans="1:29">
      <c r="A867" t="s">
        <v>1283</v>
      </c>
      <c r="B867" s="2">
        <v>46177</v>
      </c>
      <c r="C867" t="s">
        <v>30</v>
      </c>
      <c r="D867" t="s">
        <v>134</v>
      </c>
      <c r="E867" t="s">
        <v>172</v>
      </c>
      <c r="F867" t="s">
        <v>173</v>
      </c>
      <c r="G867" t="s">
        <v>278</v>
      </c>
      <c r="H867" t="s">
        <v>175</v>
      </c>
      <c r="I867" t="s">
        <v>176</v>
      </c>
      <c r="J867" t="s">
        <v>3023</v>
      </c>
      <c r="K867" t="s">
        <v>56</v>
      </c>
      <c r="L867" t="s">
        <v>187</v>
      </c>
      <c r="M867" t="s">
        <v>93</v>
      </c>
      <c r="N867" t="s">
        <v>57</v>
      </c>
      <c r="O867" s="4">
        <v>3</v>
      </c>
      <c r="P867" s="4">
        <v>9</v>
      </c>
      <c r="Q867" t="s">
        <v>107</v>
      </c>
      <c r="R867" s="2">
        <v>46172</v>
      </c>
      <c r="S867" s="4">
        <v>31</v>
      </c>
      <c r="T867" s="3">
        <v>385000000</v>
      </c>
      <c r="U867" t="s">
        <v>42</v>
      </c>
      <c r="V867" t="s">
        <v>59</v>
      </c>
      <c r="W867" t="s">
        <v>157</v>
      </c>
      <c r="Y867" t="s">
        <v>61</v>
      </c>
      <c r="Z867" t="s">
        <v>3177</v>
      </c>
      <c r="AA867" t="s">
        <v>181</v>
      </c>
      <c r="AB867" t="s">
        <v>63</v>
      </c>
      <c r="AC867" t="s">
        <v>181</v>
      </c>
    </row>
    <row r="868" spans="1:29">
      <c r="A868" t="s">
        <v>1284</v>
      </c>
      <c r="B868" s="2">
        <v>46177</v>
      </c>
      <c r="C868" t="s">
        <v>30</v>
      </c>
      <c r="D868" t="s">
        <v>134</v>
      </c>
      <c r="E868" t="s">
        <v>152</v>
      </c>
      <c r="F868" t="s">
        <v>205</v>
      </c>
      <c r="G868" t="s">
        <v>294</v>
      </c>
      <c r="H868" t="s">
        <v>283</v>
      </c>
      <c r="I868" t="s">
        <v>295</v>
      </c>
      <c r="J868" t="s">
        <v>3043</v>
      </c>
      <c r="K868" t="s">
        <v>105</v>
      </c>
      <c r="L868" t="s">
        <v>169</v>
      </c>
      <c r="M868" t="s">
        <v>106</v>
      </c>
      <c r="N868" t="s">
        <v>130</v>
      </c>
      <c r="O868" s="4">
        <v>5</v>
      </c>
      <c r="P868" s="4">
        <v>13</v>
      </c>
      <c r="Q868" t="s">
        <v>83</v>
      </c>
      <c r="R868" s="2">
        <v>46175</v>
      </c>
      <c r="S868" s="4">
        <v>28</v>
      </c>
      <c r="T868" s="3">
        <v>237000000</v>
      </c>
      <c r="U868" t="s">
        <v>42</v>
      </c>
      <c r="V868" t="s">
        <v>70</v>
      </c>
      <c r="W868" t="s">
        <v>252</v>
      </c>
      <c r="X868" t="s">
        <v>117</v>
      </c>
      <c r="Y868" t="s">
        <v>254</v>
      </c>
      <c r="Z868" t="s">
        <v>3179</v>
      </c>
      <c r="AA868" t="s">
        <v>159</v>
      </c>
      <c r="AB868" t="s">
        <v>97</v>
      </c>
      <c r="AC868" t="s">
        <v>159</v>
      </c>
    </row>
    <row r="869" spans="1:29">
      <c r="A869" t="s">
        <v>1285</v>
      </c>
      <c r="B869" s="2">
        <v>46192</v>
      </c>
      <c r="C869" t="s">
        <v>30</v>
      </c>
      <c r="D869" t="s">
        <v>74</v>
      </c>
      <c r="E869" t="s">
        <v>120</v>
      </c>
      <c r="F869" t="s">
        <v>167</v>
      </c>
      <c r="G869" t="s">
        <v>420</v>
      </c>
      <c r="H869" t="s">
        <v>123</v>
      </c>
      <c r="I869" t="s">
        <v>838</v>
      </c>
      <c r="J869" t="s">
        <v>3160</v>
      </c>
      <c r="K869" t="s">
        <v>56</v>
      </c>
      <c r="L869" t="s">
        <v>187</v>
      </c>
      <c r="M869" t="s">
        <v>106</v>
      </c>
      <c r="N869" t="s">
        <v>130</v>
      </c>
      <c r="O869" s="4">
        <v>5</v>
      </c>
      <c r="P869" s="4">
        <v>7</v>
      </c>
      <c r="Q869" t="s">
        <v>107</v>
      </c>
      <c r="R869" s="2">
        <v>46188</v>
      </c>
      <c r="S869" s="4">
        <v>15</v>
      </c>
      <c r="T869" s="3">
        <v>427000000</v>
      </c>
      <c r="U869" t="s">
        <v>42</v>
      </c>
      <c r="V869" t="s">
        <v>70</v>
      </c>
      <c r="W869" t="s">
        <v>131</v>
      </c>
      <c r="Y869" t="s">
        <v>254</v>
      </c>
      <c r="Z869" t="s">
        <v>3179</v>
      </c>
      <c r="AA869" t="s">
        <v>97</v>
      </c>
      <c r="AB869" t="s">
        <v>97</v>
      </c>
      <c r="AC869" t="s">
        <v>97</v>
      </c>
    </row>
    <row r="870" spans="1:29">
      <c r="A870" t="s">
        <v>1286</v>
      </c>
      <c r="B870" s="2">
        <v>46183</v>
      </c>
      <c r="C870" t="s">
        <v>30</v>
      </c>
      <c r="D870" t="s">
        <v>99</v>
      </c>
      <c r="E870" t="s">
        <v>172</v>
      </c>
      <c r="F870" t="s">
        <v>195</v>
      </c>
      <c r="G870" t="s">
        <v>289</v>
      </c>
      <c r="H870" t="s">
        <v>175</v>
      </c>
      <c r="I870" t="s">
        <v>358</v>
      </c>
      <c r="J870" t="s">
        <v>3062</v>
      </c>
      <c r="K870" t="s">
        <v>56</v>
      </c>
      <c r="L870" t="s">
        <v>38</v>
      </c>
      <c r="M870" t="s">
        <v>93</v>
      </c>
      <c r="N870" t="s">
        <v>82</v>
      </c>
      <c r="O870" s="4">
        <v>1</v>
      </c>
      <c r="P870" s="4">
        <v>8</v>
      </c>
      <c r="Q870" t="s">
        <v>58</v>
      </c>
      <c r="R870" s="2">
        <v>46176</v>
      </c>
      <c r="S870" s="4">
        <v>27</v>
      </c>
      <c r="T870" s="3">
        <v>392000000</v>
      </c>
      <c r="U870" t="s">
        <v>42</v>
      </c>
      <c r="V870" t="s">
        <v>43</v>
      </c>
      <c r="W870" t="s">
        <v>84</v>
      </c>
      <c r="Y870" t="s">
        <v>330</v>
      </c>
      <c r="Z870" t="s">
        <v>3178</v>
      </c>
      <c r="AA870" t="s">
        <v>181</v>
      </c>
      <c r="AB870" t="s">
        <v>87</v>
      </c>
      <c r="AC870" t="s">
        <v>181</v>
      </c>
    </row>
    <row r="871" spans="1:29">
      <c r="A871" t="s">
        <v>1287</v>
      </c>
      <c r="B871" s="2">
        <v>46179</v>
      </c>
      <c r="C871" t="s">
        <v>30</v>
      </c>
      <c r="D871" t="s">
        <v>134</v>
      </c>
      <c r="E871" t="s">
        <v>152</v>
      </c>
      <c r="F871" t="s">
        <v>205</v>
      </c>
      <c r="G871" t="s">
        <v>206</v>
      </c>
      <c r="H871" t="s">
        <v>155</v>
      </c>
      <c r="I871" t="s">
        <v>375</v>
      </c>
      <c r="J871" t="s">
        <v>3067</v>
      </c>
      <c r="K871" t="s">
        <v>116</v>
      </c>
      <c r="L871" t="s">
        <v>187</v>
      </c>
      <c r="M871" t="s">
        <v>106</v>
      </c>
      <c r="N871" t="s">
        <v>130</v>
      </c>
      <c r="O871" s="4">
        <v>5</v>
      </c>
      <c r="P871" s="4">
        <v>10</v>
      </c>
      <c r="Q871" t="s">
        <v>69</v>
      </c>
      <c r="R871" s="2">
        <v>46173</v>
      </c>
      <c r="S871" s="4">
        <v>30</v>
      </c>
      <c r="T871" s="3">
        <v>45000000</v>
      </c>
      <c r="U871" t="s">
        <v>42</v>
      </c>
      <c r="V871" t="s">
        <v>59</v>
      </c>
      <c r="W871" t="s">
        <v>131</v>
      </c>
      <c r="Y871" t="s">
        <v>132</v>
      </c>
      <c r="Z871" t="s">
        <v>3179</v>
      </c>
      <c r="AA871" t="s">
        <v>159</v>
      </c>
      <c r="AB871" t="s">
        <v>97</v>
      </c>
      <c r="AC871" t="s">
        <v>159</v>
      </c>
    </row>
    <row r="872" spans="1:29">
      <c r="A872" t="s">
        <v>1288</v>
      </c>
      <c r="B872" s="2">
        <v>46200</v>
      </c>
      <c r="C872" t="s">
        <v>30</v>
      </c>
      <c r="D872" t="s">
        <v>49</v>
      </c>
      <c r="E872" t="s">
        <v>111</v>
      </c>
      <c r="F872" t="s">
        <v>264</v>
      </c>
      <c r="G872" t="s">
        <v>126</v>
      </c>
      <c r="H872" t="s">
        <v>191</v>
      </c>
      <c r="I872" t="s">
        <v>192</v>
      </c>
      <c r="J872" t="s">
        <v>3025</v>
      </c>
      <c r="K872" t="s">
        <v>56</v>
      </c>
      <c r="L872" t="s">
        <v>55</v>
      </c>
      <c r="M872" t="s">
        <v>39</v>
      </c>
      <c r="N872" t="s">
        <v>57</v>
      </c>
      <c r="O872" s="4">
        <v>3</v>
      </c>
      <c r="P872" s="4">
        <v>12</v>
      </c>
      <c r="Q872" t="s">
        <v>107</v>
      </c>
      <c r="R872" s="2">
        <v>46192</v>
      </c>
      <c r="S872" s="4">
        <v>11</v>
      </c>
      <c r="T872" s="3">
        <v>419000000</v>
      </c>
      <c r="U872" t="s">
        <v>42</v>
      </c>
      <c r="V872" t="s">
        <v>70</v>
      </c>
      <c r="W872" t="s">
        <v>203</v>
      </c>
      <c r="Y872" t="s">
        <v>165</v>
      </c>
      <c r="Z872" t="s">
        <v>3180</v>
      </c>
      <c r="AA872" t="s">
        <v>118</v>
      </c>
      <c r="AB872" t="s">
        <v>193</v>
      </c>
      <c r="AC872" t="s">
        <v>118</v>
      </c>
    </row>
    <row r="873" spans="1:29">
      <c r="A873" t="s">
        <v>1289</v>
      </c>
      <c r="B873" s="2">
        <v>46186</v>
      </c>
      <c r="C873" t="s">
        <v>30</v>
      </c>
      <c r="D873" t="s">
        <v>99</v>
      </c>
      <c r="E873" t="s">
        <v>120</v>
      </c>
      <c r="F873" t="s">
        <v>121</v>
      </c>
      <c r="G873" t="s">
        <v>227</v>
      </c>
      <c r="H873" t="s">
        <v>136</v>
      </c>
      <c r="I873" t="s">
        <v>275</v>
      </c>
      <c r="J873" t="s">
        <v>3039</v>
      </c>
      <c r="K873" t="s">
        <v>105</v>
      </c>
      <c r="L873" t="s">
        <v>55</v>
      </c>
      <c r="M873" t="s">
        <v>81</v>
      </c>
      <c r="N873" t="s">
        <v>130</v>
      </c>
      <c r="O873" s="4">
        <v>5</v>
      </c>
      <c r="P873" s="4">
        <v>11</v>
      </c>
      <c r="Q873" t="s">
        <v>138</v>
      </c>
      <c r="R873" s="2">
        <v>46185</v>
      </c>
      <c r="S873" s="4">
        <v>18</v>
      </c>
      <c r="T873" s="3">
        <v>65000000</v>
      </c>
      <c r="U873" t="s">
        <v>260</v>
      </c>
      <c r="V873" t="s">
        <v>70</v>
      </c>
      <c r="W873" t="s">
        <v>131</v>
      </c>
      <c r="X873" t="s">
        <v>179</v>
      </c>
      <c r="Y873" t="s">
        <v>132</v>
      </c>
      <c r="Z873" t="s">
        <v>3179</v>
      </c>
      <c r="AA873" t="s">
        <v>97</v>
      </c>
      <c r="AB873" t="s">
        <v>97</v>
      </c>
      <c r="AC873" t="s">
        <v>97</v>
      </c>
    </row>
    <row r="874" spans="1:29">
      <c r="A874" t="s">
        <v>1290</v>
      </c>
      <c r="B874" s="2">
        <v>46199</v>
      </c>
      <c r="C874" t="s">
        <v>30</v>
      </c>
      <c r="D874" t="s">
        <v>49</v>
      </c>
      <c r="E874" t="s">
        <v>111</v>
      </c>
      <c r="F874" t="s">
        <v>112</v>
      </c>
      <c r="G874" t="s">
        <v>113</v>
      </c>
      <c r="H874" t="s">
        <v>191</v>
      </c>
      <c r="I874" t="s">
        <v>467</v>
      </c>
      <c r="J874" t="s">
        <v>3096</v>
      </c>
      <c r="K874" t="s">
        <v>92</v>
      </c>
      <c r="L874" t="s">
        <v>150</v>
      </c>
      <c r="M874" t="s">
        <v>81</v>
      </c>
      <c r="N874" t="s">
        <v>40</v>
      </c>
      <c r="O874" s="4">
        <v>2</v>
      </c>
      <c r="P874" s="4">
        <v>4</v>
      </c>
      <c r="Q874" t="s">
        <v>107</v>
      </c>
      <c r="R874" s="2">
        <v>46199</v>
      </c>
      <c r="S874" s="4">
        <v>4</v>
      </c>
      <c r="T874" s="3">
        <v>97000000</v>
      </c>
      <c r="U874" t="s">
        <v>42</v>
      </c>
      <c r="V874" t="s">
        <v>43</v>
      </c>
      <c r="W874" t="s">
        <v>44</v>
      </c>
      <c r="Y874" t="s">
        <v>281</v>
      </c>
      <c r="Z874" t="s">
        <v>3176</v>
      </c>
      <c r="AA874" t="s">
        <v>118</v>
      </c>
      <c r="AB874" t="s">
        <v>47</v>
      </c>
      <c r="AC874" t="s">
        <v>118</v>
      </c>
    </row>
    <row r="875" spans="1:29">
      <c r="A875" t="s">
        <v>1291</v>
      </c>
      <c r="B875" s="2">
        <v>46186</v>
      </c>
      <c r="C875" t="s">
        <v>30</v>
      </c>
      <c r="D875" t="s">
        <v>99</v>
      </c>
      <c r="E875" t="s">
        <v>32</v>
      </c>
      <c r="F875" t="s">
        <v>273</v>
      </c>
      <c r="G875" t="s">
        <v>463</v>
      </c>
      <c r="H875" t="s">
        <v>258</v>
      </c>
      <c r="I875" t="s">
        <v>297</v>
      </c>
      <c r="J875" t="s">
        <v>3044</v>
      </c>
      <c r="K875" t="s">
        <v>116</v>
      </c>
      <c r="L875" t="s">
        <v>80</v>
      </c>
      <c r="M875" t="s">
        <v>56</v>
      </c>
      <c r="N875" t="s">
        <v>82</v>
      </c>
      <c r="O875" s="4">
        <v>1</v>
      </c>
      <c r="P875" s="4">
        <v>2</v>
      </c>
      <c r="Q875" t="s">
        <v>138</v>
      </c>
      <c r="R875" s="2">
        <v>46184</v>
      </c>
      <c r="S875" s="4">
        <v>19</v>
      </c>
      <c r="T875" s="3">
        <v>122000000</v>
      </c>
      <c r="U875" t="s">
        <v>42</v>
      </c>
      <c r="V875" t="s">
        <v>43</v>
      </c>
      <c r="W875" t="s">
        <v>290</v>
      </c>
      <c r="Y875" t="s">
        <v>305</v>
      </c>
      <c r="Z875" t="s">
        <v>3176</v>
      </c>
      <c r="AA875" t="s">
        <v>46</v>
      </c>
      <c r="AB875" t="s">
        <v>47</v>
      </c>
      <c r="AC875" t="s">
        <v>46</v>
      </c>
    </row>
    <row r="876" spans="1:29">
      <c r="A876" t="s">
        <v>1292</v>
      </c>
      <c r="B876" s="2">
        <v>46189</v>
      </c>
      <c r="C876" t="s">
        <v>30</v>
      </c>
      <c r="D876" t="s">
        <v>74</v>
      </c>
      <c r="E876" t="s">
        <v>172</v>
      </c>
      <c r="F876" t="s">
        <v>195</v>
      </c>
      <c r="G876" t="s">
        <v>289</v>
      </c>
      <c r="H876" t="s">
        <v>175</v>
      </c>
      <c r="I876" t="s">
        <v>333</v>
      </c>
      <c r="J876" t="s">
        <v>3054</v>
      </c>
      <c r="K876" t="s">
        <v>37</v>
      </c>
      <c r="L876" t="s">
        <v>80</v>
      </c>
      <c r="M876" t="s">
        <v>93</v>
      </c>
      <c r="N876" t="s">
        <v>57</v>
      </c>
      <c r="O876" s="4">
        <v>3</v>
      </c>
      <c r="P876" s="4">
        <v>10</v>
      </c>
      <c r="Q876" t="s">
        <v>142</v>
      </c>
      <c r="R876" s="2">
        <v>46185</v>
      </c>
      <c r="S876" s="4">
        <v>18</v>
      </c>
      <c r="T876" s="3">
        <v>149000000</v>
      </c>
      <c r="U876" t="s">
        <v>42</v>
      </c>
      <c r="V876" t="s">
        <v>59</v>
      </c>
      <c r="W876" t="s">
        <v>157</v>
      </c>
      <c r="Y876" t="s">
        <v>165</v>
      </c>
      <c r="Z876" t="s">
        <v>3177</v>
      </c>
      <c r="AA876" t="s">
        <v>181</v>
      </c>
      <c r="AB876" t="s">
        <v>63</v>
      </c>
      <c r="AC876" t="s">
        <v>181</v>
      </c>
    </row>
    <row r="877" spans="1:29">
      <c r="A877" t="s">
        <v>1293</v>
      </c>
      <c r="B877" s="2">
        <v>46200</v>
      </c>
      <c r="C877" t="s">
        <v>30</v>
      </c>
      <c r="D877" t="s">
        <v>49</v>
      </c>
      <c r="E877" t="s">
        <v>120</v>
      </c>
      <c r="F877" t="s">
        <v>167</v>
      </c>
      <c r="G877" t="s">
        <v>227</v>
      </c>
      <c r="H877" t="s">
        <v>136</v>
      </c>
      <c r="I877" t="s">
        <v>137</v>
      </c>
      <c r="J877" t="s">
        <v>3017</v>
      </c>
      <c r="K877" t="s">
        <v>37</v>
      </c>
      <c r="L877" t="s">
        <v>80</v>
      </c>
      <c r="M877" t="s">
        <v>93</v>
      </c>
      <c r="N877" t="s">
        <v>40</v>
      </c>
      <c r="O877" s="4">
        <v>2</v>
      </c>
      <c r="P877" s="4">
        <v>8</v>
      </c>
      <c r="Q877" t="s">
        <v>107</v>
      </c>
      <c r="R877" s="2">
        <v>46191</v>
      </c>
      <c r="S877" s="4">
        <v>12</v>
      </c>
      <c r="T877" s="3">
        <v>170000000</v>
      </c>
      <c r="U877" t="s">
        <v>42</v>
      </c>
      <c r="V877" t="s">
        <v>43</v>
      </c>
      <c r="W877" t="s">
        <v>44</v>
      </c>
      <c r="Y877" t="s">
        <v>180</v>
      </c>
      <c r="Z877" t="s">
        <v>3178</v>
      </c>
      <c r="AA877" t="s">
        <v>97</v>
      </c>
      <c r="AB877" t="s">
        <v>87</v>
      </c>
      <c r="AC877" t="s">
        <v>97</v>
      </c>
    </row>
    <row r="878" spans="1:29">
      <c r="A878" t="s">
        <v>1294</v>
      </c>
      <c r="B878" s="2">
        <v>46196</v>
      </c>
      <c r="C878" t="s">
        <v>30</v>
      </c>
      <c r="D878" t="s">
        <v>49</v>
      </c>
      <c r="E878" t="s">
        <v>32</v>
      </c>
      <c r="F878" t="s">
        <v>33</v>
      </c>
      <c r="G878" t="s">
        <v>361</v>
      </c>
      <c r="H878" t="s">
        <v>35</v>
      </c>
      <c r="I878" t="s">
        <v>219</v>
      </c>
      <c r="J878" t="s">
        <v>3028</v>
      </c>
      <c r="K878" t="s">
        <v>105</v>
      </c>
      <c r="L878" t="s">
        <v>187</v>
      </c>
      <c r="M878" t="s">
        <v>39</v>
      </c>
      <c r="N878" t="s">
        <v>57</v>
      </c>
      <c r="O878" s="4">
        <v>3</v>
      </c>
      <c r="P878" s="4">
        <v>3</v>
      </c>
      <c r="Q878" t="s">
        <v>107</v>
      </c>
      <c r="R878" s="2">
        <v>46186</v>
      </c>
      <c r="S878" s="4">
        <v>17</v>
      </c>
      <c r="T878" s="3">
        <v>149000000</v>
      </c>
      <c r="U878" t="s">
        <v>42</v>
      </c>
      <c r="V878" t="s">
        <v>59</v>
      </c>
      <c r="W878" t="s">
        <v>203</v>
      </c>
      <c r="Y878" t="s">
        <v>158</v>
      </c>
      <c r="Z878" t="s">
        <v>3177</v>
      </c>
      <c r="AA878" t="s">
        <v>46</v>
      </c>
      <c r="AB878" t="s">
        <v>63</v>
      </c>
      <c r="AC878" t="s">
        <v>46</v>
      </c>
    </row>
    <row r="879" spans="1:29">
      <c r="A879" t="s">
        <v>1295</v>
      </c>
      <c r="B879" s="2">
        <v>46183</v>
      </c>
      <c r="C879" t="s">
        <v>30</v>
      </c>
      <c r="D879" t="s">
        <v>99</v>
      </c>
      <c r="E879" t="s">
        <v>152</v>
      </c>
      <c r="F879" t="s">
        <v>205</v>
      </c>
      <c r="G879" t="s">
        <v>294</v>
      </c>
      <c r="H879" t="s">
        <v>155</v>
      </c>
      <c r="I879" t="s">
        <v>375</v>
      </c>
      <c r="J879" t="s">
        <v>3067</v>
      </c>
      <c r="K879" t="s">
        <v>37</v>
      </c>
      <c r="L879" t="s">
        <v>187</v>
      </c>
      <c r="M879" t="s">
        <v>129</v>
      </c>
      <c r="N879" t="s">
        <v>130</v>
      </c>
      <c r="O879" s="4">
        <v>5</v>
      </c>
      <c r="P879" s="4">
        <v>9</v>
      </c>
      <c r="Q879" t="s">
        <v>41</v>
      </c>
      <c r="R879" s="2">
        <v>46174</v>
      </c>
      <c r="S879" s="4">
        <v>29</v>
      </c>
      <c r="T879" s="3">
        <v>200000000</v>
      </c>
      <c r="U879" t="s">
        <v>42</v>
      </c>
      <c r="V879" t="s">
        <v>59</v>
      </c>
      <c r="W879" t="s">
        <v>131</v>
      </c>
      <c r="Y879" t="s">
        <v>334</v>
      </c>
      <c r="Z879" t="s">
        <v>3179</v>
      </c>
      <c r="AA879" t="s">
        <v>159</v>
      </c>
      <c r="AB879" t="s">
        <v>97</v>
      </c>
      <c r="AC879" t="s">
        <v>159</v>
      </c>
    </row>
    <row r="880" spans="1:29">
      <c r="A880" t="s">
        <v>1296</v>
      </c>
      <c r="B880" s="2">
        <v>46180</v>
      </c>
      <c r="C880" t="s">
        <v>30</v>
      </c>
      <c r="D880" t="s">
        <v>134</v>
      </c>
      <c r="E880" t="s">
        <v>75</v>
      </c>
      <c r="F880" t="s">
        <v>76</v>
      </c>
      <c r="G880" t="s">
        <v>230</v>
      </c>
      <c r="H880" t="s">
        <v>185</v>
      </c>
      <c r="I880" t="s">
        <v>354</v>
      </c>
      <c r="J880" t="s">
        <v>3061</v>
      </c>
      <c r="K880" t="s">
        <v>92</v>
      </c>
      <c r="L880" t="s">
        <v>68</v>
      </c>
      <c r="M880" t="s">
        <v>106</v>
      </c>
      <c r="N880" t="s">
        <v>57</v>
      </c>
      <c r="O880" s="4">
        <v>3</v>
      </c>
      <c r="P880" s="4">
        <v>9</v>
      </c>
      <c r="Q880" t="s">
        <v>107</v>
      </c>
      <c r="R880" s="2">
        <v>46180</v>
      </c>
      <c r="S880" s="4">
        <v>23</v>
      </c>
      <c r="T880" s="3">
        <v>186000000</v>
      </c>
      <c r="U880" t="s">
        <v>42</v>
      </c>
      <c r="V880" t="s">
        <v>43</v>
      </c>
      <c r="W880" t="s">
        <v>157</v>
      </c>
      <c r="Y880" t="s">
        <v>165</v>
      </c>
      <c r="Z880" t="s">
        <v>3177</v>
      </c>
      <c r="AA880" t="s">
        <v>86</v>
      </c>
      <c r="AB880" t="s">
        <v>63</v>
      </c>
      <c r="AC880" t="s">
        <v>86</v>
      </c>
    </row>
    <row r="881" spans="1:29">
      <c r="A881" t="s">
        <v>1297</v>
      </c>
      <c r="B881" s="2">
        <v>46191</v>
      </c>
      <c r="C881" t="s">
        <v>30</v>
      </c>
      <c r="D881" t="s">
        <v>74</v>
      </c>
      <c r="E881" t="s">
        <v>152</v>
      </c>
      <c r="F881" t="s">
        <v>221</v>
      </c>
      <c r="G881" t="s">
        <v>206</v>
      </c>
      <c r="H881" t="s">
        <v>207</v>
      </c>
      <c r="I881" t="s">
        <v>365</v>
      </c>
      <c r="J881" t="s">
        <v>3063</v>
      </c>
      <c r="K881" t="s">
        <v>37</v>
      </c>
      <c r="L881" t="s">
        <v>187</v>
      </c>
      <c r="M881" t="s">
        <v>93</v>
      </c>
      <c r="N881" t="s">
        <v>40</v>
      </c>
      <c r="O881" s="4">
        <v>2</v>
      </c>
      <c r="P881" s="4">
        <v>16</v>
      </c>
      <c r="Q881" t="s">
        <v>58</v>
      </c>
      <c r="R881" s="2">
        <v>46184</v>
      </c>
      <c r="S881" s="4">
        <v>19</v>
      </c>
      <c r="T881" s="3">
        <v>181000000</v>
      </c>
      <c r="U881" t="s">
        <v>42</v>
      </c>
      <c r="V881" t="s">
        <v>43</v>
      </c>
      <c r="W881" t="s">
        <v>44</v>
      </c>
      <c r="Y881" t="s">
        <v>45</v>
      </c>
      <c r="Z881" t="s">
        <v>3180</v>
      </c>
      <c r="AA881" t="s">
        <v>159</v>
      </c>
      <c r="AB881" t="s">
        <v>193</v>
      </c>
      <c r="AC881" t="s">
        <v>159</v>
      </c>
    </row>
    <row r="882" spans="1:29">
      <c r="A882" t="s">
        <v>1298</v>
      </c>
      <c r="B882" s="2">
        <v>46187</v>
      </c>
      <c r="C882" t="s">
        <v>30</v>
      </c>
      <c r="D882" t="s">
        <v>99</v>
      </c>
      <c r="E882" t="s">
        <v>100</v>
      </c>
      <c r="F882" t="s">
        <v>101</v>
      </c>
      <c r="G882" t="s">
        <v>212</v>
      </c>
      <c r="H882" t="s">
        <v>148</v>
      </c>
      <c r="I882" t="s">
        <v>800</v>
      </c>
      <c r="J882" t="s">
        <v>3156</v>
      </c>
      <c r="K882" t="s">
        <v>37</v>
      </c>
      <c r="L882" t="s">
        <v>55</v>
      </c>
      <c r="M882" t="s">
        <v>56</v>
      </c>
      <c r="N882" t="s">
        <v>130</v>
      </c>
      <c r="O882" s="4">
        <v>5</v>
      </c>
      <c r="P882" s="4">
        <v>17</v>
      </c>
      <c r="Q882" t="s">
        <v>83</v>
      </c>
      <c r="R882" s="2">
        <v>46177</v>
      </c>
      <c r="S882" s="4">
        <v>26</v>
      </c>
      <c r="T882" s="3">
        <v>179000000</v>
      </c>
      <c r="U882" t="s">
        <v>42</v>
      </c>
      <c r="V882" t="s">
        <v>143</v>
      </c>
      <c r="W882" t="s">
        <v>252</v>
      </c>
      <c r="X882" t="s">
        <v>253</v>
      </c>
      <c r="Y882" t="s">
        <v>262</v>
      </c>
      <c r="Z882" t="s">
        <v>3179</v>
      </c>
      <c r="AA882" t="s">
        <v>109</v>
      </c>
      <c r="AB882" t="s">
        <v>97</v>
      </c>
      <c r="AC882" t="s">
        <v>109</v>
      </c>
    </row>
    <row r="883" spans="1:29">
      <c r="A883" t="s">
        <v>1299</v>
      </c>
      <c r="B883" s="2">
        <v>46175</v>
      </c>
      <c r="C883" t="s">
        <v>30</v>
      </c>
      <c r="D883" t="s">
        <v>134</v>
      </c>
      <c r="E883" t="s">
        <v>50</v>
      </c>
      <c r="F883" t="s">
        <v>351</v>
      </c>
      <c r="G883" t="s">
        <v>234</v>
      </c>
      <c r="H883" t="s">
        <v>53</v>
      </c>
      <c r="I883" t="s">
        <v>235</v>
      </c>
      <c r="J883" t="s">
        <v>3032</v>
      </c>
      <c r="K883" t="s">
        <v>92</v>
      </c>
      <c r="L883" t="s">
        <v>38</v>
      </c>
      <c r="M883" t="s">
        <v>106</v>
      </c>
      <c r="N883" t="s">
        <v>57</v>
      </c>
      <c r="O883" s="4">
        <v>3</v>
      </c>
      <c r="P883" s="4">
        <v>5</v>
      </c>
      <c r="Q883" t="s">
        <v>41</v>
      </c>
      <c r="R883" s="2">
        <v>46166</v>
      </c>
      <c r="S883" s="4">
        <v>37</v>
      </c>
      <c r="T883" s="3">
        <v>74000000</v>
      </c>
      <c r="U883" t="s">
        <v>42</v>
      </c>
      <c r="V883" t="s">
        <v>43</v>
      </c>
      <c r="W883" t="s">
        <v>71</v>
      </c>
      <c r="Y883" t="s">
        <v>165</v>
      </c>
      <c r="Z883" t="s">
        <v>3177</v>
      </c>
      <c r="AA883" t="s">
        <v>62</v>
      </c>
      <c r="AB883" t="s">
        <v>63</v>
      </c>
      <c r="AC883" t="s">
        <v>62</v>
      </c>
    </row>
    <row r="884" spans="1:29">
      <c r="A884" t="s">
        <v>1300</v>
      </c>
      <c r="B884" s="2">
        <v>46182</v>
      </c>
      <c r="C884" t="s">
        <v>30</v>
      </c>
      <c r="D884" t="s">
        <v>99</v>
      </c>
      <c r="E884" t="s">
        <v>50</v>
      </c>
      <c r="F884" t="s">
        <v>351</v>
      </c>
      <c r="G884" t="s">
        <v>343</v>
      </c>
      <c r="H884" t="s">
        <v>53</v>
      </c>
      <c r="I884" t="s">
        <v>373</v>
      </c>
      <c r="J884" t="s">
        <v>3066</v>
      </c>
      <c r="K884" t="s">
        <v>37</v>
      </c>
      <c r="L884" t="s">
        <v>38</v>
      </c>
      <c r="M884" t="s">
        <v>129</v>
      </c>
      <c r="N884" t="s">
        <v>40</v>
      </c>
      <c r="O884" s="4">
        <v>2</v>
      </c>
      <c r="P884" s="4">
        <v>13</v>
      </c>
      <c r="Q884" t="s">
        <v>58</v>
      </c>
      <c r="R884" s="2">
        <v>46174</v>
      </c>
      <c r="S884" s="4">
        <v>29</v>
      </c>
      <c r="T884" s="3">
        <v>246000000</v>
      </c>
      <c r="U884" t="s">
        <v>42</v>
      </c>
      <c r="V884" t="s">
        <v>43</v>
      </c>
      <c r="W884" t="s">
        <v>298</v>
      </c>
      <c r="Y884" t="s">
        <v>45</v>
      </c>
      <c r="Z884" t="s">
        <v>3180</v>
      </c>
      <c r="AA884" t="s">
        <v>62</v>
      </c>
      <c r="AB884" t="s">
        <v>193</v>
      </c>
      <c r="AC884" t="s">
        <v>62</v>
      </c>
    </row>
    <row r="885" spans="1:29">
      <c r="A885" t="s">
        <v>1301</v>
      </c>
      <c r="B885" s="2">
        <v>46178</v>
      </c>
      <c r="C885" t="s">
        <v>30</v>
      </c>
      <c r="D885" t="s">
        <v>134</v>
      </c>
      <c r="E885" t="s">
        <v>100</v>
      </c>
      <c r="F885" t="s">
        <v>146</v>
      </c>
      <c r="G885" t="s">
        <v>313</v>
      </c>
      <c r="H885" t="s">
        <v>201</v>
      </c>
      <c r="I885" t="s">
        <v>238</v>
      </c>
      <c r="J885" t="s">
        <v>3033</v>
      </c>
      <c r="K885" t="s">
        <v>37</v>
      </c>
      <c r="L885" t="s">
        <v>150</v>
      </c>
      <c r="M885" t="s">
        <v>56</v>
      </c>
      <c r="N885" t="s">
        <v>196</v>
      </c>
      <c r="O885" s="4">
        <v>7</v>
      </c>
      <c r="P885" s="4">
        <v>21</v>
      </c>
      <c r="Q885" t="s">
        <v>142</v>
      </c>
      <c r="R885" s="2">
        <v>46177</v>
      </c>
      <c r="S885" s="4">
        <v>26</v>
      </c>
      <c r="T885" s="3">
        <v>257000000</v>
      </c>
      <c r="U885" t="s">
        <v>196</v>
      </c>
      <c r="V885" t="s">
        <v>70</v>
      </c>
      <c r="W885" t="s">
        <v>675</v>
      </c>
      <c r="Y885" t="s">
        <v>369</v>
      </c>
      <c r="Z885" t="s">
        <v>3181</v>
      </c>
      <c r="AA885" t="s">
        <v>109</v>
      </c>
      <c r="AB885" t="s">
        <v>199</v>
      </c>
      <c r="AC885" t="s">
        <v>109</v>
      </c>
    </row>
    <row r="886" spans="1:29">
      <c r="A886" t="s">
        <v>1302</v>
      </c>
      <c r="B886" s="2">
        <v>46190</v>
      </c>
      <c r="C886" t="s">
        <v>30</v>
      </c>
      <c r="D886" t="s">
        <v>74</v>
      </c>
      <c r="E886" t="s">
        <v>75</v>
      </c>
      <c r="F886" t="s">
        <v>183</v>
      </c>
      <c r="G886" t="s">
        <v>184</v>
      </c>
      <c r="H886" t="s">
        <v>388</v>
      </c>
      <c r="I886" t="s">
        <v>556</v>
      </c>
      <c r="J886" t="s">
        <v>3118</v>
      </c>
      <c r="K886" t="s">
        <v>105</v>
      </c>
      <c r="L886" t="s">
        <v>55</v>
      </c>
      <c r="M886" t="s">
        <v>56</v>
      </c>
      <c r="N886" t="s">
        <v>196</v>
      </c>
      <c r="O886" s="4">
        <v>7</v>
      </c>
      <c r="P886" s="4">
        <v>12</v>
      </c>
      <c r="Q886" t="s">
        <v>107</v>
      </c>
      <c r="R886" s="2">
        <v>46186</v>
      </c>
      <c r="S886" s="4">
        <v>17</v>
      </c>
      <c r="T886" s="3">
        <v>119000000</v>
      </c>
      <c r="U886" t="s">
        <v>196</v>
      </c>
      <c r="V886" t="s">
        <v>70</v>
      </c>
      <c r="W886" t="s">
        <v>209</v>
      </c>
      <c r="Y886" t="s">
        <v>244</v>
      </c>
      <c r="Z886" t="s">
        <v>3181</v>
      </c>
      <c r="AA886" t="s">
        <v>86</v>
      </c>
      <c r="AB886" t="s">
        <v>199</v>
      </c>
      <c r="AC886" t="s">
        <v>86</v>
      </c>
    </row>
    <row r="887" spans="1:29">
      <c r="A887" t="s">
        <v>1303</v>
      </c>
      <c r="B887" s="2">
        <v>46174</v>
      </c>
      <c r="C887" t="s">
        <v>30</v>
      </c>
      <c r="D887" t="s">
        <v>134</v>
      </c>
      <c r="E887" t="s">
        <v>50</v>
      </c>
      <c r="F887" t="s">
        <v>89</v>
      </c>
      <c r="G887" t="s">
        <v>65</v>
      </c>
      <c r="H887" t="s">
        <v>66</v>
      </c>
      <c r="I887" t="s">
        <v>849</v>
      </c>
      <c r="J887" t="s">
        <v>3162</v>
      </c>
      <c r="K887" t="s">
        <v>37</v>
      </c>
      <c r="L887" t="s">
        <v>80</v>
      </c>
      <c r="M887" t="s">
        <v>93</v>
      </c>
      <c r="N887" t="s">
        <v>40</v>
      </c>
      <c r="O887" s="4">
        <v>2</v>
      </c>
      <c r="P887" s="4">
        <v>13</v>
      </c>
      <c r="Q887" t="s">
        <v>138</v>
      </c>
      <c r="R887" s="2">
        <v>46171</v>
      </c>
      <c r="S887" s="4">
        <v>32</v>
      </c>
      <c r="T887" s="3">
        <v>181000000</v>
      </c>
      <c r="U887" t="s">
        <v>42</v>
      </c>
      <c r="V887" t="s">
        <v>43</v>
      </c>
      <c r="W887" t="s">
        <v>239</v>
      </c>
      <c r="Y887" t="s">
        <v>45</v>
      </c>
      <c r="Z887" t="s">
        <v>3180</v>
      </c>
      <c r="AA887" t="s">
        <v>62</v>
      </c>
      <c r="AB887" t="s">
        <v>193</v>
      </c>
      <c r="AC887" t="s">
        <v>62</v>
      </c>
    </row>
    <row r="888" spans="1:29">
      <c r="A888" t="s">
        <v>1304</v>
      </c>
      <c r="B888" s="2">
        <v>46177</v>
      </c>
      <c r="C888" t="s">
        <v>30</v>
      </c>
      <c r="D888" t="s">
        <v>134</v>
      </c>
      <c r="E888" t="s">
        <v>120</v>
      </c>
      <c r="F888" t="s">
        <v>121</v>
      </c>
      <c r="G888" t="s">
        <v>224</v>
      </c>
      <c r="H888" t="s">
        <v>300</v>
      </c>
      <c r="I888" t="s">
        <v>301</v>
      </c>
      <c r="J888" t="s">
        <v>3045</v>
      </c>
      <c r="K888" t="s">
        <v>37</v>
      </c>
      <c r="L888" t="s">
        <v>38</v>
      </c>
      <c r="M888" t="s">
        <v>81</v>
      </c>
      <c r="N888" t="s">
        <v>94</v>
      </c>
      <c r="O888" s="4">
        <v>4</v>
      </c>
      <c r="P888" s="4">
        <v>12</v>
      </c>
      <c r="Q888" t="s">
        <v>69</v>
      </c>
      <c r="R888" s="2">
        <v>46170</v>
      </c>
      <c r="S888" s="4">
        <v>33</v>
      </c>
      <c r="T888" s="3">
        <v>171000000</v>
      </c>
      <c r="U888" t="s">
        <v>42</v>
      </c>
      <c r="V888" t="s">
        <v>59</v>
      </c>
      <c r="W888" t="s">
        <v>188</v>
      </c>
      <c r="X888" t="s">
        <v>117</v>
      </c>
      <c r="Y888" t="s">
        <v>228</v>
      </c>
      <c r="Z888" t="s">
        <v>3179</v>
      </c>
      <c r="AA888" t="s">
        <v>97</v>
      </c>
      <c r="AB888" t="s">
        <v>97</v>
      </c>
      <c r="AC888" t="s">
        <v>97</v>
      </c>
    </row>
    <row r="889" spans="1:29">
      <c r="A889" t="s">
        <v>1305</v>
      </c>
      <c r="B889" s="2">
        <v>46197</v>
      </c>
      <c r="C889" t="s">
        <v>30</v>
      </c>
      <c r="D889" t="s">
        <v>49</v>
      </c>
      <c r="E889" t="s">
        <v>120</v>
      </c>
      <c r="F889" t="s">
        <v>246</v>
      </c>
      <c r="G889" t="s">
        <v>420</v>
      </c>
      <c r="H889" t="s">
        <v>300</v>
      </c>
      <c r="I889" t="s">
        <v>445</v>
      </c>
      <c r="J889" t="s">
        <v>3087</v>
      </c>
      <c r="K889" t="s">
        <v>37</v>
      </c>
      <c r="L889" t="s">
        <v>150</v>
      </c>
      <c r="M889" t="s">
        <v>106</v>
      </c>
      <c r="N889" t="s">
        <v>94</v>
      </c>
      <c r="O889" s="4">
        <v>4</v>
      </c>
      <c r="P889" s="4">
        <v>6</v>
      </c>
      <c r="Q889" t="s">
        <v>58</v>
      </c>
      <c r="R889" s="2">
        <v>46196</v>
      </c>
      <c r="S889" s="4">
        <v>7</v>
      </c>
      <c r="T889" s="3">
        <v>233000000</v>
      </c>
      <c r="U889" t="s">
        <v>42</v>
      </c>
      <c r="V889" t="s">
        <v>59</v>
      </c>
      <c r="W889" t="s">
        <v>188</v>
      </c>
      <c r="Y889" t="s">
        <v>96</v>
      </c>
      <c r="Z889" t="s">
        <v>3179</v>
      </c>
      <c r="AA889" t="s">
        <v>97</v>
      </c>
      <c r="AB889" t="s">
        <v>97</v>
      </c>
      <c r="AC889" t="s">
        <v>97</v>
      </c>
    </row>
    <row r="890" spans="1:29">
      <c r="A890" t="s">
        <v>1306</v>
      </c>
      <c r="B890" s="2">
        <v>46175</v>
      </c>
      <c r="C890" t="s">
        <v>30</v>
      </c>
      <c r="D890" t="s">
        <v>134</v>
      </c>
      <c r="E890" t="s">
        <v>120</v>
      </c>
      <c r="F890" t="s">
        <v>121</v>
      </c>
      <c r="G890" t="s">
        <v>122</v>
      </c>
      <c r="H890" t="s">
        <v>300</v>
      </c>
      <c r="I890" t="s">
        <v>445</v>
      </c>
      <c r="J890" t="s">
        <v>3087</v>
      </c>
      <c r="K890" t="s">
        <v>105</v>
      </c>
      <c r="L890" t="s">
        <v>68</v>
      </c>
      <c r="M890" t="s">
        <v>39</v>
      </c>
      <c r="N890" t="s">
        <v>130</v>
      </c>
      <c r="O890" s="4">
        <v>5</v>
      </c>
      <c r="P890" s="4">
        <v>11</v>
      </c>
      <c r="Q890" t="s">
        <v>83</v>
      </c>
      <c r="R890" s="2">
        <v>46171</v>
      </c>
      <c r="S890" s="4">
        <v>32</v>
      </c>
      <c r="T890" s="3">
        <v>135000000</v>
      </c>
      <c r="U890" t="s">
        <v>42</v>
      </c>
      <c r="V890" t="s">
        <v>70</v>
      </c>
      <c r="W890" t="s">
        <v>355</v>
      </c>
      <c r="Y890" t="s">
        <v>334</v>
      </c>
      <c r="Z890" t="s">
        <v>3179</v>
      </c>
      <c r="AA890" t="s">
        <v>97</v>
      </c>
      <c r="AB890" t="s">
        <v>97</v>
      </c>
      <c r="AC890" t="s">
        <v>97</v>
      </c>
    </row>
    <row r="891" spans="1:29">
      <c r="A891" t="s">
        <v>1307</v>
      </c>
      <c r="B891" s="2">
        <v>46185</v>
      </c>
      <c r="C891" t="s">
        <v>30</v>
      </c>
      <c r="D891" t="s">
        <v>99</v>
      </c>
      <c r="E891" t="s">
        <v>172</v>
      </c>
      <c r="F891" t="s">
        <v>195</v>
      </c>
      <c r="G891" t="s">
        <v>338</v>
      </c>
      <c r="H891" t="s">
        <v>317</v>
      </c>
      <c r="I891" t="s">
        <v>815</v>
      </c>
      <c r="J891" t="s">
        <v>3158</v>
      </c>
      <c r="K891" t="s">
        <v>37</v>
      </c>
      <c r="L891" t="s">
        <v>187</v>
      </c>
      <c r="M891" t="s">
        <v>81</v>
      </c>
      <c r="N891" t="s">
        <v>57</v>
      </c>
      <c r="O891" s="4">
        <v>3</v>
      </c>
      <c r="P891" s="4">
        <v>3</v>
      </c>
      <c r="Q891" t="s">
        <v>58</v>
      </c>
      <c r="R891" s="2">
        <v>46182</v>
      </c>
      <c r="S891" s="4">
        <v>21</v>
      </c>
      <c r="T891" s="3">
        <v>240000000</v>
      </c>
      <c r="U891" t="s">
        <v>42</v>
      </c>
      <c r="V891" t="s">
        <v>59</v>
      </c>
      <c r="W891" t="s">
        <v>71</v>
      </c>
      <c r="Y891" t="s">
        <v>61</v>
      </c>
      <c r="Z891" t="s">
        <v>3177</v>
      </c>
      <c r="AA891" t="s">
        <v>181</v>
      </c>
      <c r="AB891" t="s">
        <v>63</v>
      </c>
      <c r="AC891" t="s">
        <v>181</v>
      </c>
    </row>
    <row r="892" spans="1:29">
      <c r="A892" t="s">
        <v>1308</v>
      </c>
      <c r="B892" s="2">
        <v>46185</v>
      </c>
      <c r="C892" t="s">
        <v>30</v>
      </c>
      <c r="D892" t="s">
        <v>99</v>
      </c>
      <c r="E892" t="s">
        <v>32</v>
      </c>
      <c r="F892" t="s">
        <v>273</v>
      </c>
      <c r="G892" t="s">
        <v>361</v>
      </c>
      <c r="H892" t="s">
        <v>258</v>
      </c>
      <c r="I892" t="s">
        <v>1008</v>
      </c>
      <c r="J892" t="s">
        <v>3170</v>
      </c>
      <c r="K892" t="s">
        <v>105</v>
      </c>
      <c r="L892" t="s">
        <v>55</v>
      </c>
      <c r="M892" t="s">
        <v>106</v>
      </c>
      <c r="N892" t="s">
        <v>40</v>
      </c>
      <c r="O892" s="4">
        <v>2</v>
      </c>
      <c r="P892" s="4">
        <v>1</v>
      </c>
      <c r="Q892" t="s">
        <v>41</v>
      </c>
      <c r="R892" s="2">
        <v>46180</v>
      </c>
      <c r="S892" s="4">
        <v>23</v>
      </c>
      <c r="T892" s="3">
        <v>211000000</v>
      </c>
      <c r="U892" t="s">
        <v>42</v>
      </c>
      <c r="V892" t="s">
        <v>43</v>
      </c>
      <c r="W892" t="s">
        <v>44</v>
      </c>
      <c r="Y892" t="s">
        <v>180</v>
      </c>
      <c r="Z892" t="s">
        <v>3176</v>
      </c>
      <c r="AA892" t="s">
        <v>46</v>
      </c>
      <c r="AB892" t="s">
        <v>47</v>
      </c>
      <c r="AC892" t="s">
        <v>46</v>
      </c>
    </row>
    <row r="893" spans="1:29">
      <c r="A893" t="s">
        <v>1309</v>
      </c>
      <c r="B893" s="2">
        <v>46179</v>
      </c>
      <c r="C893" t="s">
        <v>30</v>
      </c>
      <c r="D893" t="s">
        <v>134</v>
      </c>
      <c r="E893" t="s">
        <v>50</v>
      </c>
      <c r="F893" t="s">
        <v>351</v>
      </c>
      <c r="G893" t="s">
        <v>65</v>
      </c>
      <c r="H893" t="s">
        <v>53</v>
      </c>
      <c r="I893" t="s">
        <v>307</v>
      </c>
      <c r="J893" t="s">
        <v>3047</v>
      </c>
      <c r="K893" t="s">
        <v>37</v>
      </c>
      <c r="L893" t="s">
        <v>150</v>
      </c>
      <c r="M893" t="s">
        <v>93</v>
      </c>
      <c r="N893" t="s">
        <v>57</v>
      </c>
      <c r="O893" s="4">
        <v>3</v>
      </c>
      <c r="P893" s="4">
        <v>6</v>
      </c>
      <c r="Q893" t="s">
        <v>142</v>
      </c>
      <c r="R893" s="2">
        <v>46171</v>
      </c>
      <c r="S893" s="4">
        <v>32</v>
      </c>
      <c r="T893" s="3">
        <v>135000000</v>
      </c>
      <c r="U893" t="s">
        <v>42</v>
      </c>
      <c r="V893" t="s">
        <v>43</v>
      </c>
      <c r="W893" t="s">
        <v>71</v>
      </c>
      <c r="Y893" t="s">
        <v>165</v>
      </c>
      <c r="Z893" t="s">
        <v>3177</v>
      </c>
      <c r="AA893" t="s">
        <v>62</v>
      </c>
      <c r="AB893" t="s">
        <v>63</v>
      </c>
      <c r="AC893" t="s">
        <v>62</v>
      </c>
    </row>
    <row r="894" spans="1:29">
      <c r="A894" t="s">
        <v>1310</v>
      </c>
      <c r="B894" s="2">
        <v>46175</v>
      </c>
      <c r="C894" t="s">
        <v>30</v>
      </c>
      <c r="D894" t="s">
        <v>134</v>
      </c>
      <c r="E894" t="s">
        <v>75</v>
      </c>
      <c r="F894" t="s">
        <v>183</v>
      </c>
      <c r="G894" t="s">
        <v>184</v>
      </c>
      <c r="H894" t="s">
        <v>388</v>
      </c>
      <c r="I894" t="s">
        <v>409</v>
      </c>
      <c r="J894" t="s">
        <v>3076</v>
      </c>
      <c r="K894" t="s">
        <v>116</v>
      </c>
      <c r="L894" t="s">
        <v>80</v>
      </c>
      <c r="M894" t="s">
        <v>56</v>
      </c>
      <c r="N894" t="s">
        <v>196</v>
      </c>
      <c r="O894" s="4">
        <v>7</v>
      </c>
      <c r="P894" s="4">
        <v>8</v>
      </c>
      <c r="Q894" t="s">
        <v>107</v>
      </c>
      <c r="R894" s="2">
        <v>46172</v>
      </c>
      <c r="S894" s="4">
        <v>31</v>
      </c>
      <c r="T894" s="3">
        <v>101000000</v>
      </c>
      <c r="U894" t="s">
        <v>196</v>
      </c>
      <c r="V894" t="s">
        <v>70</v>
      </c>
      <c r="W894" t="s">
        <v>209</v>
      </c>
      <c r="Y894" t="s">
        <v>244</v>
      </c>
      <c r="Z894" t="s">
        <v>3181</v>
      </c>
      <c r="AA894" t="s">
        <v>86</v>
      </c>
      <c r="AB894" t="s">
        <v>199</v>
      </c>
      <c r="AC894" t="s">
        <v>86</v>
      </c>
    </row>
    <row r="895" spans="1:29">
      <c r="A895" t="s">
        <v>1311</v>
      </c>
      <c r="B895" s="2">
        <v>46188</v>
      </c>
      <c r="C895" t="s">
        <v>30</v>
      </c>
      <c r="D895" t="s">
        <v>74</v>
      </c>
      <c r="E895" t="s">
        <v>111</v>
      </c>
      <c r="F895" t="s">
        <v>264</v>
      </c>
      <c r="G895" t="s">
        <v>348</v>
      </c>
      <c r="H895" t="s">
        <v>191</v>
      </c>
      <c r="I895" t="s">
        <v>606</v>
      </c>
      <c r="J895" t="s">
        <v>3131</v>
      </c>
      <c r="K895" t="s">
        <v>105</v>
      </c>
      <c r="L895" t="s">
        <v>80</v>
      </c>
      <c r="M895" t="s">
        <v>106</v>
      </c>
      <c r="N895" t="s">
        <v>130</v>
      </c>
      <c r="O895" s="4">
        <v>5</v>
      </c>
      <c r="P895" s="4">
        <v>14</v>
      </c>
      <c r="Q895" t="s">
        <v>138</v>
      </c>
      <c r="R895" s="2">
        <v>46187</v>
      </c>
      <c r="S895" s="4">
        <v>16</v>
      </c>
      <c r="T895" s="3">
        <v>191000000</v>
      </c>
      <c r="U895" t="s">
        <v>42</v>
      </c>
      <c r="V895" t="s">
        <v>59</v>
      </c>
      <c r="W895" t="s">
        <v>131</v>
      </c>
      <c r="Y895" t="s">
        <v>132</v>
      </c>
      <c r="Z895" t="s">
        <v>3179</v>
      </c>
      <c r="AA895" t="s">
        <v>118</v>
      </c>
      <c r="AB895" t="s">
        <v>97</v>
      </c>
      <c r="AC895" t="s">
        <v>118</v>
      </c>
    </row>
    <row r="896" spans="1:29">
      <c r="A896" t="s">
        <v>1312</v>
      </c>
      <c r="B896" s="2">
        <v>46198</v>
      </c>
      <c r="C896" t="s">
        <v>30</v>
      </c>
      <c r="D896" t="s">
        <v>49</v>
      </c>
      <c r="E896" t="s">
        <v>50</v>
      </c>
      <c r="F896" t="s">
        <v>51</v>
      </c>
      <c r="G896" t="s">
        <v>234</v>
      </c>
      <c r="H896" t="s">
        <v>66</v>
      </c>
      <c r="I896" t="s">
        <v>849</v>
      </c>
      <c r="J896" t="s">
        <v>3162</v>
      </c>
      <c r="K896" t="s">
        <v>92</v>
      </c>
      <c r="L896" t="s">
        <v>169</v>
      </c>
      <c r="M896" t="s">
        <v>106</v>
      </c>
      <c r="N896" t="s">
        <v>213</v>
      </c>
      <c r="O896" s="4">
        <v>6</v>
      </c>
      <c r="P896" s="4">
        <v>9</v>
      </c>
      <c r="Q896" t="s">
        <v>69</v>
      </c>
      <c r="R896" s="2">
        <v>46193</v>
      </c>
      <c r="S896" s="4">
        <v>10</v>
      </c>
      <c r="T896" s="3">
        <v>117000000</v>
      </c>
      <c r="U896" t="s">
        <v>42</v>
      </c>
      <c r="V896" t="s">
        <v>70</v>
      </c>
      <c r="W896" t="s">
        <v>390</v>
      </c>
      <c r="Y896" t="s">
        <v>424</v>
      </c>
      <c r="Z896" t="s">
        <v>3179</v>
      </c>
      <c r="AA896" t="s">
        <v>62</v>
      </c>
      <c r="AB896" t="s">
        <v>97</v>
      </c>
      <c r="AC896" t="s">
        <v>62</v>
      </c>
    </row>
    <row r="897" spans="1:29">
      <c r="A897" t="s">
        <v>1313</v>
      </c>
      <c r="B897" s="2">
        <v>46175</v>
      </c>
      <c r="C897" t="s">
        <v>30</v>
      </c>
      <c r="D897" t="s">
        <v>134</v>
      </c>
      <c r="E897" t="s">
        <v>111</v>
      </c>
      <c r="F897" t="s">
        <v>190</v>
      </c>
      <c r="G897" t="s">
        <v>348</v>
      </c>
      <c r="H897" t="s">
        <v>114</v>
      </c>
      <c r="I897" t="s">
        <v>115</v>
      </c>
      <c r="J897" t="s">
        <v>3014</v>
      </c>
      <c r="K897" t="s">
        <v>92</v>
      </c>
      <c r="L897" t="s">
        <v>187</v>
      </c>
      <c r="M897" t="s">
        <v>164</v>
      </c>
      <c r="N897" t="s">
        <v>130</v>
      </c>
      <c r="O897" s="4">
        <v>5</v>
      </c>
      <c r="P897" s="4">
        <v>10</v>
      </c>
      <c r="Q897" t="s">
        <v>107</v>
      </c>
      <c r="R897" s="2">
        <v>46172</v>
      </c>
      <c r="S897" s="4">
        <v>31</v>
      </c>
      <c r="T897" s="3">
        <v>218000000</v>
      </c>
      <c r="U897" t="s">
        <v>42</v>
      </c>
      <c r="V897" t="s">
        <v>70</v>
      </c>
      <c r="W897" t="s">
        <v>144</v>
      </c>
      <c r="X897" t="s">
        <v>117</v>
      </c>
      <c r="Y897" t="s">
        <v>262</v>
      </c>
      <c r="Z897" t="s">
        <v>3179</v>
      </c>
      <c r="AA897" t="s">
        <v>118</v>
      </c>
      <c r="AB897" t="s">
        <v>97</v>
      </c>
      <c r="AC897" t="s">
        <v>118</v>
      </c>
    </row>
    <row r="898" spans="1:29">
      <c r="A898" t="s">
        <v>1314</v>
      </c>
      <c r="B898" s="2">
        <v>46177</v>
      </c>
      <c r="C898" t="s">
        <v>30</v>
      </c>
      <c r="D898" t="s">
        <v>134</v>
      </c>
      <c r="E898" t="s">
        <v>152</v>
      </c>
      <c r="F898" t="s">
        <v>205</v>
      </c>
      <c r="G898" t="s">
        <v>206</v>
      </c>
      <c r="H898" t="s">
        <v>283</v>
      </c>
      <c r="I898" t="s">
        <v>393</v>
      </c>
      <c r="J898" t="s">
        <v>3072</v>
      </c>
      <c r="K898" t="s">
        <v>105</v>
      </c>
      <c r="L898" t="s">
        <v>55</v>
      </c>
      <c r="M898" t="s">
        <v>39</v>
      </c>
      <c r="N898" t="s">
        <v>94</v>
      </c>
      <c r="O898" s="4">
        <v>4</v>
      </c>
      <c r="P898" s="4">
        <v>10</v>
      </c>
      <c r="Q898" t="s">
        <v>69</v>
      </c>
      <c r="R898" s="2">
        <v>46172</v>
      </c>
      <c r="S898" s="4">
        <v>31</v>
      </c>
      <c r="T898" s="3">
        <v>296000000</v>
      </c>
      <c r="U898" t="s">
        <v>426</v>
      </c>
      <c r="V898" t="s">
        <v>59</v>
      </c>
      <c r="W898" t="s">
        <v>188</v>
      </c>
      <c r="X898" t="s">
        <v>381</v>
      </c>
      <c r="Y898" t="s">
        <v>96</v>
      </c>
      <c r="Z898" t="s">
        <v>3179</v>
      </c>
      <c r="AA898" t="s">
        <v>159</v>
      </c>
      <c r="AB898" t="s">
        <v>97</v>
      </c>
      <c r="AC898" t="s">
        <v>159</v>
      </c>
    </row>
    <row r="899" spans="1:29">
      <c r="A899" t="s">
        <v>1315</v>
      </c>
      <c r="B899" s="2">
        <v>46198</v>
      </c>
      <c r="C899" t="s">
        <v>30</v>
      </c>
      <c r="D899" t="s">
        <v>49</v>
      </c>
      <c r="E899" t="s">
        <v>50</v>
      </c>
      <c r="F899" t="s">
        <v>351</v>
      </c>
      <c r="G899" t="s">
        <v>234</v>
      </c>
      <c r="H899" t="s">
        <v>53</v>
      </c>
      <c r="I899" t="s">
        <v>54</v>
      </c>
      <c r="J899" t="s">
        <v>3009</v>
      </c>
      <c r="K899" t="s">
        <v>37</v>
      </c>
      <c r="L899" t="s">
        <v>38</v>
      </c>
      <c r="M899" t="s">
        <v>81</v>
      </c>
      <c r="N899" t="s">
        <v>94</v>
      </c>
      <c r="O899" s="4">
        <v>4</v>
      </c>
      <c r="P899" s="4">
        <v>15</v>
      </c>
      <c r="Q899" t="s">
        <v>41</v>
      </c>
      <c r="R899" s="2">
        <v>46194</v>
      </c>
      <c r="S899" s="4">
        <v>9</v>
      </c>
      <c r="T899" s="3">
        <v>264000000</v>
      </c>
      <c r="U899" t="s">
        <v>42</v>
      </c>
      <c r="V899" t="s">
        <v>59</v>
      </c>
      <c r="W899" t="s">
        <v>170</v>
      </c>
      <c r="X899" t="s">
        <v>117</v>
      </c>
      <c r="Y899" t="s">
        <v>228</v>
      </c>
      <c r="Z899" t="s">
        <v>3179</v>
      </c>
      <c r="AA899" t="s">
        <v>62</v>
      </c>
      <c r="AB899" t="s">
        <v>97</v>
      </c>
      <c r="AC899" t="s">
        <v>62</v>
      </c>
    </row>
    <row r="900" spans="1:29">
      <c r="A900" t="s">
        <v>1316</v>
      </c>
      <c r="B900" s="2">
        <v>46188</v>
      </c>
      <c r="C900" t="s">
        <v>30</v>
      </c>
      <c r="D900" t="s">
        <v>74</v>
      </c>
      <c r="E900" t="s">
        <v>50</v>
      </c>
      <c r="F900" t="s">
        <v>89</v>
      </c>
      <c r="G900" t="s">
        <v>52</v>
      </c>
      <c r="H900" t="s">
        <v>90</v>
      </c>
      <c r="I900" t="s">
        <v>585</v>
      </c>
      <c r="J900" t="s">
        <v>3126</v>
      </c>
      <c r="K900" t="s">
        <v>105</v>
      </c>
      <c r="L900" t="s">
        <v>80</v>
      </c>
      <c r="M900" t="s">
        <v>93</v>
      </c>
      <c r="N900" t="s">
        <v>130</v>
      </c>
      <c r="O900" s="4">
        <v>5</v>
      </c>
      <c r="P900" s="4">
        <v>15</v>
      </c>
      <c r="Q900" t="s">
        <v>142</v>
      </c>
      <c r="R900" s="2">
        <v>46188</v>
      </c>
      <c r="S900" s="4">
        <v>15</v>
      </c>
      <c r="T900" s="3">
        <v>285000000</v>
      </c>
      <c r="U900" t="s">
        <v>260</v>
      </c>
      <c r="V900" t="s">
        <v>59</v>
      </c>
      <c r="W900" t="s">
        <v>131</v>
      </c>
      <c r="X900" t="s">
        <v>422</v>
      </c>
      <c r="Y900" t="s">
        <v>262</v>
      </c>
      <c r="Z900" t="s">
        <v>3179</v>
      </c>
      <c r="AA900" t="s">
        <v>62</v>
      </c>
      <c r="AB900" t="s">
        <v>97</v>
      </c>
      <c r="AC900" t="s">
        <v>62</v>
      </c>
    </row>
    <row r="901" spans="1:29">
      <c r="A901" t="s">
        <v>1317</v>
      </c>
      <c r="B901" s="2">
        <v>46200</v>
      </c>
      <c r="C901" t="s">
        <v>30</v>
      </c>
      <c r="D901" t="s">
        <v>49</v>
      </c>
      <c r="E901" t="s">
        <v>111</v>
      </c>
      <c r="F901" t="s">
        <v>264</v>
      </c>
      <c r="G901" t="s">
        <v>265</v>
      </c>
      <c r="H901" t="s">
        <v>191</v>
      </c>
      <c r="I901" t="s">
        <v>643</v>
      </c>
      <c r="J901" t="s">
        <v>3138</v>
      </c>
      <c r="K901" t="s">
        <v>37</v>
      </c>
      <c r="L901" t="s">
        <v>80</v>
      </c>
      <c r="M901" t="s">
        <v>106</v>
      </c>
      <c r="N901" t="s">
        <v>94</v>
      </c>
      <c r="O901" s="4">
        <v>4</v>
      </c>
      <c r="P901" s="4">
        <v>10</v>
      </c>
      <c r="Q901" t="s">
        <v>69</v>
      </c>
      <c r="R901" s="2">
        <v>46191</v>
      </c>
      <c r="S901" s="4">
        <v>12</v>
      </c>
      <c r="T901" s="3">
        <v>175000000</v>
      </c>
      <c r="U901" t="s">
        <v>42</v>
      </c>
      <c r="V901" t="s">
        <v>59</v>
      </c>
      <c r="W901" t="s">
        <v>170</v>
      </c>
      <c r="Y901" t="s">
        <v>96</v>
      </c>
      <c r="Z901" t="s">
        <v>3179</v>
      </c>
      <c r="AA901" t="s">
        <v>118</v>
      </c>
      <c r="AB901" t="s">
        <v>97</v>
      </c>
      <c r="AC901" t="s">
        <v>118</v>
      </c>
    </row>
    <row r="902" spans="1:29">
      <c r="A902" t="s">
        <v>1318</v>
      </c>
      <c r="B902" s="2">
        <v>46187</v>
      </c>
      <c r="C902" t="s">
        <v>30</v>
      </c>
      <c r="D902" t="s">
        <v>99</v>
      </c>
      <c r="E902" t="s">
        <v>32</v>
      </c>
      <c r="F902" t="s">
        <v>273</v>
      </c>
      <c r="G902" t="s">
        <v>361</v>
      </c>
      <c r="H902" t="s">
        <v>303</v>
      </c>
      <c r="I902" t="s">
        <v>464</v>
      </c>
      <c r="J902" t="s">
        <v>3095</v>
      </c>
      <c r="K902" t="s">
        <v>56</v>
      </c>
      <c r="L902" t="s">
        <v>150</v>
      </c>
      <c r="M902" t="s">
        <v>106</v>
      </c>
      <c r="N902" t="s">
        <v>82</v>
      </c>
      <c r="O902" s="4">
        <v>1</v>
      </c>
      <c r="P902" s="4">
        <v>10</v>
      </c>
      <c r="Q902" t="s">
        <v>69</v>
      </c>
      <c r="R902" s="2">
        <v>46179</v>
      </c>
      <c r="S902" s="4">
        <v>24</v>
      </c>
      <c r="T902" s="3">
        <v>330000000</v>
      </c>
      <c r="U902" t="s">
        <v>42</v>
      </c>
      <c r="V902" t="s">
        <v>43</v>
      </c>
      <c r="W902" t="s">
        <v>84</v>
      </c>
      <c r="Y902" t="s">
        <v>305</v>
      </c>
      <c r="Z902" t="s">
        <v>3178</v>
      </c>
      <c r="AA902" t="s">
        <v>46</v>
      </c>
      <c r="AB902" t="s">
        <v>87</v>
      </c>
      <c r="AC902" t="s">
        <v>46</v>
      </c>
    </row>
    <row r="903" spans="1:29">
      <c r="A903" t="s">
        <v>1319</v>
      </c>
      <c r="B903" s="2">
        <v>46180</v>
      </c>
      <c r="C903" t="s">
        <v>30</v>
      </c>
      <c r="D903" t="s">
        <v>134</v>
      </c>
      <c r="E903" t="s">
        <v>152</v>
      </c>
      <c r="F903" t="s">
        <v>205</v>
      </c>
      <c r="G903" t="s">
        <v>286</v>
      </c>
      <c r="H903" t="s">
        <v>155</v>
      </c>
      <c r="I903" t="s">
        <v>537</v>
      </c>
      <c r="J903" t="s">
        <v>3113</v>
      </c>
      <c r="K903" t="s">
        <v>37</v>
      </c>
      <c r="L903" t="s">
        <v>187</v>
      </c>
      <c r="M903" t="s">
        <v>39</v>
      </c>
      <c r="N903" t="s">
        <v>82</v>
      </c>
      <c r="O903" s="4">
        <v>1</v>
      </c>
      <c r="P903" s="4">
        <v>12</v>
      </c>
      <c r="Q903" t="s">
        <v>58</v>
      </c>
      <c r="R903" s="2">
        <v>46172</v>
      </c>
      <c r="S903" s="4">
        <v>31</v>
      </c>
      <c r="T903" s="3">
        <v>260000000</v>
      </c>
      <c r="U903" t="s">
        <v>42</v>
      </c>
      <c r="V903" t="s">
        <v>59</v>
      </c>
      <c r="W903" t="s">
        <v>404</v>
      </c>
      <c r="Y903" t="s">
        <v>291</v>
      </c>
      <c r="Z903" t="s">
        <v>3180</v>
      </c>
      <c r="AA903" t="s">
        <v>159</v>
      </c>
      <c r="AB903" t="s">
        <v>193</v>
      </c>
      <c r="AC903" t="s">
        <v>159</v>
      </c>
    </row>
    <row r="904" spans="1:29">
      <c r="A904" t="s">
        <v>1320</v>
      </c>
      <c r="B904" s="2">
        <v>46189</v>
      </c>
      <c r="C904" t="s">
        <v>30</v>
      </c>
      <c r="D904" t="s">
        <v>74</v>
      </c>
      <c r="E904" t="s">
        <v>111</v>
      </c>
      <c r="F904" t="s">
        <v>264</v>
      </c>
      <c r="G904" t="s">
        <v>251</v>
      </c>
      <c r="H904" t="s">
        <v>114</v>
      </c>
      <c r="I904" t="s">
        <v>383</v>
      </c>
      <c r="J904" t="s">
        <v>3070</v>
      </c>
      <c r="K904" t="s">
        <v>116</v>
      </c>
      <c r="L904" t="s">
        <v>80</v>
      </c>
      <c r="M904" t="s">
        <v>81</v>
      </c>
      <c r="N904" t="s">
        <v>213</v>
      </c>
      <c r="O904" s="4">
        <v>6</v>
      </c>
      <c r="P904" s="4">
        <v>14</v>
      </c>
      <c r="Q904" t="s">
        <v>142</v>
      </c>
      <c r="R904" s="2">
        <v>46189</v>
      </c>
      <c r="S904" s="4">
        <v>14</v>
      </c>
      <c r="T904" s="3">
        <v>108000000</v>
      </c>
      <c r="U904" t="s">
        <v>214</v>
      </c>
      <c r="V904" t="s">
        <v>59</v>
      </c>
      <c r="W904" t="s">
        <v>390</v>
      </c>
      <c r="Y904" t="s">
        <v>249</v>
      </c>
      <c r="Z904" t="s">
        <v>3179</v>
      </c>
      <c r="AA904" t="s">
        <v>118</v>
      </c>
      <c r="AB904" t="s">
        <v>97</v>
      </c>
      <c r="AC904" t="s">
        <v>118</v>
      </c>
    </row>
    <row r="905" spans="1:29">
      <c r="A905" t="s">
        <v>1321</v>
      </c>
      <c r="B905" s="2">
        <v>46176</v>
      </c>
      <c r="C905" t="s">
        <v>30</v>
      </c>
      <c r="D905" t="s">
        <v>134</v>
      </c>
      <c r="E905" t="s">
        <v>152</v>
      </c>
      <c r="F905" t="s">
        <v>205</v>
      </c>
      <c r="G905" t="s">
        <v>154</v>
      </c>
      <c r="H905" t="s">
        <v>155</v>
      </c>
      <c r="I905" t="s">
        <v>375</v>
      </c>
      <c r="J905" t="s">
        <v>3067</v>
      </c>
      <c r="K905" t="s">
        <v>37</v>
      </c>
      <c r="L905" t="s">
        <v>80</v>
      </c>
      <c r="M905" t="s">
        <v>56</v>
      </c>
      <c r="N905" t="s">
        <v>130</v>
      </c>
      <c r="O905" s="4">
        <v>5</v>
      </c>
      <c r="P905" s="4">
        <v>18</v>
      </c>
      <c r="Q905" t="s">
        <v>142</v>
      </c>
      <c r="R905" s="2">
        <v>46174</v>
      </c>
      <c r="S905" s="4">
        <v>29</v>
      </c>
      <c r="T905" s="3">
        <v>238000000</v>
      </c>
      <c r="U905" t="s">
        <v>42</v>
      </c>
      <c r="V905" t="s">
        <v>70</v>
      </c>
      <c r="W905" t="s">
        <v>144</v>
      </c>
      <c r="Y905" t="s">
        <v>254</v>
      </c>
      <c r="Z905" t="s">
        <v>3179</v>
      </c>
      <c r="AA905" t="s">
        <v>159</v>
      </c>
      <c r="AB905" t="s">
        <v>97</v>
      </c>
      <c r="AC905" t="s">
        <v>159</v>
      </c>
    </row>
    <row r="906" spans="1:29">
      <c r="A906" t="s">
        <v>1322</v>
      </c>
      <c r="B906" s="2">
        <v>46174</v>
      </c>
      <c r="C906" t="s">
        <v>30</v>
      </c>
      <c r="D906" t="s">
        <v>134</v>
      </c>
      <c r="E906" t="s">
        <v>152</v>
      </c>
      <c r="F906" t="s">
        <v>153</v>
      </c>
      <c r="G906" t="s">
        <v>294</v>
      </c>
      <c r="H906" t="s">
        <v>155</v>
      </c>
      <c r="I906" t="s">
        <v>443</v>
      </c>
      <c r="J906" t="s">
        <v>3086</v>
      </c>
      <c r="K906" t="s">
        <v>105</v>
      </c>
      <c r="L906" t="s">
        <v>55</v>
      </c>
      <c r="M906" t="s">
        <v>106</v>
      </c>
      <c r="N906" t="s">
        <v>130</v>
      </c>
      <c r="O906" s="4">
        <v>5</v>
      </c>
      <c r="P906" s="4">
        <v>10</v>
      </c>
      <c r="Q906" t="s">
        <v>83</v>
      </c>
      <c r="R906" s="2">
        <v>46164</v>
      </c>
      <c r="S906" s="4">
        <v>39</v>
      </c>
      <c r="T906" s="3">
        <v>259000000</v>
      </c>
      <c r="U906" t="s">
        <v>42</v>
      </c>
      <c r="V906" t="s">
        <v>59</v>
      </c>
      <c r="W906" t="s">
        <v>252</v>
      </c>
      <c r="Y906" t="s">
        <v>132</v>
      </c>
      <c r="Z906" t="s">
        <v>3179</v>
      </c>
      <c r="AA906" t="s">
        <v>159</v>
      </c>
      <c r="AB906" t="s">
        <v>97</v>
      </c>
      <c r="AC906" t="s">
        <v>159</v>
      </c>
    </row>
    <row r="907" spans="1:29">
      <c r="A907" t="s">
        <v>1323</v>
      </c>
      <c r="B907" s="2">
        <v>46182</v>
      </c>
      <c r="C907" t="s">
        <v>30</v>
      </c>
      <c r="D907" t="s">
        <v>99</v>
      </c>
      <c r="E907" t="s">
        <v>111</v>
      </c>
      <c r="F907" t="s">
        <v>112</v>
      </c>
      <c r="G907" t="s">
        <v>251</v>
      </c>
      <c r="H907" t="s">
        <v>191</v>
      </c>
      <c r="I907" t="s">
        <v>578</v>
      </c>
      <c r="J907" t="s">
        <v>3124</v>
      </c>
      <c r="K907" t="s">
        <v>92</v>
      </c>
      <c r="L907" t="s">
        <v>150</v>
      </c>
      <c r="M907" t="s">
        <v>56</v>
      </c>
      <c r="N907" t="s">
        <v>213</v>
      </c>
      <c r="O907" s="4">
        <v>6</v>
      </c>
      <c r="P907" s="4">
        <v>15</v>
      </c>
      <c r="Q907" t="s">
        <v>41</v>
      </c>
      <c r="R907" s="2">
        <v>46175</v>
      </c>
      <c r="S907" s="4">
        <v>28</v>
      </c>
      <c r="T907" s="3">
        <v>200000000</v>
      </c>
      <c r="U907" t="s">
        <v>214</v>
      </c>
      <c r="V907" t="s">
        <v>70</v>
      </c>
      <c r="W907" t="s">
        <v>438</v>
      </c>
      <c r="Y907" t="s">
        <v>216</v>
      </c>
      <c r="Z907" t="s">
        <v>3179</v>
      </c>
      <c r="AA907" t="s">
        <v>118</v>
      </c>
      <c r="AB907" t="s">
        <v>97</v>
      </c>
      <c r="AC907" t="s">
        <v>118</v>
      </c>
    </row>
    <row r="908" spans="1:29">
      <c r="A908" t="s">
        <v>1324</v>
      </c>
      <c r="B908" s="2">
        <v>46183</v>
      </c>
      <c r="C908" t="s">
        <v>30</v>
      </c>
      <c r="D908" t="s">
        <v>99</v>
      </c>
      <c r="E908" t="s">
        <v>152</v>
      </c>
      <c r="F908" t="s">
        <v>205</v>
      </c>
      <c r="G908" t="s">
        <v>294</v>
      </c>
      <c r="H908" t="s">
        <v>207</v>
      </c>
      <c r="I908" t="s">
        <v>571</v>
      </c>
      <c r="J908" t="s">
        <v>3122</v>
      </c>
      <c r="K908" t="s">
        <v>37</v>
      </c>
      <c r="L908" t="s">
        <v>68</v>
      </c>
      <c r="M908" t="s">
        <v>81</v>
      </c>
      <c r="N908" t="s">
        <v>82</v>
      </c>
      <c r="O908" s="4">
        <v>1</v>
      </c>
      <c r="P908" s="4">
        <v>15</v>
      </c>
      <c r="Q908" t="s">
        <v>138</v>
      </c>
      <c r="R908" s="2">
        <v>46174</v>
      </c>
      <c r="S908" s="4">
        <v>29</v>
      </c>
      <c r="T908" s="3">
        <v>177000000</v>
      </c>
      <c r="U908" t="s">
        <v>42</v>
      </c>
      <c r="V908" t="s">
        <v>43</v>
      </c>
      <c r="W908" t="s">
        <v>290</v>
      </c>
      <c r="Y908" t="s">
        <v>85</v>
      </c>
      <c r="Z908" t="s">
        <v>3180</v>
      </c>
      <c r="AA908" t="s">
        <v>159</v>
      </c>
      <c r="AB908" t="s">
        <v>193</v>
      </c>
      <c r="AC908" t="s">
        <v>159</v>
      </c>
    </row>
    <row r="909" spans="1:29">
      <c r="A909" t="s">
        <v>1325</v>
      </c>
      <c r="B909" s="2">
        <v>46187</v>
      </c>
      <c r="C909" t="s">
        <v>30</v>
      </c>
      <c r="D909" t="s">
        <v>99</v>
      </c>
      <c r="E909" t="s">
        <v>172</v>
      </c>
      <c r="F909" t="s">
        <v>173</v>
      </c>
      <c r="G909" t="s">
        <v>476</v>
      </c>
      <c r="H909" t="s">
        <v>241</v>
      </c>
      <c r="I909" t="s">
        <v>242</v>
      </c>
      <c r="J909" t="s">
        <v>3034</v>
      </c>
      <c r="K909" t="s">
        <v>37</v>
      </c>
      <c r="L909" t="s">
        <v>68</v>
      </c>
      <c r="M909" t="s">
        <v>56</v>
      </c>
      <c r="N909" t="s">
        <v>40</v>
      </c>
      <c r="O909" s="4">
        <v>2</v>
      </c>
      <c r="P909" s="4">
        <v>10</v>
      </c>
      <c r="Q909" t="s">
        <v>41</v>
      </c>
      <c r="R909" s="2">
        <v>46183</v>
      </c>
      <c r="S909" s="4">
        <v>20</v>
      </c>
      <c r="T909" s="3">
        <v>72000000</v>
      </c>
      <c r="U909" t="s">
        <v>42</v>
      </c>
      <c r="V909" t="s">
        <v>43</v>
      </c>
      <c r="W909" t="s">
        <v>178</v>
      </c>
      <c r="Y909" t="s">
        <v>309</v>
      </c>
      <c r="Z909" t="s">
        <v>3178</v>
      </c>
      <c r="AA909" t="s">
        <v>181</v>
      </c>
      <c r="AB909" t="s">
        <v>87</v>
      </c>
      <c r="AC909" t="s">
        <v>181</v>
      </c>
    </row>
    <row r="910" spans="1:29">
      <c r="A910" t="s">
        <v>1326</v>
      </c>
      <c r="B910" s="2">
        <v>46184</v>
      </c>
      <c r="C910" t="s">
        <v>30</v>
      </c>
      <c r="D910" t="s">
        <v>99</v>
      </c>
      <c r="E910" t="s">
        <v>75</v>
      </c>
      <c r="F910" t="s">
        <v>161</v>
      </c>
      <c r="G910" t="s">
        <v>77</v>
      </c>
      <c r="H910" t="s">
        <v>388</v>
      </c>
      <c r="I910" t="s">
        <v>661</v>
      </c>
      <c r="J910" t="s">
        <v>3144</v>
      </c>
      <c r="K910" t="s">
        <v>56</v>
      </c>
      <c r="L910" t="s">
        <v>80</v>
      </c>
      <c r="M910" t="s">
        <v>106</v>
      </c>
      <c r="N910" t="s">
        <v>213</v>
      </c>
      <c r="O910" s="4">
        <v>6</v>
      </c>
      <c r="P910" s="4">
        <v>10</v>
      </c>
      <c r="Q910" t="s">
        <v>138</v>
      </c>
      <c r="R910" s="2">
        <v>46184</v>
      </c>
      <c r="S910" s="4">
        <v>19</v>
      </c>
      <c r="T910" s="3">
        <v>91000000</v>
      </c>
      <c r="U910" t="s">
        <v>214</v>
      </c>
      <c r="V910" t="s">
        <v>70</v>
      </c>
      <c r="W910" t="s">
        <v>390</v>
      </c>
      <c r="Y910" t="s">
        <v>432</v>
      </c>
      <c r="Z910" t="s">
        <v>3179</v>
      </c>
      <c r="AA910" t="s">
        <v>86</v>
      </c>
      <c r="AB910" t="s">
        <v>97</v>
      </c>
      <c r="AC910" t="s">
        <v>86</v>
      </c>
    </row>
    <row r="911" spans="1:29">
      <c r="A911" t="s">
        <v>1327</v>
      </c>
      <c r="B911" s="2">
        <v>46174</v>
      </c>
      <c r="C911" t="s">
        <v>30</v>
      </c>
      <c r="D911" t="s">
        <v>134</v>
      </c>
      <c r="E911" t="s">
        <v>50</v>
      </c>
      <c r="F911" t="s">
        <v>89</v>
      </c>
      <c r="G911" t="s">
        <v>343</v>
      </c>
      <c r="H911" t="s">
        <v>53</v>
      </c>
      <c r="I911" t="s">
        <v>271</v>
      </c>
      <c r="J911" t="s">
        <v>3038</v>
      </c>
      <c r="K911" t="s">
        <v>92</v>
      </c>
      <c r="L911" t="s">
        <v>80</v>
      </c>
      <c r="M911" t="s">
        <v>93</v>
      </c>
      <c r="N911" t="s">
        <v>40</v>
      </c>
      <c r="O911" s="4">
        <v>2</v>
      </c>
      <c r="P911" s="4">
        <v>6</v>
      </c>
      <c r="Q911" t="s">
        <v>107</v>
      </c>
      <c r="R911" s="2">
        <v>46165</v>
      </c>
      <c r="S911" s="4">
        <v>38</v>
      </c>
      <c r="T911" s="3">
        <v>214000000</v>
      </c>
      <c r="U911" t="s">
        <v>42</v>
      </c>
      <c r="V911" t="s">
        <v>43</v>
      </c>
      <c r="W911" t="s">
        <v>298</v>
      </c>
      <c r="Y911" t="s">
        <v>281</v>
      </c>
      <c r="Z911" t="s">
        <v>3178</v>
      </c>
      <c r="AA911" t="s">
        <v>62</v>
      </c>
      <c r="AB911" t="s">
        <v>87</v>
      </c>
      <c r="AC911" t="s">
        <v>62</v>
      </c>
    </row>
    <row r="912" spans="1:29">
      <c r="A912" t="s">
        <v>1328</v>
      </c>
      <c r="B912" s="2">
        <v>46186</v>
      </c>
      <c r="C912" t="s">
        <v>30</v>
      </c>
      <c r="D912" t="s">
        <v>99</v>
      </c>
      <c r="E912" t="s">
        <v>75</v>
      </c>
      <c r="F912" t="s">
        <v>76</v>
      </c>
      <c r="G912" t="s">
        <v>387</v>
      </c>
      <c r="H912" t="s">
        <v>388</v>
      </c>
      <c r="I912" t="s">
        <v>389</v>
      </c>
      <c r="J912" t="s">
        <v>3071</v>
      </c>
      <c r="K912" t="s">
        <v>116</v>
      </c>
      <c r="L912" t="s">
        <v>80</v>
      </c>
      <c r="M912" t="s">
        <v>106</v>
      </c>
      <c r="N912" t="s">
        <v>57</v>
      </c>
      <c r="O912" s="4">
        <v>3</v>
      </c>
      <c r="P912" s="4">
        <v>4</v>
      </c>
      <c r="Q912" t="s">
        <v>142</v>
      </c>
      <c r="R912" s="2">
        <v>46183</v>
      </c>
      <c r="S912" s="4">
        <v>20</v>
      </c>
      <c r="T912" s="3">
        <v>177000000</v>
      </c>
      <c r="U912" t="s">
        <v>42</v>
      </c>
      <c r="V912" t="s">
        <v>59</v>
      </c>
      <c r="W912" t="s">
        <v>203</v>
      </c>
      <c r="Y912" t="s">
        <v>72</v>
      </c>
      <c r="Z912" t="s">
        <v>3177</v>
      </c>
      <c r="AA912" t="s">
        <v>86</v>
      </c>
      <c r="AB912" t="s">
        <v>63</v>
      </c>
      <c r="AC912" t="s">
        <v>86</v>
      </c>
    </row>
    <row r="913" spans="1:29">
      <c r="A913" t="s">
        <v>1329</v>
      </c>
      <c r="B913" s="2">
        <v>46199</v>
      </c>
      <c r="C913" t="s">
        <v>30</v>
      </c>
      <c r="D913" t="s">
        <v>49</v>
      </c>
      <c r="E913" t="s">
        <v>50</v>
      </c>
      <c r="F913" t="s">
        <v>351</v>
      </c>
      <c r="G913" t="s">
        <v>343</v>
      </c>
      <c r="H913" t="s">
        <v>66</v>
      </c>
      <c r="I913" t="s">
        <v>344</v>
      </c>
      <c r="J913" t="s">
        <v>3057</v>
      </c>
      <c r="K913" t="s">
        <v>105</v>
      </c>
      <c r="L913" t="s">
        <v>68</v>
      </c>
      <c r="M913" t="s">
        <v>106</v>
      </c>
      <c r="N913" t="s">
        <v>94</v>
      </c>
      <c r="O913" s="4">
        <v>4</v>
      </c>
      <c r="P913" s="4">
        <v>8</v>
      </c>
      <c r="Q913" t="s">
        <v>107</v>
      </c>
      <c r="R913" s="2">
        <v>46195</v>
      </c>
      <c r="S913" s="4">
        <v>8</v>
      </c>
      <c r="T913" s="3">
        <v>163000000</v>
      </c>
      <c r="U913" t="s">
        <v>42</v>
      </c>
      <c r="V913" t="s">
        <v>59</v>
      </c>
      <c r="W913" t="s">
        <v>95</v>
      </c>
      <c r="Y913" t="s">
        <v>268</v>
      </c>
      <c r="Z913" t="s">
        <v>3179</v>
      </c>
      <c r="AA913" t="s">
        <v>62</v>
      </c>
      <c r="AB913" t="s">
        <v>97</v>
      </c>
      <c r="AC913" t="s">
        <v>62</v>
      </c>
    </row>
    <row r="914" spans="1:29">
      <c r="A914" t="s">
        <v>1330</v>
      </c>
      <c r="B914" s="2">
        <v>46178</v>
      </c>
      <c r="C914" t="s">
        <v>30</v>
      </c>
      <c r="D914" t="s">
        <v>134</v>
      </c>
      <c r="E914" t="s">
        <v>50</v>
      </c>
      <c r="F914" t="s">
        <v>51</v>
      </c>
      <c r="G914" t="s">
        <v>343</v>
      </c>
      <c r="H914" t="s">
        <v>66</v>
      </c>
      <c r="I914" t="s">
        <v>849</v>
      </c>
      <c r="J914" t="s">
        <v>3162</v>
      </c>
      <c r="K914" t="s">
        <v>56</v>
      </c>
      <c r="L914" t="s">
        <v>55</v>
      </c>
      <c r="M914" t="s">
        <v>39</v>
      </c>
      <c r="N914" t="s">
        <v>196</v>
      </c>
      <c r="O914" s="4">
        <v>7</v>
      </c>
      <c r="P914" s="4">
        <v>10</v>
      </c>
      <c r="Q914" t="s">
        <v>58</v>
      </c>
      <c r="R914" s="2">
        <v>46178</v>
      </c>
      <c r="S914" s="4">
        <v>25</v>
      </c>
      <c r="T914" s="3">
        <v>177000000</v>
      </c>
      <c r="U914" t="s">
        <v>196</v>
      </c>
      <c r="V914" t="s">
        <v>70</v>
      </c>
      <c r="W914" t="s">
        <v>675</v>
      </c>
      <c r="Y914" t="s">
        <v>369</v>
      </c>
      <c r="Z914" t="s">
        <v>3181</v>
      </c>
      <c r="AA914" t="s">
        <v>62</v>
      </c>
      <c r="AB914" t="s">
        <v>199</v>
      </c>
      <c r="AC914" t="s">
        <v>62</v>
      </c>
    </row>
    <row r="915" spans="1:29">
      <c r="A915" t="s">
        <v>1331</v>
      </c>
      <c r="B915" s="2">
        <v>46198</v>
      </c>
      <c r="C915" t="s">
        <v>30</v>
      </c>
      <c r="D915" t="s">
        <v>49</v>
      </c>
      <c r="E915" t="s">
        <v>75</v>
      </c>
      <c r="F915" t="s">
        <v>161</v>
      </c>
      <c r="G915" t="s">
        <v>77</v>
      </c>
      <c r="H915" t="s">
        <v>78</v>
      </c>
      <c r="I915" t="s">
        <v>163</v>
      </c>
      <c r="J915" t="s">
        <v>3021</v>
      </c>
      <c r="K915" t="s">
        <v>105</v>
      </c>
      <c r="L915" t="s">
        <v>68</v>
      </c>
      <c r="M915" t="s">
        <v>164</v>
      </c>
      <c r="N915" t="s">
        <v>94</v>
      </c>
      <c r="O915" s="4">
        <v>4</v>
      </c>
      <c r="P915" s="4">
        <v>5</v>
      </c>
      <c r="Q915" t="s">
        <v>58</v>
      </c>
      <c r="R915" s="2">
        <v>46194</v>
      </c>
      <c r="S915" s="4">
        <v>9</v>
      </c>
      <c r="T915" s="3">
        <v>279000000</v>
      </c>
      <c r="U915" t="s">
        <v>42</v>
      </c>
      <c r="V915" t="s">
        <v>59</v>
      </c>
      <c r="W915" t="s">
        <v>170</v>
      </c>
      <c r="X915" t="s">
        <v>117</v>
      </c>
      <c r="Y915" t="s">
        <v>268</v>
      </c>
      <c r="Z915" t="s">
        <v>3179</v>
      </c>
      <c r="AA915" t="s">
        <v>86</v>
      </c>
      <c r="AB915" t="s">
        <v>97</v>
      </c>
      <c r="AC915" t="s">
        <v>86</v>
      </c>
    </row>
    <row r="916" spans="1:29">
      <c r="A916" t="s">
        <v>1332</v>
      </c>
      <c r="B916" s="2">
        <v>46193</v>
      </c>
      <c r="C916" t="s">
        <v>30</v>
      </c>
      <c r="D916" t="s">
        <v>74</v>
      </c>
      <c r="E916" t="s">
        <v>32</v>
      </c>
      <c r="F916" t="s">
        <v>273</v>
      </c>
      <c r="G916" t="s">
        <v>257</v>
      </c>
      <c r="H916" t="s">
        <v>303</v>
      </c>
      <c r="I916" t="s">
        <v>1021</v>
      </c>
      <c r="J916" t="s">
        <v>3171</v>
      </c>
      <c r="K916" t="s">
        <v>37</v>
      </c>
      <c r="L916" t="s">
        <v>80</v>
      </c>
      <c r="M916" t="s">
        <v>81</v>
      </c>
      <c r="N916" t="s">
        <v>82</v>
      </c>
      <c r="O916" s="4">
        <v>1</v>
      </c>
      <c r="P916" s="4">
        <v>5</v>
      </c>
      <c r="Q916" t="s">
        <v>138</v>
      </c>
      <c r="R916" s="2">
        <v>46192</v>
      </c>
      <c r="S916" s="4">
        <v>11</v>
      </c>
      <c r="T916" s="3">
        <v>208000000</v>
      </c>
      <c r="U916" t="s">
        <v>42</v>
      </c>
      <c r="V916" t="s">
        <v>43</v>
      </c>
      <c r="W916" t="s">
        <v>404</v>
      </c>
      <c r="Y916" t="s">
        <v>291</v>
      </c>
      <c r="Z916" t="s">
        <v>3178</v>
      </c>
      <c r="AA916" t="s">
        <v>46</v>
      </c>
      <c r="AB916" t="s">
        <v>87</v>
      </c>
      <c r="AC916" t="s">
        <v>46</v>
      </c>
    </row>
    <row r="917" spans="1:29">
      <c r="A917" t="s">
        <v>1333</v>
      </c>
      <c r="B917" s="2">
        <v>46175</v>
      </c>
      <c r="C917" t="s">
        <v>30</v>
      </c>
      <c r="D917" t="s">
        <v>134</v>
      </c>
      <c r="E917" t="s">
        <v>100</v>
      </c>
      <c r="F917" t="s">
        <v>101</v>
      </c>
      <c r="G917" t="s">
        <v>313</v>
      </c>
      <c r="H917" t="s">
        <v>103</v>
      </c>
      <c r="I917" t="s">
        <v>141</v>
      </c>
      <c r="J917" t="s">
        <v>3018</v>
      </c>
      <c r="K917" t="s">
        <v>37</v>
      </c>
      <c r="L917" t="s">
        <v>187</v>
      </c>
      <c r="M917" t="s">
        <v>56</v>
      </c>
      <c r="N917" t="s">
        <v>94</v>
      </c>
      <c r="O917" s="4">
        <v>4</v>
      </c>
      <c r="P917" s="4">
        <v>20</v>
      </c>
      <c r="Q917" t="s">
        <v>41</v>
      </c>
      <c r="R917" s="2">
        <v>46171</v>
      </c>
      <c r="S917" s="4">
        <v>32</v>
      </c>
      <c r="T917" s="3">
        <v>101000000</v>
      </c>
      <c r="U917" t="s">
        <v>42</v>
      </c>
      <c r="V917" t="s">
        <v>70</v>
      </c>
      <c r="W917" t="s">
        <v>170</v>
      </c>
      <c r="Y917" t="s">
        <v>108</v>
      </c>
      <c r="Z917" t="s">
        <v>3179</v>
      </c>
      <c r="AA917" t="s">
        <v>109</v>
      </c>
      <c r="AB917" t="s">
        <v>97</v>
      </c>
      <c r="AC917" t="s">
        <v>109</v>
      </c>
    </row>
    <row r="918" spans="1:29">
      <c r="A918" t="s">
        <v>1334</v>
      </c>
      <c r="B918" s="2">
        <v>46187</v>
      </c>
      <c r="C918" t="s">
        <v>30</v>
      </c>
      <c r="D918" t="s">
        <v>99</v>
      </c>
      <c r="E918" t="s">
        <v>120</v>
      </c>
      <c r="F918" t="s">
        <v>121</v>
      </c>
      <c r="G918" t="s">
        <v>227</v>
      </c>
      <c r="H918" t="s">
        <v>123</v>
      </c>
      <c r="I918" t="s">
        <v>124</v>
      </c>
      <c r="J918" t="s">
        <v>3015</v>
      </c>
      <c r="K918" t="s">
        <v>105</v>
      </c>
      <c r="L918" t="s">
        <v>55</v>
      </c>
      <c r="M918" t="s">
        <v>39</v>
      </c>
      <c r="N918" t="s">
        <v>82</v>
      </c>
      <c r="O918" s="4">
        <v>1</v>
      </c>
      <c r="P918" s="4">
        <v>7</v>
      </c>
      <c r="Q918" t="s">
        <v>107</v>
      </c>
      <c r="R918" s="2">
        <v>46182</v>
      </c>
      <c r="S918" s="4">
        <v>21</v>
      </c>
      <c r="T918" s="3">
        <v>189000000</v>
      </c>
      <c r="U918" t="s">
        <v>42</v>
      </c>
      <c r="V918" t="s">
        <v>43</v>
      </c>
      <c r="W918" t="s">
        <v>290</v>
      </c>
      <c r="Y918" t="s">
        <v>291</v>
      </c>
      <c r="Z918" t="s">
        <v>3178</v>
      </c>
      <c r="AA918" t="s">
        <v>97</v>
      </c>
      <c r="AB918" t="s">
        <v>87</v>
      </c>
      <c r="AC918" t="s">
        <v>97</v>
      </c>
    </row>
    <row r="919" spans="1:29">
      <c r="A919" t="s">
        <v>1335</v>
      </c>
      <c r="B919" s="2">
        <v>46199</v>
      </c>
      <c r="C919" t="s">
        <v>30</v>
      </c>
      <c r="D919" t="s">
        <v>49</v>
      </c>
      <c r="E919" t="s">
        <v>120</v>
      </c>
      <c r="F919" t="s">
        <v>246</v>
      </c>
      <c r="G919" t="s">
        <v>122</v>
      </c>
      <c r="H919" t="s">
        <v>136</v>
      </c>
      <c r="I919" t="s">
        <v>137</v>
      </c>
      <c r="J919" t="s">
        <v>3017</v>
      </c>
      <c r="K919" t="s">
        <v>105</v>
      </c>
      <c r="L919" t="s">
        <v>55</v>
      </c>
      <c r="M919" t="s">
        <v>81</v>
      </c>
      <c r="N919" t="s">
        <v>57</v>
      </c>
      <c r="O919" s="4">
        <v>3</v>
      </c>
      <c r="P919" s="4">
        <v>7</v>
      </c>
      <c r="Q919" t="s">
        <v>142</v>
      </c>
      <c r="R919" s="2">
        <v>46189</v>
      </c>
      <c r="S919" s="4">
        <v>14</v>
      </c>
      <c r="T919" s="3">
        <v>227000000</v>
      </c>
      <c r="U919" t="s">
        <v>42</v>
      </c>
      <c r="V919" t="s">
        <v>59</v>
      </c>
      <c r="W919" t="s">
        <v>157</v>
      </c>
      <c r="Y919" t="s">
        <v>165</v>
      </c>
      <c r="Z919" t="s">
        <v>3177</v>
      </c>
      <c r="AA919" t="s">
        <v>97</v>
      </c>
      <c r="AB919" t="s">
        <v>63</v>
      </c>
      <c r="AC919" t="s">
        <v>97</v>
      </c>
    </row>
    <row r="920" spans="1:29">
      <c r="A920" t="s">
        <v>1336</v>
      </c>
      <c r="B920" s="2">
        <v>46186</v>
      </c>
      <c r="C920" t="s">
        <v>30</v>
      </c>
      <c r="D920" t="s">
        <v>99</v>
      </c>
      <c r="E920" t="s">
        <v>75</v>
      </c>
      <c r="F920" t="s">
        <v>76</v>
      </c>
      <c r="G920" t="s">
        <v>162</v>
      </c>
      <c r="H920" t="s">
        <v>388</v>
      </c>
      <c r="I920" t="s">
        <v>661</v>
      </c>
      <c r="J920" t="s">
        <v>3144</v>
      </c>
      <c r="K920" t="s">
        <v>37</v>
      </c>
      <c r="L920" t="s">
        <v>55</v>
      </c>
      <c r="M920" t="s">
        <v>129</v>
      </c>
      <c r="N920" t="s">
        <v>57</v>
      </c>
      <c r="O920" s="4">
        <v>3</v>
      </c>
      <c r="P920" s="4">
        <v>10</v>
      </c>
      <c r="Q920" t="s">
        <v>138</v>
      </c>
      <c r="R920" s="2">
        <v>46180</v>
      </c>
      <c r="S920" s="4">
        <v>23</v>
      </c>
      <c r="T920" s="3">
        <v>260000000</v>
      </c>
      <c r="U920" t="s">
        <v>42</v>
      </c>
      <c r="V920" t="s">
        <v>43</v>
      </c>
      <c r="W920" t="s">
        <v>60</v>
      </c>
      <c r="Y920" t="s">
        <v>61</v>
      </c>
      <c r="Z920" t="s">
        <v>3177</v>
      </c>
      <c r="AA920" t="s">
        <v>86</v>
      </c>
      <c r="AB920" t="s">
        <v>63</v>
      </c>
      <c r="AC920" t="s">
        <v>86</v>
      </c>
    </row>
    <row r="921" spans="1:29">
      <c r="A921" t="s">
        <v>1337</v>
      </c>
      <c r="B921" s="2">
        <v>46194</v>
      </c>
      <c r="C921" t="s">
        <v>30</v>
      </c>
      <c r="D921" t="s">
        <v>74</v>
      </c>
      <c r="E921" t="s">
        <v>100</v>
      </c>
      <c r="F921" t="s">
        <v>140</v>
      </c>
      <c r="G921" t="s">
        <v>313</v>
      </c>
      <c r="H921" t="s">
        <v>103</v>
      </c>
      <c r="I921" t="s">
        <v>447</v>
      </c>
      <c r="J921" t="s">
        <v>3088</v>
      </c>
      <c r="K921" t="s">
        <v>105</v>
      </c>
      <c r="L921" t="s">
        <v>187</v>
      </c>
      <c r="M921" t="s">
        <v>164</v>
      </c>
      <c r="N921" t="s">
        <v>213</v>
      </c>
      <c r="O921" s="4">
        <v>6</v>
      </c>
      <c r="P921" s="4">
        <v>18</v>
      </c>
      <c r="Q921" t="s">
        <v>41</v>
      </c>
      <c r="R921" s="2">
        <v>46191</v>
      </c>
      <c r="S921" s="4">
        <v>12</v>
      </c>
      <c r="T921" s="3">
        <v>364000000</v>
      </c>
      <c r="U921" t="s">
        <v>214</v>
      </c>
      <c r="V921" t="s">
        <v>70</v>
      </c>
      <c r="W921" t="s">
        <v>390</v>
      </c>
      <c r="Y921" t="s">
        <v>216</v>
      </c>
      <c r="Z921" t="s">
        <v>3179</v>
      </c>
      <c r="AA921" t="s">
        <v>109</v>
      </c>
      <c r="AB921" t="s">
        <v>97</v>
      </c>
      <c r="AC921" t="s">
        <v>109</v>
      </c>
    </row>
    <row r="922" spans="1:29">
      <c r="A922" t="s">
        <v>1338</v>
      </c>
      <c r="B922" s="2">
        <v>46194</v>
      </c>
      <c r="C922" t="s">
        <v>30</v>
      </c>
      <c r="D922" t="s">
        <v>74</v>
      </c>
      <c r="E922" t="s">
        <v>111</v>
      </c>
      <c r="F922" t="s">
        <v>264</v>
      </c>
      <c r="G922" t="s">
        <v>126</v>
      </c>
      <c r="H922" t="s">
        <v>127</v>
      </c>
      <c r="I922" t="s">
        <v>349</v>
      </c>
      <c r="J922" t="s">
        <v>3059</v>
      </c>
      <c r="K922" t="s">
        <v>56</v>
      </c>
      <c r="L922" t="s">
        <v>38</v>
      </c>
      <c r="M922" t="s">
        <v>106</v>
      </c>
      <c r="N922" t="s">
        <v>40</v>
      </c>
      <c r="O922" s="4">
        <v>2</v>
      </c>
      <c r="P922" s="4">
        <v>8</v>
      </c>
      <c r="Q922" t="s">
        <v>41</v>
      </c>
      <c r="R922" s="2">
        <v>46188</v>
      </c>
      <c r="S922" s="4">
        <v>15</v>
      </c>
      <c r="T922" s="3">
        <v>278000000</v>
      </c>
      <c r="U922" t="s">
        <v>42</v>
      </c>
      <c r="V922" t="s">
        <v>59</v>
      </c>
      <c r="W922" t="s">
        <v>178</v>
      </c>
      <c r="Y922" t="s">
        <v>281</v>
      </c>
      <c r="Z922" t="s">
        <v>3178</v>
      </c>
      <c r="AA922" t="s">
        <v>118</v>
      </c>
      <c r="AB922" t="s">
        <v>87</v>
      </c>
      <c r="AC922" t="s">
        <v>118</v>
      </c>
    </row>
    <row r="923" spans="1:29">
      <c r="A923" t="s">
        <v>1339</v>
      </c>
      <c r="B923" s="2">
        <v>46174</v>
      </c>
      <c r="C923" t="s">
        <v>30</v>
      </c>
      <c r="D923" t="s">
        <v>134</v>
      </c>
      <c r="E923" t="s">
        <v>152</v>
      </c>
      <c r="F923" t="s">
        <v>221</v>
      </c>
      <c r="G923" t="s">
        <v>206</v>
      </c>
      <c r="H923" t="s">
        <v>155</v>
      </c>
      <c r="I923" t="s">
        <v>418</v>
      </c>
      <c r="J923" t="s">
        <v>3079</v>
      </c>
      <c r="K923" t="s">
        <v>56</v>
      </c>
      <c r="L923" t="s">
        <v>80</v>
      </c>
      <c r="M923" t="s">
        <v>164</v>
      </c>
      <c r="N923" t="s">
        <v>57</v>
      </c>
      <c r="O923" s="4">
        <v>3</v>
      </c>
      <c r="P923" s="4">
        <v>12</v>
      </c>
      <c r="Q923" t="s">
        <v>138</v>
      </c>
      <c r="R923" s="2">
        <v>46164</v>
      </c>
      <c r="S923" s="4">
        <v>39</v>
      </c>
      <c r="T923" s="3">
        <v>211000000</v>
      </c>
      <c r="U923" t="s">
        <v>42</v>
      </c>
      <c r="V923" t="s">
        <v>59</v>
      </c>
      <c r="W923" t="s">
        <v>71</v>
      </c>
      <c r="Y923" t="s">
        <v>61</v>
      </c>
      <c r="Z923" t="s">
        <v>3180</v>
      </c>
      <c r="AA923" t="s">
        <v>159</v>
      </c>
      <c r="AB923" t="s">
        <v>193</v>
      </c>
      <c r="AC923" t="s">
        <v>159</v>
      </c>
    </row>
    <row r="924" spans="1:29">
      <c r="A924" t="s">
        <v>1340</v>
      </c>
      <c r="B924" s="2">
        <v>46179</v>
      </c>
      <c r="C924" t="s">
        <v>30</v>
      </c>
      <c r="D924" t="s">
        <v>134</v>
      </c>
      <c r="E924" t="s">
        <v>152</v>
      </c>
      <c r="F924" t="s">
        <v>205</v>
      </c>
      <c r="G924" t="s">
        <v>206</v>
      </c>
      <c r="H924" t="s">
        <v>155</v>
      </c>
      <c r="I924" t="s">
        <v>375</v>
      </c>
      <c r="J924" t="s">
        <v>3067</v>
      </c>
      <c r="K924" t="s">
        <v>37</v>
      </c>
      <c r="L924" t="s">
        <v>80</v>
      </c>
      <c r="M924" t="s">
        <v>81</v>
      </c>
      <c r="N924" t="s">
        <v>196</v>
      </c>
      <c r="O924" s="4">
        <v>7</v>
      </c>
      <c r="P924" s="4">
        <v>14</v>
      </c>
      <c r="Q924" t="s">
        <v>69</v>
      </c>
      <c r="R924" s="2">
        <v>46174</v>
      </c>
      <c r="S924" s="4">
        <v>29</v>
      </c>
      <c r="T924" s="3">
        <v>155000000</v>
      </c>
      <c r="U924" t="s">
        <v>196</v>
      </c>
      <c r="V924" t="s">
        <v>70</v>
      </c>
      <c r="W924" t="s">
        <v>209</v>
      </c>
      <c r="Y924" t="s">
        <v>369</v>
      </c>
      <c r="Z924" t="s">
        <v>3181</v>
      </c>
      <c r="AA924" t="s">
        <v>159</v>
      </c>
      <c r="AB924" t="s">
        <v>199</v>
      </c>
      <c r="AC924" t="s">
        <v>159</v>
      </c>
    </row>
    <row r="925" spans="1:29">
      <c r="A925" t="s">
        <v>1341</v>
      </c>
      <c r="B925" s="2">
        <v>46181</v>
      </c>
      <c r="C925" t="s">
        <v>30</v>
      </c>
      <c r="D925" t="s">
        <v>99</v>
      </c>
      <c r="E925" t="s">
        <v>152</v>
      </c>
      <c r="F925" t="s">
        <v>221</v>
      </c>
      <c r="G925" t="s">
        <v>294</v>
      </c>
      <c r="H925" t="s">
        <v>283</v>
      </c>
      <c r="I925" t="s">
        <v>663</v>
      </c>
      <c r="J925" t="s">
        <v>3145</v>
      </c>
      <c r="K925" t="s">
        <v>92</v>
      </c>
      <c r="L925" t="s">
        <v>80</v>
      </c>
      <c r="M925" t="s">
        <v>129</v>
      </c>
      <c r="N925" t="s">
        <v>57</v>
      </c>
      <c r="O925" s="4">
        <v>3</v>
      </c>
      <c r="P925" s="4">
        <v>8</v>
      </c>
      <c r="Q925" t="s">
        <v>41</v>
      </c>
      <c r="R925" s="2">
        <v>46174</v>
      </c>
      <c r="S925" s="4">
        <v>29</v>
      </c>
      <c r="T925" s="3">
        <v>223000000</v>
      </c>
      <c r="U925" t="s">
        <v>42</v>
      </c>
      <c r="V925" t="s">
        <v>43</v>
      </c>
      <c r="W925" t="s">
        <v>60</v>
      </c>
      <c r="Y925" t="s">
        <v>72</v>
      </c>
      <c r="Z925" t="s">
        <v>3177</v>
      </c>
      <c r="AA925" t="s">
        <v>159</v>
      </c>
      <c r="AB925" t="s">
        <v>63</v>
      </c>
      <c r="AC925" t="s">
        <v>159</v>
      </c>
    </row>
    <row r="926" spans="1:29">
      <c r="A926" t="s">
        <v>1342</v>
      </c>
      <c r="B926" s="2">
        <v>46198</v>
      </c>
      <c r="C926" t="s">
        <v>30</v>
      </c>
      <c r="D926" t="s">
        <v>49</v>
      </c>
      <c r="E926" t="s">
        <v>120</v>
      </c>
      <c r="F926" t="s">
        <v>167</v>
      </c>
      <c r="G926" t="s">
        <v>135</v>
      </c>
      <c r="H926" t="s">
        <v>136</v>
      </c>
      <c r="I926" t="s">
        <v>627</v>
      </c>
      <c r="J926" t="s">
        <v>3134</v>
      </c>
      <c r="K926" t="s">
        <v>37</v>
      </c>
      <c r="L926" t="s">
        <v>38</v>
      </c>
      <c r="M926" t="s">
        <v>93</v>
      </c>
      <c r="N926" t="s">
        <v>130</v>
      </c>
      <c r="O926" s="4">
        <v>5</v>
      </c>
      <c r="P926" s="4">
        <v>7</v>
      </c>
      <c r="Q926" t="s">
        <v>58</v>
      </c>
      <c r="R926" s="2">
        <v>46191</v>
      </c>
      <c r="S926" s="4">
        <v>12</v>
      </c>
      <c r="T926" s="3">
        <v>204000000</v>
      </c>
      <c r="U926" t="s">
        <v>42</v>
      </c>
      <c r="V926" t="s">
        <v>143</v>
      </c>
      <c r="W926" t="s">
        <v>144</v>
      </c>
      <c r="X926" t="s">
        <v>117</v>
      </c>
      <c r="Y926" t="s">
        <v>254</v>
      </c>
      <c r="Z926" t="s">
        <v>3179</v>
      </c>
      <c r="AA926" t="s">
        <v>97</v>
      </c>
      <c r="AB926" t="s">
        <v>97</v>
      </c>
      <c r="AC926" t="s">
        <v>97</v>
      </c>
    </row>
    <row r="927" spans="1:29">
      <c r="A927" t="s">
        <v>1343</v>
      </c>
      <c r="B927" s="2">
        <v>46194</v>
      </c>
      <c r="C927" t="s">
        <v>30</v>
      </c>
      <c r="D927" t="s">
        <v>74</v>
      </c>
      <c r="E927" t="s">
        <v>111</v>
      </c>
      <c r="F927" t="s">
        <v>190</v>
      </c>
      <c r="G927" t="s">
        <v>126</v>
      </c>
      <c r="H927" t="s">
        <v>191</v>
      </c>
      <c r="I927" t="s">
        <v>192</v>
      </c>
      <c r="J927" t="s">
        <v>3025</v>
      </c>
      <c r="K927" t="s">
        <v>37</v>
      </c>
      <c r="L927" t="s">
        <v>150</v>
      </c>
      <c r="M927" t="s">
        <v>93</v>
      </c>
      <c r="N927" t="s">
        <v>94</v>
      </c>
      <c r="O927" s="4">
        <v>4</v>
      </c>
      <c r="P927" s="4">
        <v>13</v>
      </c>
      <c r="Q927" t="s">
        <v>138</v>
      </c>
      <c r="R927" s="2">
        <v>46187</v>
      </c>
      <c r="S927" s="4">
        <v>16</v>
      </c>
      <c r="T927" s="3">
        <v>170000000</v>
      </c>
      <c r="U927" t="s">
        <v>426</v>
      </c>
      <c r="V927" t="s">
        <v>59</v>
      </c>
      <c r="W927" t="s">
        <v>267</v>
      </c>
      <c r="X927" t="s">
        <v>381</v>
      </c>
      <c r="Y927" t="s">
        <v>96</v>
      </c>
      <c r="Z927" t="s">
        <v>3179</v>
      </c>
      <c r="AA927" t="s">
        <v>118</v>
      </c>
      <c r="AB927" t="s">
        <v>97</v>
      </c>
      <c r="AC927" t="s">
        <v>118</v>
      </c>
    </row>
    <row r="928" spans="1:29">
      <c r="A928" t="s">
        <v>1344</v>
      </c>
      <c r="B928" s="2">
        <v>46198</v>
      </c>
      <c r="C928" t="s">
        <v>30</v>
      </c>
      <c r="D928" t="s">
        <v>49</v>
      </c>
      <c r="E928" t="s">
        <v>100</v>
      </c>
      <c r="F928" t="s">
        <v>101</v>
      </c>
      <c r="G928" t="s">
        <v>147</v>
      </c>
      <c r="H928" t="s">
        <v>148</v>
      </c>
      <c r="I928" t="s">
        <v>315</v>
      </c>
      <c r="J928" t="s">
        <v>3049</v>
      </c>
      <c r="K928" t="s">
        <v>56</v>
      </c>
      <c r="L928" t="s">
        <v>150</v>
      </c>
      <c r="M928" t="s">
        <v>93</v>
      </c>
      <c r="N928" t="s">
        <v>57</v>
      </c>
      <c r="O928" s="4">
        <v>3</v>
      </c>
      <c r="P928" s="4">
        <v>9</v>
      </c>
      <c r="Q928" t="s">
        <v>142</v>
      </c>
      <c r="R928" s="2">
        <v>46198</v>
      </c>
      <c r="S928" s="4">
        <v>5</v>
      </c>
      <c r="T928" s="3">
        <v>318000000</v>
      </c>
      <c r="U928" t="s">
        <v>42</v>
      </c>
      <c r="V928" t="s">
        <v>43</v>
      </c>
      <c r="W928" t="s">
        <v>157</v>
      </c>
      <c r="Y928" t="s">
        <v>61</v>
      </c>
      <c r="Z928" t="s">
        <v>3177</v>
      </c>
      <c r="AA928" t="s">
        <v>109</v>
      </c>
      <c r="AB928" t="s">
        <v>63</v>
      </c>
      <c r="AC928" t="s">
        <v>109</v>
      </c>
    </row>
    <row r="929" spans="1:29">
      <c r="A929" t="s">
        <v>1345</v>
      </c>
      <c r="B929" s="2">
        <v>46191</v>
      </c>
      <c r="C929" t="s">
        <v>30</v>
      </c>
      <c r="D929" t="s">
        <v>74</v>
      </c>
      <c r="E929" t="s">
        <v>120</v>
      </c>
      <c r="F929" t="s">
        <v>167</v>
      </c>
      <c r="G929" t="s">
        <v>420</v>
      </c>
      <c r="H929" t="s">
        <v>136</v>
      </c>
      <c r="I929" t="s">
        <v>247</v>
      </c>
      <c r="J929" t="s">
        <v>3035</v>
      </c>
      <c r="K929" t="s">
        <v>92</v>
      </c>
      <c r="L929" t="s">
        <v>187</v>
      </c>
      <c r="M929" t="s">
        <v>93</v>
      </c>
      <c r="N929" t="s">
        <v>82</v>
      </c>
      <c r="O929" s="4">
        <v>1</v>
      </c>
      <c r="P929" s="4">
        <v>4</v>
      </c>
      <c r="Q929" t="s">
        <v>58</v>
      </c>
      <c r="R929" s="2">
        <v>46190</v>
      </c>
      <c r="S929" s="4">
        <v>13</v>
      </c>
      <c r="T929" s="3">
        <v>117000000</v>
      </c>
      <c r="U929" t="s">
        <v>42</v>
      </c>
      <c r="V929" t="s">
        <v>43</v>
      </c>
      <c r="W929" t="s">
        <v>84</v>
      </c>
      <c r="Y929" t="s">
        <v>330</v>
      </c>
      <c r="Z929" t="s">
        <v>3176</v>
      </c>
      <c r="AA929" t="s">
        <v>97</v>
      </c>
      <c r="AB929" t="s">
        <v>47</v>
      </c>
      <c r="AC929" t="s">
        <v>97</v>
      </c>
    </row>
    <row r="930" spans="1:29">
      <c r="A930" t="s">
        <v>1346</v>
      </c>
      <c r="B930" s="2">
        <v>46186</v>
      </c>
      <c r="C930" t="s">
        <v>30</v>
      </c>
      <c r="D930" t="s">
        <v>99</v>
      </c>
      <c r="E930" t="s">
        <v>32</v>
      </c>
      <c r="F930" t="s">
        <v>273</v>
      </c>
      <c r="G930" t="s">
        <v>361</v>
      </c>
      <c r="H930" t="s">
        <v>303</v>
      </c>
      <c r="I930" t="s">
        <v>487</v>
      </c>
      <c r="J930" t="s">
        <v>3102</v>
      </c>
      <c r="K930" t="s">
        <v>92</v>
      </c>
      <c r="L930" t="s">
        <v>150</v>
      </c>
      <c r="M930" t="s">
        <v>81</v>
      </c>
      <c r="N930" t="s">
        <v>82</v>
      </c>
      <c r="O930" s="4">
        <v>1</v>
      </c>
      <c r="P930" s="4">
        <v>1</v>
      </c>
      <c r="Q930" t="s">
        <v>41</v>
      </c>
      <c r="R930" s="2">
        <v>46177</v>
      </c>
      <c r="S930" s="4">
        <v>26</v>
      </c>
      <c r="T930" s="3">
        <v>143000000</v>
      </c>
      <c r="U930" t="s">
        <v>42</v>
      </c>
      <c r="V930" t="s">
        <v>43</v>
      </c>
      <c r="W930" t="s">
        <v>359</v>
      </c>
      <c r="Y930" t="s">
        <v>291</v>
      </c>
      <c r="Z930" t="s">
        <v>3176</v>
      </c>
      <c r="AA930" t="s">
        <v>46</v>
      </c>
      <c r="AB930" t="s">
        <v>47</v>
      </c>
      <c r="AC930" t="s">
        <v>46</v>
      </c>
    </row>
    <row r="931" spans="1:29">
      <c r="A931" t="s">
        <v>1347</v>
      </c>
      <c r="B931" s="2">
        <v>46177</v>
      </c>
      <c r="C931" t="s">
        <v>30</v>
      </c>
      <c r="D931" t="s">
        <v>134</v>
      </c>
      <c r="E931" t="s">
        <v>120</v>
      </c>
      <c r="F931" t="s">
        <v>167</v>
      </c>
      <c r="G931" t="s">
        <v>420</v>
      </c>
      <c r="H931" t="s">
        <v>300</v>
      </c>
      <c r="I931" t="s">
        <v>830</v>
      </c>
      <c r="J931" t="s">
        <v>3159</v>
      </c>
      <c r="K931" t="s">
        <v>37</v>
      </c>
      <c r="L931" t="s">
        <v>55</v>
      </c>
      <c r="M931" t="s">
        <v>81</v>
      </c>
      <c r="N931" t="s">
        <v>82</v>
      </c>
      <c r="O931" s="4">
        <v>1</v>
      </c>
      <c r="P931" s="4">
        <v>8</v>
      </c>
      <c r="Q931" t="s">
        <v>142</v>
      </c>
      <c r="R931" s="2">
        <v>46171</v>
      </c>
      <c r="S931" s="4">
        <v>32</v>
      </c>
      <c r="T931" s="3">
        <v>164000000</v>
      </c>
      <c r="U931" t="s">
        <v>42</v>
      </c>
      <c r="V931" t="s">
        <v>43</v>
      </c>
      <c r="W931" t="s">
        <v>404</v>
      </c>
      <c r="Y931" t="s">
        <v>330</v>
      </c>
      <c r="Z931" t="s">
        <v>3178</v>
      </c>
      <c r="AA931" t="s">
        <v>97</v>
      </c>
      <c r="AB931" t="s">
        <v>87</v>
      </c>
      <c r="AC931" t="s">
        <v>97</v>
      </c>
    </row>
    <row r="932" spans="1:29">
      <c r="A932" t="s">
        <v>1348</v>
      </c>
      <c r="B932" s="2">
        <v>46201</v>
      </c>
      <c r="C932" t="s">
        <v>30</v>
      </c>
      <c r="D932" t="s">
        <v>49</v>
      </c>
      <c r="E932" t="s">
        <v>75</v>
      </c>
      <c r="F932" t="s">
        <v>161</v>
      </c>
      <c r="G932" t="s">
        <v>77</v>
      </c>
      <c r="H932" t="s">
        <v>78</v>
      </c>
      <c r="I932" t="s">
        <v>1145</v>
      </c>
      <c r="J932" t="s">
        <v>3174</v>
      </c>
      <c r="K932" t="s">
        <v>37</v>
      </c>
      <c r="L932" t="s">
        <v>187</v>
      </c>
      <c r="M932" t="s">
        <v>81</v>
      </c>
      <c r="N932" t="s">
        <v>94</v>
      </c>
      <c r="O932" s="4">
        <v>4</v>
      </c>
      <c r="P932" s="4">
        <v>6</v>
      </c>
      <c r="Q932" t="s">
        <v>41</v>
      </c>
      <c r="R932" s="2">
        <v>46197</v>
      </c>
      <c r="S932" s="4">
        <v>6</v>
      </c>
      <c r="T932" s="3">
        <v>67000000</v>
      </c>
      <c r="U932" t="s">
        <v>42</v>
      </c>
      <c r="V932" t="s">
        <v>59</v>
      </c>
      <c r="W932" t="s">
        <v>267</v>
      </c>
      <c r="Y932" t="s">
        <v>268</v>
      </c>
      <c r="Z932" t="s">
        <v>3179</v>
      </c>
      <c r="AA932" t="s">
        <v>86</v>
      </c>
      <c r="AB932" t="s">
        <v>97</v>
      </c>
      <c r="AC932" t="s">
        <v>86</v>
      </c>
    </row>
    <row r="933" spans="1:29">
      <c r="A933" t="s">
        <v>1349</v>
      </c>
      <c r="B933" s="2">
        <v>46181</v>
      </c>
      <c r="C933" t="s">
        <v>30</v>
      </c>
      <c r="D933" t="s">
        <v>99</v>
      </c>
      <c r="E933" t="s">
        <v>32</v>
      </c>
      <c r="F933" t="s">
        <v>273</v>
      </c>
      <c r="G933" t="s">
        <v>463</v>
      </c>
      <c r="H933" t="s">
        <v>35</v>
      </c>
      <c r="I933" t="s">
        <v>219</v>
      </c>
      <c r="J933" t="s">
        <v>3028</v>
      </c>
      <c r="K933" t="s">
        <v>92</v>
      </c>
      <c r="L933" t="s">
        <v>68</v>
      </c>
      <c r="M933" t="s">
        <v>164</v>
      </c>
      <c r="N933" t="s">
        <v>40</v>
      </c>
      <c r="O933" s="4">
        <v>2</v>
      </c>
      <c r="P933" s="4">
        <v>5</v>
      </c>
      <c r="Q933" t="s">
        <v>69</v>
      </c>
      <c r="R933" s="2">
        <v>46171</v>
      </c>
      <c r="S933" s="4">
        <v>32</v>
      </c>
      <c r="T933" s="3">
        <v>105000000</v>
      </c>
      <c r="U933" t="s">
        <v>42</v>
      </c>
      <c r="V933" t="s">
        <v>43</v>
      </c>
      <c r="W933" t="s">
        <v>298</v>
      </c>
      <c r="Y933" t="s">
        <v>45</v>
      </c>
      <c r="Z933" t="s">
        <v>3178</v>
      </c>
      <c r="AA933" t="s">
        <v>46</v>
      </c>
      <c r="AB933" t="s">
        <v>87</v>
      </c>
      <c r="AC933" t="s">
        <v>46</v>
      </c>
    </row>
    <row r="934" spans="1:29">
      <c r="A934" t="s">
        <v>1350</v>
      </c>
      <c r="B934" s="2">
        <v>46184</v>
      </c>
      <c r="C934" t="s">
        <v>30</v>
      </c>
      <c r="D934" t="s">
        <v>99</v>
      </c>
      <c r="E934" t="s">
        <v>50</v>
      </c>
      <c r="F934" t="s">
        <v>351</v>
      </c>
      <c r="G934" t="s">
        <v>65</v>
      </c>
      <c r="H934" t="s">
        <v>53</v>
      </c>
      <c r="I934" t="s">
        <v>787</v>
      </c>
      <c r="J934" t="s">
        <v>3154</v>
      </c>
      <c r="K934" t="s">
        <v>37</v>
      </c>
      <c r="L934" t="s">
        <v>187</v>
      </c>
      <c r="M934" t="s">
        <v>81</v>
      </c>
      <c r="N934" t="s">
        <v>57</v>
      </c>
      <c r="O934" s="4">
        <v>3</v>
      </c>
      <c r="P934" s="4">
        <v>6</v>
      </c>
      <c r="Q934" t="s">
        <v>83</v>
      </c>
      <c r="R934" s="2">
        <v>46179</v>
      </c>
      <c r="S934" s="4">
        <v>24</v>
      </c>
      <c r="T934" s="3">
        <v>85000000</v>
      </c>
      <c r="U934" t="s">
        <v>177</v>
      </c>
      <c r="V934" t="s">
        <v>43</v>
      </c>
      <c r="W934" t="s">
        <v>203</v>
      </c>
      <c r="X934" t="s">
        <v>520</v>
      </c>
      <c r="Y934" t="s">
        <v>158</v>
      </c>
      <c r="Z934" t="s">
        <v>3177</v>
      </c>
      <c r="AA934" t="s">
        <v>62</v>
      </c>
      <c r="AB934" t="s">
        <v>63</v>
      </c>
      <c r="AC934" t="s">
        <v>62</v>
      </c>
    </row>
    <row r="935" spans="1:29">
      <c r="A935" t="s">
        <v>1351</v>
      </c>
      <c r="B935" s="2">
        <v>46174</v>
      </c>
      <c r="C935" t="s">
        <v>30</v>
      </c>
      <c r="D935" t="s">
        <v>134</v>
      </c>
      <c r="E935" t="s">
        <v>120</v>
      </c>
      <c r="F935" t="s">
        <v>121</v>
      </c>
      <c r="G935" t="s">
        <v>135</v>
      </c>
      <c r="H935" t="s">
        <v>300</v>
      </c>
      <c r="I935" t="s">
        <v>830</v>
      </c>
      <c r="J935" t="s">
        <v>3159</v>
      </c>
      <c r="K935" t="s">
        <v>105</v>
      </c>
      <c r="L935" t="s">
        <v>80</v>
      </c>
      <c r="M935" t="s">
        <v>56</v>
      </c>
      <c r="N935" t="s">
        <v>40</v>
      </c>
      <c r="O935" s="4">
        <v>2</v>
      </c>
      <c r="P935" s="4">
        <v>8</v>
      </c>
      <c r="Q935" t="s">
        <v>41</v>
      </c>
      <c r="R935" s="2">
        <v>46172</v>
      </c>
      <c r="S935" s="4">
        <v>31</v>
      </c>
      <c r="T935" s="3">
        <v>291000000</v>
      </c>
      <c r="U935" t="s">
        <v>42</v>
      </c>
      <c r="V935" t="s">
        <v>43</v>
      </c>
      <c r="W935" t="s">
        <v>178</v>
      </c>
      <c r="Y935" t="s">
        <v>180</v>
      </c>
      <c r="Z935" t="s">
        <v>3178</v>
      </c>
      <c r="AA935" t="s">
        <v>97</v>
      </c>
      <c r="AB935" t="s">
        <v>87</v>
      </c>
      <c r="AC935" t="s">
        <v>97</v>
      </c>
    </row>
    <row r="936" spans="1:29">
      <c r="A936" t="s">
        <v>1352</v>
      </c>
      <c r="B936" s="2">
        <v>46194</v>
      </c>
      <c r="C936" t="s">
        <v>30</v>
      </c>
      <c r="D936" t="s">
        <v>74</v>
      </c>
      <c r="E936" t="s">
        <v>120</v>
      </c>
      <c r="F936" t="s">
        <v>246</v>
      </c>
      <c r="G936" t="s">
        <v>227</v>
      </c>
      <c r="H936" t="s">
        <v>300</v>
      </c>
      <c r="I936" t="s">
        <v>400</v>
      </c>
      <c r="J936" t="s">
        <v>3074</v>
      </c>
      <c r="K936" t="s">
        <v>37</v>
      </c>
      <c r="L936" t="s">
        <v>55</v>
      </c>
      <c r="M936" t="s">
        <v>93</v>
      </c>
      <c r="N936" t="s">
        <v>57</v>
      </c>
      <c r="O936" s="4">
        <v>3</v>
      </c>
      <c r="P936" s="4">
        <v>12</v>
      </c>
      <c r="Q936" t="s">
        <v>142</v>
      </c>
      <c r="R936" s="2">
        <v>46187</v>
      </c>
      <c r="S936" s="4">
        <v>16</v>
      </c>
      <c r="T936" s="3">
        <v>128000000</v>
      </c>
      <c r="U936" t="s">
        <v>42</v>
      </c>
      <c r="V936" t="s">
        <v>59</v>
      </c>
      <c r="W936" t="s">
        <v>157</v>
      </c>
      <c r="Y936" t="s">
        <v>61</v>
      </c>
      <c r="Z936" t="s">
        <v>3180</v>
      </c>
      <c r="AA936" t="s">
        <v>97</v>
      </c>
      <c r="AB936" t="s">
        <v>193</v>
      </c>
      <c r="AC936" t="s">
        <v>97</v>
      </c>
    </row>
    <row r="937" spans="1:29">
      <c r="A937" t="s">
        <v>1353</v>
      </c>
      <c r="B937" s="2">
        <v>46179</v>
      </c>
      <c r="C937" t="s">
        <v>30</v>
      </c>
      <c r="D937" t="s">
        <v>134</v>
      </c>
      <c r="E937" t="s">
        <v>32</v>
      </c>
      <c r="F937" t="s">
        <v>273</v>
      </c>
      <c r="G937" t="s">
        <v>361</v>
      </c>
      <c r="H937" t="s">
        <v>258</v>
      </c>
      <c r="I937" t="s">
        <v>593</v>
      </c>
      <c r="J937" t="s">
        <v>3127</v>
      </c>
      <c r="K937" t="s">
        <v>37</v>
      </c>
      <c r="L937" t="s">
        <v>187</v>
      </c>
      <c r="M937" t="s">
        <v>39</v>
      </c>
      <c r="N937" t="s">
        <v>40</v>
      </c>
      <c r="O937" s="4">
        <v>2</v>
      </c>
      <c r="P937" s="4">
        <v>3</v>
      </c>
      <c r="Q937" t="s">
        <v>107</v>
      </c>
      <c r="R937" s="2">
        <v>46174</v>
      </c>
      <c r="S937" s="4">
        <v>29</v>
      </c>
      <c r="T937" s="3">
        <v>170000000</v>
      </c>
      <c r="U937" t="s">
        <v>42</v>
      </c>
      <c r="V937" t="s">
        <v>43</v>
      </c>
      <c r="W937" t="s">
        <v>298</v>
      </c>
      <c r="Y937" t="s">
        <v>180</v>
      </c>
      <c r="Z937" t="s">
        <v>3176</v>
      </c>
      <c r="AA937" t="s">
        <v>46</v>
      </c>
      <c r="AB937" t="s">
        <v>47</v>
      </c>
      <c r="AC937" t="s">
        <v>46</v>
      </c>
    </row>
    <row r="938" spans="1:29">
      <c r="A938" t="s">
        <v>1354</v>
      </c>
      <c r="B938" s="2">
        <v>46200</v>
      </c>
      <c r="C938" t="s">
        <v>30</v>
      </c>
      <c r="D938" t="s">
        <v>49</v>
      </c>
      <c r="E938" t="s">
        <v>152</v>
      </c>
      <c r="F938" t="s">
        <v>205</v>
      </c>
      <c r="G938" t="s">
        <v>154</v>
      </c>
      <c r="H938" t="s">
        <v>283</v>
      </c>
      <c r="I938" t="s">
        <v>474</v>
      </c>
      <c r="J938" t="s">
        <v>3098</v>
      </c>
      <c r="K938" t="s">
        <v>37</v>
      </c>
      <c r="L938" t="s">
        <v>38</v>
      </c>
      <c r="M938" t="s">
        <v>93</v>
      </c>
      <c r="N938" t="s">
        <v>57</v>
      </c>
      <c r="O938" s="4">
        <v>3</v>
      </c>
      <c r="P938" s="4">
        <v>11</v>
      </c>
      <c r="Q938" t="s">
        <v>58</v>
      </c>
      <c r="R938" s="2">
        <v>46197</v>
      </c>
      <c r="S938" s="4">
        <v>6</v>
      </c>
      <c r="T938" s="3">
        <v>218000000</v>
      </c>
      <c r="U938" t="s">
        <v>260</v>
      </c>
      <c r="V938" t="s">
        <v>43</v>
      </c>
      <c r="W938" t="s">
        <v>60</v>
      </c>
      <c r="X938" t="s">
        <v>261</v>
      </c>
      <c r="Y938" t="s">
        <v>61</v>
      </c>
      <c r="Z938" t="s">
        <v>3177</v>
      </c>
      <c r="AA938" t="s">
        <v>159</v>
      </c>
      <c r="AB938" t="s">
        <v>63</v>
      </c>
      <c r="AC938" t="s">
        <v>159</v>
      </c>
    </row>
    <row r="939" spans="1:29">
      <c r="A939" t="s">
        <v>1355</v>
      </c>
      <c r="B939" s="2">
        <v>46198</v>
      </c>
      <c r="C939" t="s">
        <v>30</v>
      </c>
      <c r="D939" t="s">
        <v>49</v>
      </c>
      <c r="E939" t="s">
        <v>32</v>
      </c>
      <c r="F939" t="s">
        <v>33</v>
      </c>
      <c r="G939" t="s">
        <v>361</v>
      </c>
      <c r="H939" t="s">
        <v>35</v>
      </c>
      <c r="I939" t="s">
        <v>36</v>
      </c>
      <c r="J939" t="s">
        <v>3008</v>
      </c>
      <c r="K939" t="s">
        <v>105</v>
      </c>
      <c r="L939" t="s">
        <v>55</v>
      </c>
      <c r="M939" t="s">
        <v>164</v>
      </c>
      <c r="N939" t="s">
        <v>82</v>
      </c>
      <c r="O939" s="4">
        <v>1</v>
      </c>
      <c r="P939" s="4">
        <v>2</v>
      </c>
      <c r="Q939" t="s">
        <v>138</v>
      </c>
      <c r="R939" s="2">
        <v>46193</v>
      </c>
      <c r="S939" s="4">
        <v>10</v>
      </c>
      <c r="T939" s="3">
        <v>236000000</v>
      </c>
      <c r="U939" t="s">
        <v>42</v>
      </c>
      <c r="V939" t="s">
        <v>43</v>
      </c>
      <c r="W939" t="s">
        <v>84</v>
      </c>
      <c r="Y939" t="s">
        <v>291</v>
      </c>
      <c r="Z939" t="s">
        <v>3176</v>
      </c>
      <c r="AA939" t="s">
        <v>46</v>
      </c>
      <c r="AB939" t="s">
        <v>47</v>
      </c>
      <c r="AC939" t="s">
        <v>46</v>
      </c>
    </row>
    <row r="940" spans="1:29">
      <c r="A940" t="s">
        <v>1356</v>
      </c>
      <c r="B940" s="2">
        <v>46189</v>
      </c>
      <c r="C940" t="s">
        <v>30</v>
      </c>
      <c r="D940" t="s">
        <v>74</v>
      </c>
      <c r="E940" t="s">
        <v>111</v>
      </c>
      <c r="F940" t="s">
        <v>264</v>
      </c>
      <c r="G940" t="s">
        <v>348</v>
      </c>
      <c r="H940" t="s">
        <v>114</v>
      </c>
      <c r="I940" t="s">
        <v>266</v>
      </c>
      <c r="J940" t="s">
        <v>3037</v>
      </c>
      <c r="K940" t="s">
        <v>37</v>
      </c>
      <c r="L940" t="s">
        <v>80</v>
      </c>
      <c r="M940" t="s">
        <v>164</v>
      </c>
      <c r="N940" t="s">
        <v>94</v>
      </c>
      <c r="O940" s="4">
        <v>4</v>
      </c>
      <c r="P940" s="4">
        <v>12</v>
      </c>
      <c r="Q940" t="s">
        <v>107</v>
      </c>
      <c r="R940" s="2">
        <v>46181</v>
      </c>
      <c r="S940" s="4">
        <v>22</v>
      </c>
      <c r="T940" s="3">
        <v>162000000</v>
      </c>
      <c r="U940" t="s">
        <v>42</v>
      </c>
      <c r="V940" t="s">
        <v>70</v>
      </c>
      <c r="W940" t="s">
        <v>188</v>
      </c>
      <c r="Y940" t="s">
        <v>96</v>
      </c>
      <c r="Z940" t="s">
        <v>3179</v>
      </c>
      <c r="AA940" t="s">
        <v>118</v>
      </c>
      <c r="AB940" t="s">
        <v>97</v>
      </c>
      <c r="AC940" t="s">
        <v>118</v>
      </c>
    </row>
    <row r="941" spans="1:29">
      <c r="A941" t="s">
        <v>1357</v>
      </c>
      <c r="B941" s="2">
        <v>46179</v>
      </c>
      <c r="C941" t="s">
        <v>30</v>
      </c>
      <c r="D941" t="s">
        <v>134</v>
      </c>
      <c r="E941" t="s">
        <v>75</v>
      </c>
      <c r="F941" t="s">
        <v>161</v>
      </c>
      <c r="G941" t="s">
        <v>77</v>
      </c>
      <c r="H941" t="s">
        <v>78</v>
      </c>
      <c r="I941" t="s">
        <v>494</v>
      </c>
      <c r="J941" t="s">
        <v>3104</v>
      </c>
      <c r="K941" t="s">
        <v>105</v>
      </c>
      <c r="L941" t="s">
        <v>80</v>
      </c>
      <c r="M941" t="s">
        <v>129</v>
      </c>
      <c r="N941" t="s">
        <v>40</v>
      </c>
      <c r="O941" s="4">
        <v>2</v>
      </c>
      <c r="P941" s="4">
        <v>6</v>
      </c>
      <c r="Q941" t="s">
        <v>83</v>
      </c>
      <c r="R941" s="2">
        <v>46169</v>
      </c>
      <c r="S941" s="4">
        <v>34</v>
      </c>
      <c r="T941" s="3">
        <v>110000000</v>
      </c>
      <c r="U941" t="s">
        <v>42</v>
      </c>
      <c r="V941" t="s">
        <v>59</v>
      </c>
      <c r="W941" t="s">
        <v>178</v>
      </c>
      <c r="Y941" t="s">
        <v>180</v>
      </c>
      <c r="Z941" t="s">
        <v>3178</v>
      </c>
      <c r="AA941" t="s">
        <v>86</v>
      </c>
      <c r="AB941" t="s">
        <v>87</v>
      </c>
      <c r="AC941" t="s">
        <v>86</v>
      </c>
    </row>
    <row r="942" spans="1:29">
      <c r="A942" t="s">
        <v>1358</v>
      </c>
      <c r="B942" s="2">
        <v>46192</v>
      </c>
      <c r="C942" t="s">
        <v>30</v>
      </c>
      <c r="D942" t="s">
        <v>74</v>
      </c>
      <c r="E942" t="s">
        <v>172</v>
      </c>
      <c r="F942" t="s">
        <v>277</v>
      </c>
      <c r="G942" t="s">
        <v>289</v>
      </c>
      <c r="H942" t="s">
        <v>175</v>
      </c>
      <c r="I942" t="s">
        <v>602</v>
      </c>
      <c r="J942" t="s">
        <v>3129</v>
      </c>
      <c r="K942" t="s">
        <v>105</v>
      </c>
      <c r="L942" t="s">
        <v>68</v>
      </c>
      <c r="M942" t="s">
        <v>129</v>
      </c>
      <c r="N942" t="s">
        <v>40</v>
      </c>
      <c r="O942" s="4">
        <v>2</v>
      </c>
      <c r="P942" s="4">
        <v>10</v>
      </c>
      <c r="Q942" t="s">
        <v>41</v>
      </c>
      <c r="R942" s="2">
        <v>46184</v>
      </c>
      <c r="S942" s="4">
        <v>19</v>
      </c>
      <c r="T942" s="3">
        <v>108000000</v>
      </c>
      <c r="U942" t="s">
        <v>42</v>
      </c>
      <c r="V942" t="s">
        <v>43</v>
      </c>
      <c r="W942" t="s">
        <v>298</v>
      </c>
      <c r="Y942" t="s">
        <v>281</v>
      </c>
      <c r="Z942" t="s">
        <v>3178</v>
      </c>
      <c r="AA942" t="s">
        <v>181</v>
      </c>
      <c r="AB942" t="s">
        <v>87</v>
      </c>
      <c r="AC942" t="s">
        <v>181</v>
      </c>
    </row>
    <row r="943" spans="1:29">
      <c r="A943" t="s">
        <v>1359</v>
      </c>
      <c r="B943" s="2">
        <v>46201</v>
      </c>
      <c r="C943" t="s">
        <v>30</v>
      </c>
      <c r="D943" t="s">
        <v>49</v>
      </c>
      <c r="E943" t="s">
        <v>172</v>
      </c>
      <c r="F943" t="s">
        <v>173</v>
      </c>
      <c r="G943" t="s">
        <v>278</v>
      </c>
      <c r="H943" t="s">
        <v>317</v>
      </c>
      <c r="I943" t="s">
        <v>756</v>
      </c>
      <c r="J943" t="s">
        <v>3152</v>
      </c>
      <c r="K943" t="s">
        <v>105</v>
      </c>
      <c r="L943" t="s">
        <v>80</v>
      </c>
      <c r="M943" t="s">
        <v>56</v>
      </c>
      <c r="N943" t="s">
        <v>82</v>
      </c>
      <c r="O943" s="4">
        <v>1</v>
      </c>
      <c r="P943" s="4">
        <v>10</v>
      </c>
      <c r="Q943" t="s">
        <v>138</v>
      </c>
      <c r="R943" s="2">
        <v>46200</v>
      </c>
      <c r="S943" s="4">
        <v>3</v>
      </c>
      <c r="T943" s="3">
        <v>60000000</v>
      </c>
      <c r="U943" t="s">
        <v>177</v>
      </c>
      <c r="V943" t="s">
        <v>43</v>
      </c>
      <c r="W943" t="s">
        <v>84</v>
      </c>
      <c r="X943" t="s">
        <v>308</v>
      </c>
      <c r="Y943" t="s">
        <v>291</v>
      </c>
      <c r="Z943" t="s">
        <v>3178</v>
      </c>
      <c r="AA943" t="s">
        <v>181</v>
      </c>
      <c r="AB943" t="s">
        <v>87</v>
      </c>
      <c r="AC943" t="s">
        <v>181</v>
      </c>
    </row>
    <row r="944" spans="1:29">
      <c r="A944" t="s">
        <v>1360</v>
      </c>
      <c r="B944" s="2">
        <v>46177</v>
      </c>
      <c r="C944" t="s">
        <v>30</v>
      </c>
      <c r="D944" t="s">
        <v>134</v>
      </c>
      <c r="E944" t="s">
        <v>152</v>
      </c>
      <c r="F944" t="s">
        <v>153</v>
      </c>
      <c r="G944" t="s">
        <v>328</v>
      </c>
      <c r="H944" t="s">
        <v>283</v>
      </c>
      <c r="I944" t="s">
        <v>287</v>
      </c>
      <c r="J944" t="s">
        <v>3042</v>
      </c>
      <c r="K944" t="s">
        <v>37</v>
      </c>
      <c r="L944" t="s">
        <v>80</v>
      </c>
      <c r="M944" t="s">
        <v>129</v>
      </c>
      <c r="N944" t="s">
        <v>57</v>
      </c>
      <c r="O944" s="4">
        <v>3</v>
      </c>
      <c r="P944" s="4">
        <v>8</v>
      </c>
      <c r="Q944" t="s">
        <v>41</v>
      </c>
      <c r="R944" s="2">
        <v>46170</v>
      </c>
      <c r="S944" s="4">
        <v>33</v>
      </c>
      <c r="T944" s="3">
        <v>188000000</v>
      </c>
      <c r="U944" t="s">
        <v>42</v>
      </c>
      <c r="V944" t="s">
        <v>59</v>
      </c>
      <c r="W944" t="s">
        <v>71</v>
      </c>
      <c r="Y944" t="s">
        <v>158</v>
      </c>
      <c r="Z944" t="s">
        <v>3177</v>
      </c>
      <c r="AA944" t="s">
        <v>159</v>
      </c>
      <c r="AB944" t="s">
        <v>63</v>
      </c>
      <c r="AC944" t="s">
        <v>159</v>
      </c>
    </row>
    <row r="945" spans="1:29">
      <c r="A945" t="s">
        <v>1361</v>
      </c>
      <c r="B945" s="2">
        <v>46197</v>
      </c>
      <c r="C945" t="s">
        <v>30</v>
      </c>
      <c r="D945" t="s">
        <v>49</v>
      </c>
      <c r="E945" t="s">
        <v>50</v>
      </c>
      <c r="F945" t="s">
        <v>51</v>
      </c>
      <c r="G945" t="s">
        <v>343</v>
      </c>
      <c r="H945" t="s">
        <v>53</v>
      </c>
      <c r="I945" t="s">
        <v>787</v>
      </c>
      <c r="J945" t="s">
        <v>3154</v>
      </c>
      <c r="K945" t="s">
        <v>105</v>
      </c>
      <c r="L945" t="s">
        <v>169</v>
      </c>
      <c r="M945" t="s">
        <v>164</v>
      </c>
      <c r="N945" t="s">
        <v>40</v>
      </c>
      <c r="O945" s="4">
        <v>2</v>
      </c>
      <c r="P945" s="4">
        <v>8</v>
      </c>
      <c r="Q945" t="s">
        <v>69</v>
      </c>
      <c r="R945" s="2">
        <v>46188</v>
      </c>
      <c r="S945" s="4">
        <v>15</v>
      </c>
      <c r="T945" s="3">
        <v>138000000</v>
      </c>
      <c r="U945" t="s">
        <v>260</v>
      </c>
      <c r="V945" t="s">
        <v>43</v>
      </c>
      <c r="W945" t="s">
        <v>239</v>
      </c>
      <c r="X945" t="s">
        <v>261</v>
      </c>
      <c r="Y945" t="s">
        <v>45</v>
      </c>
      <c r="Z945" t="s">
        <v>3178</v>
      </c>
      <c r="AA945" t="s">
        <v>62</v>
      </c>
      <c r="AB945" t="s">
        <v>87</v>
      </c>
      <c r="AC945" t="s">
        <v>62</v>
      </c>
    </row>
    <row r="946" spans="1:29">
      <c r="A946" t="s">
        <v>1362</v>
      </c>
      <c r="B946" s="2">
        <v>46179</v>
      </c>
      <c r="C946" t="s">
        <v>30</v>
      </c>
      <c r="D946" t="s">
        <v>134</v>
      </c>
      <c r="E946" t="s">
        <v>120</v>
      </c>
      <c r="F946" t="s">
        <v>167</v>
      </c>
      <c r="G946" t="s">
        <v>135</v>
      </c>
      <c r="H946" t="s">
        <v>123</v>
      </c>
      <c r="I946" t="s">
        <v>838</v>
      </c>
      <c r="J946" t="s">
        <v>3160</v>
      </c>
      <c r="K946" t="s">
        <v>56</v>
      </c>
      <c r="L946" t="s">
        <v>55</v>
      </c>
      <c r="M946" t="s">
        <v>164</v>
      </c>
      <c r="N946" t="s">
        <v>57</v>
      </c>
      <c r="O946" s="4">
        <v>3</v>
      </c>
      <c r="P946" s="4">
        <v>6</v>
      </c>
      <c r="Q946" t="s">
        <v>142</v>
      </c>
      <c r="R946" s="2">
        <v>46172</v>
      </c>
      <c r="S946" s="4">
        <v>31</v>
      </c>
      <c r="T946" s="3">
        <v>255000000</v>
      </c>
      <c r="U946" t="s">
        <v>42</v>
      </c>
      <c r="V946" t="s">
        <v>59</v>
      </c>
      <c r="W946" t="s">
        <v>203</v>
      </c>
      <c r="Y946" t="s">
        <v>61</v>
      </c>
      <c r="Z946" t="s">
        <v>3177</v>
      </c>
      <c r="AA946" t="s">
        <v>97</v>
      </c>
      <c r="AB946" t="s">
        <v>63</v>
      </c>
      <c r="AC946" t="s">
        <v>97</v>
      </c>
    </row>
    <row r="947" spans="1:29">
      <c r="A947" t="s">
        <v>1363</v>
      </c>
      <c r="B947" s="2">
        <v>46195</v>
      </c>
      <c r="C947" t="s">
        <v>30</v>
      </c>
      <c r="D947" t="s">
        <v>49</v>
      </c>
      <c r="E947" t="s">
        <v>75</v>
      </c>
      <c r="F947" t="s">
        <v>183</v>
      </c>
      <c r="G947" t="s">
        <v>184</v>
      </c>
      <c r="H947" t="s">
        <v>388</v>
      </c>
      <c r="I947" t="s">
        <v>576</v>
      </c>
      <c r="J947" t="s">
        <v>3123</v>
      </c>
      <c r="K947" t="s">
        <v>105</v>
      </c>
      <c r="L947" t="s">
        <v>169</v>
      </c>
      <c r="M947" t="s">
        <v>39</v>
      </c>
      <c r="N947" t="s">
        <v>40</v>
      </c>
      <c r="O947" s="4">
        <v>2</v>
      </c>
      <c r="P947" s="4">
        <v>6</v>
      </c>
      <c r="Q947" t="s">
        <v>138</v>
      </c>
      <c r="R947" s="2">
        <v>46194</v>
      </c>
      <c r="S947" s="4">
        <v>9</v>
      </c>
      <c r="T947" s="3">
        <v>143000000</v>
      </c>
      <c r="U947" t="s">
        <v>42</v>
      </c>
      <c r="V947" t="s">
        <v>43</v>
      </c>
      <c r="W947" t="s">
        <v>239</v>
      </c>
      <c r="Y947" t="s">
        <v>45</v>
      </c>
      <c r="Z947" t="s">
        <v>3178</v>
      </c>
      <c r="AA947" t="s">
        <v>86</v>
      </c>
      <c r="AB947" t="s">
        <v>87</v>
      </c>
      <c r="AC947" t="s">
        <v>86</v>
      </c>
    </row>
    <row r="948" spans="1:29">
      <c r="A948" t="s">
        <v>1364</v>
      </c>
      <c r="B948" s="2">
        <v>46179</v>
      </c>
      <c r="C948" t="s">
        <v>30</v>
      </c>
      <c r="D948" t="s">
        <v>134</v>
      </c>
      <c r="E948" t="s">
        <v>50</v>
      </c>
      <c r="F948" t="s">
        <v>351</v>
      </c>
      <c r="G948" t="s">
        <v>52</v>
      </c>
      <c r="H948" t="s">
        <v>90</v>
      </c>
      <c r="I948" t="s">
        <v>842</v>
      </c>
      <c r="J948" t="s">
        <v>3161</v>
      </c>
      <c r="K948" t="s">
        <v>37</v>
      </c>
      <c r="L948" t="s">
        <v>187</v>
      </c>
      <c r="M948" t="s">
        <v>81</v>
      </c>
      <c r="N948" t="s">
        <v>57</v>
      </c>
      <c r="O948" s="4">
        <v>3</v>
      </c>
      <c r="P948" s="4">
        <v>10</v>
      </c>
      <c r="Q948" t="s">
        <v>142</v>
      </c>
      <c r="R948" s="2">
        <v>46176</v>
      </c>
      <c r="S948" s="4">
        <v>27</v>
      </c>
      <c r="T948" s="3">
        <v>106000000</v>
      </c>
      <c r="U948" t="s">
        <v>42</v>
      </c>
      <c r="V948" t="s">
        <v>43</v>
      </c>
      <c r="W948" t="s">
        <v>157</v>
      </c>
      <c r="Y948" t="s">
        <v>158</v>
      </c>
      <c r="Z948" t="s">
        <v>3177</v>
      </c>
      <c r="AA948" t="s">
        <v>62</v>
      </c>
      <c r="AB948" t="s">
        <v>63</v>
      </c>
      <c r="AC948" t="s">
        <v>62</v>
      </c>
    </row>
    <row r="949" spans="1:29">
      <c r="A949" t="s">
        <v>1365</v>
      </c>
      <c r="B949" s="2">
        <v>46191</v>
      </c>
      <c r="C949" t="s">
        <v>30</v>
      </c>
      <c r="D949" t="s">
        <v>74</v>
      </c>
      <c r="E949" t="s">
        <v>75</v>
      </c>
      <c r="F949" t="s">
        <v>183</v>
      </c>
      <c r="G949" t="s">
        <v>387</v>
      </c>
      <c r="H949" t="s">
        <v>78</v>
      </c>
      <c r="I949" t="s">
        <v>163</v>
      </c>
      <c r="J949" t="s">
        <v>3021</v>
      </c>
      <c r="K949" t="s">
        <v>105</v>
      </c>
      <c r="L949" t="s">
        <v>80</v>
      </c>
      <c r="M949" t="s">
        <v>93</v>
      </c>
      <c r="N949" t="s">
        <v>94</v>
      </c>
      <c r="O949" s="4">
        <v>4</v>
      </c>
      <c r="P949" s="4">
        <v>8</v>
      </c>
      <c r="Q949" t="s">
        <v>41</v>
      </c>
      <c r="R949" s="2">
        <v>46187</v>
      </c>
      <c r="S949" s="4">
        <v>16</v>
      </c>
      <c r="T949" s="3">
        <v>195000000</v>
      </c>
      <c r="U949" t="s">
        <v>42</v>
      </c>
      <c r="V949" t="s">
        <v>59</v>
      </c>
      <c r="W949" t="s">
        <v>267</v>
      </c>
      <c r="Y949" t="s">
        <v>96</v>
      </c>
      <c r="Z949" t="s">
        <v>3179</v>
      </c>
      <c r="AA949" t="s">
        <v>86</v>
      </c>
      <c r="AB949" t="s">
        <v>97</v>
      </c>
      <c r="AC949" t="s">
        <v>86</v>
      </c>
    </row>
    <row r="950" spans="1:29">
      <c r="A950" t="s">
        <v>1366</v>
      </c>
      <c r="B950" s="2">
        <v>46198</v>
      </c>
      <c r="C950" t="s">
        <v>30</v>
      </c>
      <c r="D950" t="s">
        <v>49</v>
      </c>
      <c r="E950" t="s">
        <v>32</v>
      </c>
      <c r="F950" t="s">
        <v>256</v>
      </c>
      <c r="G950" t="s">
        <v>34</v>
      </c>
      <c r="H950" t="s">
        <v>258</v>
      </c>
      <c r="I950" t="s">
        <v>651</v>
      </c>
      <c r="J950" t="s">
        <v>3141</v>
      </c>
      <c r="K950" t="s">
        <v>92</v>
      </c>
      <c r="L950" t="s">
        <v>187</v>
      </c>
      <c r="M950" t="s">
        <v>56</v>
      </c>
      <c r="N950" t="s">
        <v>82</v>
      </c>
      <c r="O950" s="4">
        <v>1</v>
      </c>
      <c r="P950" s="4">
        <v>4</v>
      </c>
      <c r="Q950" t="s">
        <v>138</v>
      </c>
      <c r="R950" s="2">
        <v>46189</v>
      </c>
      <c r="S950" s="4">
        <v>14</v>
      </c>
      <c r="T950" s="3">
        <v>204000000</v>
      </c>
      <c r="U950" t="s">
        <v>42</v>
      </c>
      <c r="V950" t="s">
        <v>43</v>
      </c>
      <c r="W950" t="s">
        <v>359</v>
      </c>
      <c r="Y950" t="s">
        <v>291</v>
      </c>
      <c r="Z950" t="s">
        <v>3176</v>
      </c>
      <c r="AA950" t="s">
        <v>46</v>
      </c>
      <c r="AB950" t="s">
        <v>47</v>
      </c>
      <c r="AC950" t="s">
        <v>46</v>
      </c>
    </row>
    <row r="951" spans="1:29">
      <c r="A951" t="s">
        <v>1367</v>
      </c>
      <c r="B951" s="2">
        <v>46176</v>
      </c>
      <c r="C951" t="s">
        <v>30</v>
      </c>
      <c r="D951" t="s">
        <v>134</v>
      </c>
      <c r="E951" t="s">
        <v>120</v>
      </c>
      <c r="F951" t="s">
        <v>246</v>
      </c>
      <c r="G951" t="s">
        <v>224</v>
      </c>
      <c r="H951" t="s">
        <v>136</v>
      </c>
      <c r="I951" t="s">
        <v>247</v>
      </c>
      <c r="J951" t="s">
        <v>3035</v>
      </c>
      <c r="K951" t="s">
        <v>37</v>
      </c>
      <c r="L951" t="s">
        <v>68</v>
      </c>
      <c r="M951" t="s">
        <v>93</v>
      </c>
      <c r="N951" t="s">
        <v>130</v>
      </c>
      <c r="O951" s="4">
        <v>5</v>
      </c>
      <c r="P951" s="4">
        <v>9</v>
      </c>
      <c r="Q951" t="s">
        <v>83</v>
      </c>
      <c r="R951" s="2">
        <v>46167</v>
      </c>
      <c r="S951" s="4">
        <v>36</v>
      </c>
      <c r="T951" s="3">
        <v>167000000</v>
      </c>
      <c r="U951" t="s">
        <v>42</v>
      </c>
      <c r="V951" t="s">
        <v>143</v>
      </c>
      <c r="W951" t="s">
        <v>131</v>
      </c>
      <c r="Y951" t="s">
        <v>334</v>
      </c>
      <c r="Z951" t="s">
        <v>3179</v>
      </c>
      <c r="AA951" t="s">
        <v>97</v>
      </c>
      <c r="AB951" t="s">
        <v>97</v>
      </c>
      <c r="AC951" t="s">
        <v>97</v>
      </c>
    </row>
    <row r="952" spans="1:29">
      <c r="A952" t="s">
        <v>1368</v>
      </c>
      <c r="B952" s="2">
        <v>46186</v>
      </c>
      <c r="C952" t="s">
        <v>30</v>
      </c>
      <c r="D952" t="s">
        <v>99</v>
      </c>
      <c r="E952" t="s">
        <v>111</v>
      </c>
      <c r="F952" t="s">
        <v>264</v>
      </c>
      <c r="G952" t="s">
        <v>251</v>
      </c>
      <c r="H952" t="s">
        <v>127</v>
      </c>
      <c r="I952" t="s">
        <v>734</v>
      </c>
      <c r="J952" t="s">
        <v>3150</v>
      </c>
      <c r="K952" t="s">
        <v>56</v>
      </c>
      <c r="L952" t="s">
        <v>80</v>
      </c>
      <c r="M952" t="s">
        <v>56</v>
      </c>
      <c r="N952" t="s">
        <v>94</v>
      </c>
      <c r="O952" s="4">
        <v>4</v>
      </c>
      <c r="P952" s="4">
        <v>7</v>
      </c>
      <c r="Q952" t="s">
        <v>142</v>
      </c>
      <c r="R952" s="2">
        <v>46185</v>
      </c>
      <c r="S952" s="4">
        <v>18</v>
      </c>
      <c r="T952" s="3">
        <v>444000000</v>
      </c>
      <c r="U952" t="s">
        <v>42</v>
      </c>
      <c r="V952" t="s">
        <v>59</v>
      </c>
      <c r="W952" t="s">
        <v>188</v>
      </c>
      <c r="Y952" t="s">
        <v>96</v>
      </c>
      <c r="Z952" t="s">
        <v>3179</v>
      </c>
      <c r="AA952" t="s">
        <v>118</v>
      </c>
      <c r="AB952" t="s">
        <v>97</v>
      </c>
      <c r="AC952" t="s">
        <v>118</v>
      </c>
    </row>
    <row r="953" spans="1:29">
      <c r="A953" t="s">
        <v>1369</v>
      </c>
      <c r="B953" s="2">
        <v>46184</v>
      </c>
      <c r="C953" t="s">
        <v>30</v>
      </c>
      <c r="D953" t="s">
        <v>99</v>
      </c>
      <c r="E953" t="s">
        <v>75</v>
      </c>
      <c r="F953" t="s">
        <v>161</v>
      </c>
      <c r="G953" t="s">
        <v>77</v>
      </c>
      <c r="H953" t="s">
        <v>78</v>
      </c>
      <c r="I953" t="s">
        <v>810</v>
      </c>
      <c r="J953" t="s">
        <v>3157</v>
      </c>
      <c r="K953" t="s">
        <v>56</v>
      </c>
      <c r="L953" t="s">
        <v>150</v>
      </c>
      <c r="M953" t="s">
        <v>56</v>
      </c>
      <c r="N953" t="s">
        <v>213</v>
      </c>
      <c r="O953" s="4">
        <v>6</v>
      </c>
      <c r="P953" s="4">
        <v>11</v>
      </c>
      <c r="Q953" t="s">
        <v>142</v>
      </c>
      <c r="R953" s="2">
        <v>46183</v>
      </c>
      <c r="S953" s="4">
        <v>20</v>
      </c>
      <c r="T953" s="3">
        <v>174000000</v>
      </c>
      <c r="U953" t="s">
        <v>214</v>
      </c>
      <c r="V953" t="s">
        <v>70</v>
      </c>
      <c r="W953" t="s">
        <v>438</v>
      </c>
      <c r="Y953" t="s">
        <v>249</v>
      </c>
      <c r="Z953" t="s">
        <v>3179</v>
      </c>
      <c r="AA953" t="s">
        <v>86</v>
      </c>
      <c r="AB953" t="s">
        <v>97</v>
      </c>
      <c r="AC953" t="s">
        <v>86</v>
      </c>
    </row>
    <row r="954" spans="1:29">
      <c r="A954" t="s">
        <v>1370</v>
      </c>
      <c r="B954" s="2">
        <v>46181</v>
      </c>
      <c r="C954" t="s">
        <v>30</v>
      </c>
      <c r="D954" t="s">
        <v>99</v>
      </c>
      <c r="E954" t="s">
        <v>32</v>
      </c>
      <c r="F954" t="s">
        <v>256</v>
      </c>
      <c r="G954" t="s">
        <v>361</v>
      </c>
      <c r="H954" t="s">
        <v>35</v>
      </c>
      <c r="I954" t="s">
        <v>323</v>
      </c>
      <c r="J954" t="s">
        <v>3052</v>
      </c>
      <c r="K954" t="s">
        <v>56</v>
      </c>
      <c r="L954" t="s">
        <v>169</v>
      </c>
      <c r="M954" t="s">
        <v>56</v>
      </c>
      <c r="N954" t="s">
        <v>213</v>
      </c>
      <c r="O954" s="4">
        <v>6</v>
      </c>
      <c r="P954" s="4">
        <v>6</v>
      </c>
      <c r="Q954" t="s">
        <v>69</v>
      </c>
      <c r="R954" s="2">
        <v>46177</v>
      </c>
      <c r="S954" s="4">
        <v>26</v>
      </c>
      <c r="T954" s="3">
        <v>416000000</v>
      </c>
      <c r="U954" t="s">
        <v>42</v>
      </c>
      <c r="V954" t="s">
        <v>70</v>
      </c>
      <c r="W954" t="s">
        <v>438</v>
      </c>
      <c r="Y954" t="s">
        <v>424</v>
      </c>
      <c r="Z954" t="s">
        <v>3179</v>
      </c>
      <c r="AA954" t="s">
        <v>46</v>
      </c>
      <c r="AB954" t="s">
        <v>97</v>
      </c>
      <c r="AC954" t="s">
        <v>46</v>
      </c>
    </row>
    <row r="955" spans="1:29">
      <c r="A955" t="s">
        <v>1371</v>
      </c>
      <c r="B955" s="2">
        <v>46201</v>
      </c>
      <c r="C955" t="s">
        <v>30</v>
      </c>
      <c r="D955" t="s">
        <v>49</v>
      </c>
      <c r="E955" t="s">
        <v>111</v>
      </c>
      <c r="F955" t="s">
        <v>112</v>
      </c>
      <c r="G955" t="s">
        <v>251</v>
      </c>
      <c r="H955" t="s">
        <v>114</v>
      </c>
      <c r="I955" t="s">
        <v>383</v>
      </c>
      <c r="J955" t="s">
        <v>3070</v>
      </c>
      <c r="K955" t="s">
        <v>37</v>
      </c>
      <c r="L955" t="s">
        <v>38</v>
      </c>
      <c r="M955" t="s">
        <v>56</v>
      </c>
      <c r="N955" t="s">
        <v>94</v>
      </c>
      <c r="O955" s="4">
        <v>4</v>
      </c>
      <c r="P955" s="4">
        <v>5</v>
      </c>
      <c r="Q955" t="s">
        <v>69</v>
      </c>
      <c r="R955" s="2">
        <v>46192</v>
      </c>
      <c r="S955" s="4">
        <v>11</v>
      </c>
      <c r="T955" s="3">
        <v>199000000</v>
      </c>
      <c r="U955" t="s">
        <v>42</v>
      </c>
      <c r="V955" t="s">
        <v>70</v>
      </c>
      <c r="W955" t="s">
        <v>188</v>
      </c>
      <c r="X955" t="s">
        <v>117</v>
      </c>
      <c r="Y955" t="s">
        <v>96</v>
      </c>
      <c r="Z955" t="s">
        <v>3179</v>
      </c>
      <c r="AA955" t="s">
        <v>118</v>
      </c>
      <c r="AB955" t="s">
        <v>97</v>
      </c>
      <c r="AC955" t="s">
        <v>118</v>
      </c>
    </row>
    <row r="956" spans="1:29">
      <c r="A956" t="s">
        <v>1372</v>
      </c>
      <c r="B956" s="2">
        <v>46174</v>
      </c>
      <c r="C956" t="s">
        <v>30</v>
      </c>
      <c r="D956" t="s">
        <v>134</v>
      </c>
      <c r="E956" t="s">
        <v>111</v>
      </c>
      <c r="F956" t="s">
        <v>190</v>
      </c>
      <c r="G956" t="s">
        <v>113</v>
      </c>
      <c r="H956" t="s">
        <v>127</v>
      </c>
      <c r="I956" t="s">
        <v>461</v>
      </c>
      <c r="J956" t="s">
        <v>3094</v>
      </c>
      <c r="K956" t="s">
        <v>92</v>
      </c>
      <c r="L956" t="s">
        <v>169</v>
      </c>
      <c r="M956" t="s">
        <v>56</v>
      </c>
      <c r="N956" t="s">
        <v>40</v>
      </c>
      <c r="O956" s="4">
        <v>2</v>
      </c>
      <c r="P956" s="4">
        <v>8</v>
      </c>
      <c r="Q956" t="s">
        <v>69</v>
      </c>
      <c r="R956" s="2">
        <v>46166</v>
      </c>
      <c r="S956" s="4">
        <v>37</v>
      </c>
      <c r="T956" s="3">
        <v>75000000</v>
      </c>
      <c r="U956" t="s">
        <v>42</v>
      </c>
      <c r="V956" t="s">
        <v>43</v>
      </c>
      <c r="W956" t="s">
        <v>239</v>
      </c>
      <c r="Y956" t="s">
        <v>281</v>
      </c>
      <c r="Z956" t="s">
        <v>3178</v>
      </c>
      <c r="AA956" t="s">
        <v>118</v>
      </c>
      <c r="AB956" t="s">
        <v>87</v>
      </c>
      <c r="AC956" t="s">
        <v>118</v>
      </c>
    </row>
    <row r="957" spans="1:29">
      <c r="A957" t="s">
        <v>1373</v>
      </c>
      <c r="B957" s="2">
        <v>46185</v>
      </c>
      <c r="C957" t="s">
        <v>30</v>
      </c>
      <c r="D957" t="s">
        <v>99</v>
      </c>
      <c r="E957" t="s">
        <v>50</v>
      </c>
      <c r="F957" t="s">
        <v>351</v>
      </c>
      <c r="G957" t="s">
        <v>65</v>
      </c>
      <c r="H957" t="s">
        <v>90</v>
      </c>
      <c r="I957" t="s">
        <v>842</v>
      </c>
      <c r="J957" t="s">
        <v>3161</v>
      </c>
      <c r="K957" t="s">
        <v>105</v>
      </c>
      <c r="L957" t="s">
        <v>80</v>
      </c>
      <c r="M957" t="s">
        <v>106</v>
      </c>
      <c r="N957" t="s">
        <v>130</v>
      </c>
      <c r="O957" s="4">
        <v>5</v>
      </c>
      <c r="P957" s="4">
        <v>13</v>
      </c>
      <c r="Q957" t="s">
        <v>142</v>
      </c>
      <c r="R957" s="2">
        <v>46175</v>
      </c>
      <c r="S957" s="4">
        <v>28</v>
      </c>
      <c r="T957" s="3">
        <v>232000000</v>
      </c>
      <c r="U957" t="s">
        <v>42</v>
      </c>
      <c r="V957" t="s">
        <v>70</v>
      </c>
      <c r="W957" t="s">
        <v>144</v>
      </c>
      <c r="X957" t="s">
        <v>117</v>
      </c>
      <c r="Y957" t="s">
        <v>262</v>
      </c>
      <c r="Z957" t="s">
        <v>3179</v>
      </c>
      <c r="AA957" t="s">
        <v>62</v>
      </c>
      <c r="AB957" t="s">
        <v>97</v>
      </c>
      <c r="AC957" t="s">
        <v>62</v>
      </c>
    </row>
    <row r="958" spans="1:29">
      <c r="A958" t="s">
        <v>1374</v>
      </c>
      <c r="B958" s="2">
        <v>46179</v>
      </c>
      <c r="C958" t="s">
        <v>30</v>
      </c>
      <c r="D958" t="s">
        <v>134</v>
      </c>
      <c r="E958" t="s">
        <v>50</v>
      </c>
      <c r="F958" t="s">
        <v>89</v>
      </c>
      <c r="G958" t="s">
        <v>270</v>
      </c>
      <c r="H958" t="s">
        <v>53</v>
      </c>
      <c r="I958" t="s">
        <v>271</v>
      </c>
      <c r="J958" t="s">
        <v>3038</v>
      </c>
      <c r="K958" t="s">
        <v>56</v>
      </c>
      <c r="L958" t="s">
        <v>80</v>
      </c>
      <c r="M958" t="s">
        <v>81</v>
      </c>
      <c r="N958" t="s">
        <v>130</v>
      </c>
      <c r="O958" s="4">
        <v>5</v>
      </c>
      <c r="P958" s="4">
        <v>7</v>
      </c>
      <c r="Q958" t="s">
        <v>58</v>
      </c>
      <c r="R958" s="2">
        <v>46172</v>
      </c>
      <c r="S958" s="4">
        <v>31</v>
      </c>
      <c r="T958" s="3">
        <v>323000000</v>
      </c>
      <c r="U958" t="s">
        <v>42</v>
      </c>
      <c r="V958" t="s">
        <v>70</v>
      </c>
      <c r="W958" t="s">
        <v>144</v>
      </c>
      <c r="Y958" t="s">
        <v>254</v>
      </c>
      <c r="Z958" t="s">
        <v>3179</v>
      </c>
      <c r="AA958" t="s">
        <v>62</v>
      </c>
      <c r="AB958" t="s">
        <v>97</v>
      </c>
      <c r="AC958" t="s">
        <v>62</v>
      </c>
    </row>
    <row r="959" spans="1:29">
      <c r="A959" t="s">
        <v>1375</v>
      </c>
      <c r="B959" s="2">
        <v>46198</v>
      </c>
      <c r="C959" t="s">
        <v>30</v>
      </c>
      <c r="D959" t="s">
        <v>49</v>
      </c>
      <c r="E959" t="s">
        <v>172</v>
      </c>
      <c r="F959" t="s">
        <v>195</v>
      </c>
      <c r="G959" t="s">
        <v>278</v>
      </c>
      <c r="H959" t="s">
        <v>241</v>
      </c>
      <c r="I959" t="s">
        <v>512</v>
      </c>
      <c r="J959" t="s">
        <v>3107</v>
      </c>
      <c r="K959" t="s">
        <v>37</v>
      </c>
      <c r="L959" t="s">
        <v>150</v>
      </c>
      <c r="M959" t="s">
        <v>39</v>
      </c>
      <c r="N959" t="s">
        <v>94</v>
      </c>
      <c r="O959" s="4">
        <v>4</v>
      </c>
      <c r="P959" s="4">
        <v>6</v>
      </c>
      <c r="Q959" t="s">
        <v>107</v>
      </c>
      <c r="R959" s="2">
        <v>46195</v>
      </c>
      <c r="S959" s="4">
        <v>8</v>
      </c>
      <c r="T959" s="3">
        <v>150000000</v>
      </c>
      <c r="U959" t="s">
        <v>260</v>
      </c>
      <c r="V959" t="s">
        <v>70</v>
      </c>
      <c r="W959" t="s">
        <v>267</v>
      </c>
      <c r="X959" t="s">
        <v>308</v>
      </c>
      <c r="Y959" t="s">
        <v>96</v>
      </c>
      <c r="Z959" t="s">
        <v>3179</v>
      </c>
      <c r="AA959" t="s">
        <v>181</v>
      </c>
      <c r="AB959" t="s">
        <v>97</v>
      </c>
      <c r="AC959" t="s">
        <v>181</v>
      </c>
    </row>
    <row r="960" spans="1:29">
      <c r="A960" t="s">
        <v>1376</v>
      </c>
      <c r="B960" s="2">
        <v>46187</v>
      </c>
      <c r="C960" t="s">
        <v>30</v>
      </c>
      <c r="D960" t="s">
        <v>99</v>
      </c>
      <c r="E960" t="s">
        <v>32</v>
      </c>
      <c r="F960" t="s">
        <v>256</v>
      </c>
      <c r="G960" t="s">
        <v>218</v>
      </c>
      <c r="H960" t="s">
        <v>258</v>
      </c>
      <c r="I960" t="s">
        <v>568</v>
      </c>
      <c r="J960" t="s">
        <v>3121</v>
      </c>
      <c r="K960" t="s">
        <v>37</v>
      </c>
      <c r="L960" t="s">
        <v>80</v>
      </c>
      <c r="M960" t="s">
        <v>56</v>
      </c>
      <c r="N960" t="s">
        <v>94</v>
      </c>
      <c r="O960" s="4">
        <v>4</v>
      </c>
      <c r="P960" s="4">
        <v>5</v>
      </c>
      <c r="Q960" t="s">
        <v>58</v>
      </c>
      <c r="R960" s="2">
        <v>46185</v>
      </c>
      <c r="S960" s="4">
        <v>18</v>
      </c>
      <c r="T960" s="3">
        <v>269000000</v>
      </c>
      <c r="U960" t="s">
        <v>42</v>
      </c>
      <c r="V960" t="s">
        <v>59</v>
      </c>
      <c r="W960" t="s">
        <v>267</v>
      </c>
      <c r="Y960" t="s">
        <v>108</v>
      </c>
      <c r="Z960" t="s">
        <v>3179</v>
      </c>
      <c r="AA960" t="s">
        <v>46</v>
      </c>
      <c r="AB960" t="s">
        <v>97</v>
      </c>
      <c r="AC960" t="s">
        <v>46</v>
      </c>
    </row>
    <row r="961" spans="1:29">
      <c r="A961" t="s">
        <v>1377</v>
      </c>
      <c r="B961" s="2">
        <v>46199</v>
      </c>
      <c r="C961" t="s">
        <v>30</v>
      </c>
      <c r="D961" t="s">
        <v>49</v>
      </c>
      <c r="E961" t="s">
        <v>75</v>
      </c>
      <c r="F961" t="s">
        <v>76</v>
      </c>
      <c r="G961" t="s">
        <v>162</v>
      </c>
      <c r="H961" t="s">
        <v>78</v>
      </c>
      <c r="I961" t="s">
        <v>79</v>
      </c>
      <c r="J961" t="s">
        <v>3011</v>
      </c>
      <c r="K961" t="s">
        <v>105</v>
      </c>
      <c r="L961" t="s">
        <v>80</v>
      </c>
      <c r="M961" t="s">
        <v>164</v>
      </c>
      <c r="N961" t="s">
        <v>40</v>
      </c>
      <c r="O961" s="4">
        <v>2</v>
      </c>
      <c r="P961" s="4">
        <v>8</v>
      </c>
      <c r="Q961" t="s">
        <v>107</v>
      </c>
      <c r="R961" s="2">
        <v>46190</v>
      </c>
      <c r="S961" s="4">
        <v>13</v>
      </c>
      <c r="T961" s="3">
        <v>103000000</v>
      </c>
      <c r="U961" t="s">
        <v>260</v>
      </c>
      <c r="V961" t="s">
        <v>59</v>
      </c>
      <c r="W961" t="s">
        <v>178</v>
      </c>
      <c r="X961" t="s">
        <v>308</v>
      </c>
      <c r="Y961" t="s">
        <v>309</v>
      </c>
      <c r="Z961" t="s">
        <v>3178</v>
      </c>
      <c r="AA961" t="s">
        <v>86</v>
      </c>
      <c r="AB961" t="s">
        <v>87</v>
      </c>
      <c r="AC961" t="s">
        <v>86</v>
      </c>
    </row>
    <row r="962" spans="1:29">
      <c r="A962" t="s">
        <v>1378</v>
      </c>
      <c r="B962" s="2">
        <v>46198</v>
      </c>
      <c r="C962" t="s">
        <v>30</v>
      </c>
      <c r="D962" t="s">
        <v>49</v>
      </c>
      <c r="E962" t="s">
        <v>75</v>
      </c>
      <c r="F962" t="s">
        <v>183</v>
      </c>
      <c r="G962" t="s">
        <v>162</v>
      </c>
      <c r="H962" t="s">
        <v>388</v>
      </c>
      <c r="I962" t="s">
        <v>389</v>
      </c>
      <c r="J962" t="s">
        <v>3071</v>
      </c>
      <c r="K962" t="s">
        <v>92</v>
      </c>
      <c r="L962" t="s">
        <v>68</v>
      </c>
      <c r="M962" t="s">
        <v>93</v>
      </c>
      <c r="N962" t="s">
        <v>196</v>
      </c>
      <c r="O962" s="4">
        <v>7</v>
      </c>
      <c r="P962" s="4">
        <v>14</v>
      </c>
      <c r="Q962" t="s">
        <v>138</v>
      </c>
      <c r="R962" s="2">
        <v>46198</v>
      </c>
      <c r="S962" s="4">
        <v>5</v>
      </c>
      <c r="T962" s="3">
        <v>110000000</v>
      </c>
      <c r="U962" t="s">
        <v>196</v>
      </c>
      <c r="V962" t="s">
        <v>70</v>
      </c>
      <c r="W962" t="s">
        <v>243</v>
      </c>
      <c r="Y962" t="s">
        <v>369</v>
      </c>
      <c r="Z962" t="s">
        <v>3181</v>
      </c>
      <c r="AA962" t="s">
        <v>86</v>
      </c>
      <c r="AB962" t="s">
        <v>199</v>
      </c>
      <c r="AC962" t="s">
        <v>86</v>
      </c>
    </row>
    <row r="963" spans="1:29">
      <c r="A963" t="s">
        <v>1379</v>
      </c>
      <c r="B963" s="2">
        <v>46190</v>
      </c>
      <c r="C963" t="s">
        <v>30</v>
      </c>
      <c r="D963" t="s">
        <v>74</v>
      </c>
      <c r="E963" t="s">
        <v>32</v>
      </c>
      <c r="F963" t="s">
        <v>256</v>
      </c>
      <c r="G963" t="s">
        <v>218</v>
      </c>
      <c r="H963" t="s">
        <v>258</v>
      </c>
      <c r="I963" t="s">
        <v>1008</v>
      </c>
      <c r="J963" t="s">
        <v>3170</v>
      </c>
      <c r="K963" t="s">
        <v>56</v>
      </c>
      <c r="L963" t="s">
        <v>55</v>
      </c>
      <c r="M963" t="s">
        <v>39</v>
      </c>
      <c r="N963" t="s">
        <v>40</v>
      </c>
      <c r="O963" s="4">
        <v>2</v>
      </c>
      <c r="P963" s="4">
        <v>7</v>
      </c>
      <c r="Q963" t="s">
        <v>142</v>
      </c>
      <c r="R963" s="2">
        <v>46182</v>
      </c>
      <c r="S963" s="4">
        <v>21</v>
      </c>
      <c r="T963" s="3">
        <v>354000000</v>
      </c>
      <c r="U963" t="s">
        <v>42</v>
      </c>
      <c r="V963" t="s">
        <v>43</v>
      </c>
      <c r="W963" t="s">
        <v>298</v>
      </c>
      <c r="Y963" t="s">
        <v>45</v>
      </c>
      <c r="Z963" t="s">
        <v>3178</v>
      </c>
      <c r="AA963" t="s">
        <v>46</v>
      </c>
      <c r="AB963" t="s">
        <v>87</v>
      </c>
      <c r="AC963" t="s">
        <v>46</v>
      </c>
    </row>
    <row r="964" spans="1:29">
      <c r="A964" t="s">
        <v>1380</v>
      </c>
      <c r="B964" s="2">
        <v>46180</v>
      </c>
      <c r="C964" t="s">
        <v>30</v>
      </c>
      <c r="D964" t="s">
        <v>134</v>
      </c>
      <c r="E964" t="s">
        <v>100</v>
      </c>
      <c r="F964" t="s">
        <v>140</v>
      </c>
      <c r="G964" t="s">
        <v>102</v>
      </c>
      <c r="H964" t="s">
        <v>201</v>
      </c>
      <c r="I964" t="s">
        <v>554</v>
      </c>
      <c r="J964" t="s">
        <v>3117</v>
      </c>
      <c r="K964" t="s">
        <v>56</v>
      </c>
      <c r="L964" t="s">
        <v>80</v>
      </c>
      <c r="M964" t="s">
        <v>164</v>
      </c>
      <c r="N964" t="s">
        <v>94</v>
      </c>
      <c r="O964" s="4">
        <v>4</v>
      </c>
      <c r="P964" s="4">
        <v>16</v>
      </c>
      <c r="Q964" t="s">
        <v>83</v>
      </c>
      <c r="R964" s="2">
        <v>46172</v>
      </c>
      <c r="S964" s="4">
        <v>31</v>
      </c>
      <c r="T964" s="3">
        <v>92000000</v>
      </c>
      <c r="U964" t="s">
        <v>42</v>
      </c>
      <c r="V964" t="s">
        <v>59</v>
      </c>
      <c r="W964" t="s">
        <v>267</v>
      </c>
      <c r="Y964" t="s">
        <v>108</v>
      </c>
      <c r="Z964" t="s">
        <v>3179</v>
      </c>
      <c r="AA964" t="s">
        <v>109</v>
      </c>
      <c r="AB964" t="s">
        <v>97</v>
      </c>
      <c r="AC964" t="s">
        <v>109</v>
      </c>
    </row>
    <row r="965" spans="1:29">
      <c r="A965" t="s">
        <v>1381</v>
      </c>
      <c r="B965" s="2">
        <v>46184</v>
      </c>
      <c r="C965" t="s">
        <v>30</v>
      </c>
      <c r="D965" t="s">
        <v>99</v>
      </c>
      <c r="E965" t="s">
        <v>75</v>
      </c>
      <c r="F965" t="s">
        <v>161</v>
      </c>
      <c r="G965" t="s">
        <v>184</v>
      </c>
      <c r="H965" t="s">
        <v>388</v>
      </c>
      <c r="I965" t="s">
        <v>556</v>
      </c>
      <c r="J965" t="s">
        <v>3118</v>
      </c>
      <c r="K965" t="s">
        <v>37</v>
      </c>
      <c r="L965" t="s">
        <v>187</v>
      </c>
      <c r="M965" t="s">
        <v>129</v>
      </c>
      <c r="N965" t="s">
        <v>196</v>
      </c>
      <c r="O965" s="4">
        <v>7</v>
      </c>
      <c r="P965" s="4">
        <v>13</v>
      </c>
      <c r="Q965" t="s">
        <v>41</v>
      </c>
      <c r="R965" s="2">
        <v>46181</v>
      </c>
      <c r="S965" s="4">
        <v>22</v>
      </c>
      <c r="T965" s="3">
        <v>166000000</v>
      </c>
      <c r="U965" t="s">
        <v>196</v>
      </c>
      <c r="V965" t="s">
        <v>70</v>
      </c>
      <c r="W965" t="s">
        <v>243</v>
      </c>
      <c r="Y965" t="s">
        <v>369</v>
      </c>
      <c r="Z965" t="s">
        <v>3181</v>
      </c>
      <c r="AA965" t="s">
        <v>86</v>
      </c>
      <c r="AB965" t="s">
        <v>199</v>
      </c>
      <c r="AC965" t="s">
        <v>86</v>
      </c>
    </row>
    <row r="966" spans="1:29">
      <c r="A966" t="s">
        <v>1382</v>
      </c>
      <c r="B966" s="2">
        <v>46191</v>
      </c>
      <c r="C966" t="s">
        <v>30</v>
      </c>
      <c r="D966" t="s">
        <v>74</v>
      </c>
      <c r="E966" t="s">
        <v>172</v>
      </c>
      <c r="F966" t="s">
        <v>277</v>
      </c>
      <c r="G966" t="s">
        <v>278</v>
      </c>
      <c r="H966" t="s">
        <v>175</v>
      </c>
      <c r="I966" t="s">
        <v>956</v>
      </c>
      <c r="J966" t="s">
        <v>3166</v>
      </c>
      <c r="K966" t="s">
        <v>37</v>
      </c>
      <c r="L966" t="s">
        <v>187</v>
      </c>
      <c r="M966" t="s">
        <v>164</v>
      </c>
      <c r="N966" t="s">
        <v>94</v>
      </c>
      <c r="O966" s="4">
        <v>4</v>
      </c>
      <c r="P966" s="4">
        <v>8</v>
      </c>
      <c r="Q966" t="s">
        <v>41</v>
      </c>
      <c r="R966" s="2">
        <v>46190</v>
      </c>
      <c r="S966" s="4">
        <v>13</v>
      </c>
      <c r="T966" s="3">
        <v>79000000</v>
      </c>
      <c r="U966" t="s">
        <v>42</v>
      </c>
      <c r="V966" t="s">
        <v>59</v>
      </c>
      <c r="W966" t="s">
        <v>188</v>
      </c>
      <c r="Y966" t="s">
        <v>108</v>
      </c>
      <c r="Z966" t="s">
        <v>3179</v>
      </c>
      <c r="AA966" t="s">
        <v>181</v>
      </c>
      <c r="AB966" t="s">
        <v>97</v>
      </c>
      <c r="AC966" t="s">
        <v>181</v>
      </c>
    </row>
    <row r="967" spans="1:29">
      <c r="A967" t="s">
        <v>1383</v>
      </c>
      <c r="B967" s="2">
        <v>46187</v>
      </c>
      <c r="C967" t="s">
        <v>30</v>
      </c>
      <c r="D967" t="s">
        <v>99</v>
      </c>
      <c r="E967" t="s">
        <v>120</v>
      </c>
      <c r="F967" t="s">
        <v>121</v>
      </c>
      <c r="G967" t="s">
        <v>227</v>
      </c>
      <c r="H967" t="s">
        <v>123</v>
      </c>
      <c r="I967" t="s">
        <v>225</v>
      </c>
      <c r="J967" t="s">
        <v>3030</v>
      </c>
      <c r="K967" t="s">
        <v>37</v>
      </c>
      <c r="L967" t="s">
        <v>80</v>
      </c>
      <c r="M967" t="s">
        <v>164</v>
      </c>
      <c r="N967" t="s">
        <v>130</v>
      </c>
      <c r="O967" s="4">
        <v>5</v>
      </c>
      <c r="P967" s="4">
        <v>8</v>
      </c>
      <c r="Q967" t="s">
        <v>41</v>
      </c>
      <c r="R967" s="2">
        <v>46180</v>
      </c>
      <c r="S967" s="4">
        <v>23</v>
      </c>
      <c r="T967" s="3">
        <v>180000000</v>
      </c>
      <c r="U967" t="s">
        <v>42</v>
      </c>
      <c r="V967" t="s">
        <v>70</v>
      </c>
      <c r="W967" t="s">
        <v>252</v>
      </c>
      <c r="Y967" t="s">
        <v>132</v>
      </c>
      <c r="Z967" t="s">
        <v>3179</v>
      </c>
      <c r="AA967" t="s">
        <v>97</v>
      </c>
      <c r="AB967" t="s">
        <v>97</v>
      </c>
      <c r="AC967" t="s">
        <v>97</v>
      </c>
    </row>
    <row r="968" spans="1:29">
      <c r="A968" t="s">
        <v>1384</v>
      </c>
      <c r="B968" s="2">
        <v>46175</v>
      </c>
      <c r="C968" t="s">
        <v>30</v>
      </c>
      <c r="D968" t="s">
        <v>134</v>
      </c>
      <c r="E968" t="s">
        <v>111</v>
      </c>
      <c r="F968" t="s">
        <v>264</v>
      </c>
      <c r="G968" t="s">
        <v>126</v>
      </c>
      <c r="H968" t="s">
        <v>114</v>
      </c>
      <c r="I968" t="s">
        <v>383</v>
      </c>
      <c r="J968" t="s">
        <v>3070</v>
      </c>
      <c r="K968" t="s">
        <v>56</v>
      </c>
      <c r="L968" t="s">
        <v>150</v>
      </c>
      <c r="M968" t="s">
        <v>56</v>
      </c>
      <c r="N968" t="s">
        <v>130</v>
      </c>
      <c r="O968" s="4">
        <v>5</v>
      </c>
      <c r="P968" s="4">
        <v>14</v>
      </c>
      <c r="Q968" t="s">
        <v>138</v>
      </c>
      <c r="R968" s="2">
        <v>46168</v>
      </c>
      <c r="S968" s="4">
        <v>35</v>
      </c>
      <c r="T968" s="3">
        <v>259000000</v>
      </c>
      <c r="U968" t="s">
        <v>260</v>
      </c>
      <c r="V968" t="s">
        <v>59</v>
      </c>
      <c r="W968" t="s">
        <v>355</v>
      </c>
      <c r="X968" t="s">
        <v>520</v>
      </c>
      <c r="Y968" t="s">
        <v>334</v>
      </c>
      <c r="Z968" t="s">
        <v>3179</v>
      </c>
      <c r="AA968" t="s">
        <v>118</v>
      </c>
      <c r="AB968" t="s">
        <v>97</v>
      </c>
      <c r="AC968" t="s">
        <v>118</v>
      </c>
    </row>
    <row r="969" spans="1:29">
      <c r="A969" t="s">
        <v>1385</v>
      </c>
      <c r="B969" s="2">
        <v>46196</v>
      </c>
      <c r="C969" t="s">
        <v>30</v>
      </c>
      <c r="D969" t="s">
        <v>49</v>
      </c>
      <c r="E969" t="s">
        <v>120</v>
      </c>
      <c r="F969" t="s">
        <v>167</v>
      </c>
      <c r="G969" t="s">
        <v>420</v>
      </c>
      <c r="H969" t="s">
        <v>123</v>
      </c>
      <c r="I969" t="s">
        <v>838</v>
      </c>
      <c r="J969" t="s">
        <v>3160</v>
      </c>
      <c r="K969" t="s">
        <v>56</v>
      </c>
      <c r="L969" t="s">
        <v>38</v>
      </c>
      <c r="M969" t="s">
        <v>164</v>
      </c>
      <c r="N969" t="s">
        <v>82</v>
      </c>
      <c r="O969" s="4">
        <v>1</v>
      </c>
      <c r="P969" s="4">
        <v>12</v>
      </c>
      <c r="Q969" t="s">
        <v>138</v>
      </c>
      <c r="R969" s="2">
        <v>46195</v>
      </c>
      <c r="S969" s="4">
        <v>8</v>
      </c>
      <c r="T969" s="3">
        <v>178000000</v>
      </c>
      <c r="U969" t="s">
        <v>42</v>
      </c>
      <c r="V969" t="s">
        <v>43</v>
      </c>
      <c r="W969" t="s">
        <v>84</v>
      </c>
      <c r="Y969" t="s">
        <v>85</v>
      </c>
      <c r="Z969" t="s">
        <v>3180</v>
      </c>
      <c r="AA969" t="s">
        <v>97</v>
      </c>
      <c r="AB969" t="s">
        <v>193</v>
      </c>
      <c r="AC969" t="s">
        <v>97</v>
      </c>
    </row>
    <row r="970" spans="1:29">
      <c r="A970" t="s">
        <v>1386</v>
      </c>
      <c r="B970" s="2">
        <v>46189</v>
      </c>
      <c r="C970" t="s">
        <v>30</v>
      </c>
      <c r="D970" t="s">
        <v>74</v>
      </c>
      <c r="E970" t="s">
        <v>32</v>
      </c>
      <c r="F970" t="s">
        <v>273</v>
      </c>
      <c r="G970" t="s">
        <v>34</v>
      </c>
      <c r="H970" t="s">
        <v>35</v>
      </c>
      <c r="I970" t="s">
        <v>862</v>
      </c>
      <c r="J970" t="s">
        <v>3164</v>
      </c>
      <c r="K970" t="s">
        <v>37</v>
      </c>
      <c r="L970" t="s">
        <v>68</v>
      </c>
      <c r="M970" t="s">
        <v>129</v>
      </c>
      <c r="N970" t="s">
        <v>94</v>
      </c>
      <c r="O970" s="4">
        <v>4</v>
      </c>
      <c r="P970" s="4">
        <v>6</v>
      </c>
      <c r="Q970" t="s">
        <v>69</v>
      </c>
      <c r="R970" s="2">
        <v>46186</v>
      </c>
      <c r="S970" s="4">
        <v>17</v>
      </c>
      <c r="T970" s="3">
        <v>152000000</v>
      </c>
      <c r="U970" t="s">
        <v>42</v>
      </c>
      <c r="V970" t="s">
        <v>70</v>
      </c>
      <c r="W970" t="s">
        <v>267</v>
      </c>
      <c r="X970" t="s">
        <v>117</v>
      </c>
      <c r="Y970" t="s">
        <v>268</v>
      </c>
      <c r="Z970" t="s">
        <v>3179</v>
      </c>
      <c r="AA970" t="s">
        <v>46</v>
      </c>
      <c r="AB970" t="s">
        <v>97</v>
      </c>
      <c r="AC970" t="s">
        <v>46</v>
      </c>
    </row>
    <row r="971" spans="1:29">
      <c r="A971" t="s">
        <v>1387</v>
      </c>
      <c r="B971" s="2">
        <v>46196</v>
      </c>
      <c r="C971" t="s">
        <v>30</v>
      </c>
      <c r="D971" t="s">
        <v>49</v>
      </c>
      <c r="E971" t="s">
        <v>100</v>
      </c>
      <c r="F971" t="s">
        <v>140</v>
      </c>
      <c r="G971" t="s">
        <v>212</v>
      </c>
      <c r="H971" t="s">
        <v>148</v>
      </c>
      <c r="I971" t="s">
        <v>315</v>
      </c>
      <c r="J971" t="s">
        <v>3049</v>
      </c>
      <c r="K971" t="s">
        <v>92</v>
      </c>
      <c r="L971" t="s">
        <v>80</v>
      </c>
      <c r="M971" t="s">
        <v>39</v>
      </c>
      <c r="N971" t="s">
        <v>57</v>
      </c>
      <c r="O971" s="4">
        <v>3</v>
      </c>
      <c r="P971" s="4">
        <v>6</v>
      </c>
      <c r="Q971" t="s">
        <v>69</v>
      </c>
      <c r="R971" s="2">
        <v>46189</v>
      </c>
      <c r="S971" s="4">
        <v>14</v>
      </c>
      <c r="T971" s="3">
        <v>200000000</v>
      </c>
      <c r="U971" t="s">
        <v>42</v>
      </c>
      <c r="V971" t="s">
        <v>59</v>
      </c>
      <c r="W971" t="s">
        <v>157</v>
      </c>
      <c r="Y971" t="s">
        <v>165</v>
      </c>
      <c r="Z971" t="s">
        <v>3177</v>
      </c>
      <c r="AA971" t="s">
        <v>109</v>
      </c>
      <c r="AB971" t="s">
        <v>63</v>
      </c>
      <c r="AC971" t="s">
        <v>109</v>
      </c>
    </row>
    <row r="972" spans="1:29">
      <c r="A972" t="s">
        <v>1388</v>
      </c>
      <c r="B972" s="2">
        <v>46192</v>
      </c>
      <c r="C972" t="s">
        <v>30</v>
      </c>
      <c r="D972" t="s">
        <v>74</v>
      </c>
      <c r="E972" t="s">
        <v>152</v>
      </c>
      <c r="F972" t="s">
        <v>221</v>
      </c>
      <c r="G972" t="s">
        <v>206</v>
      </c>
      <c r="H972" t="s">
        <v>155</v>
      </c>
      <c r="I972" t="s">
        <v>418</v>
      </c>
      <c r="J972" t="s">
        <v>3079</v>
      </c>
      <c r="K972" t="s">
        <v>116</v>
      </c>
      <c r="L972" t="s">
        <v>80</v>
      </c>
      <c r="M972" t="s">
        <v>93</v>
      </c>
      <c r="N972" t="s">
        <v>57</v>
      </c>
      <c r="O972" s="4">
        <v>3</v>
      </c>
      <c r="P972" s="4">
        <v>8</v>
      </c>
      <c r="Q972" t="s">
        <v>69</v>
      </c>
      <c r="R972" s="2">
        <v>46183</v>
      </c>
      <c r="S972" s="4">
        <v>20</v>
      </c>
      <c r="T972" s="3">
        <v>175000000</v>
      </c>
      <c r="U972" t="s">
        <v>42</v>
      </c>
      <c r="V972" t="s">
        <v>59</v>
      </c>
      <c r="W972" t="s">
        <v>60</v>
      </c>
      <c r="Y972" t="s">
        <v>158</v>
      </c>
      <c r="Z972" t="s">
        <v>3177</v>
      </c>
      <c r="AA972" t="s">
        <v>159</v>
      </c>
      <c r="AB972" t="s">
        <v>63</v>
      </c>
      <c r="AC972" t="s">
        <v>159</v>
      </c>
    </row>
    <row r="973" spans="1:29">
      <c r="A973" t="s">
        <v>1389</v>
      </c>
      <c r="B973" s="2">
        <v>46183</v>
      </c>
      <c r="C973" t="s">
        <v>30</v>
      </c>
      <c r="D973" t="s">
        <v>99</v>
      </c>
      <c r="E973" t="s">
        <v>172</v>
      </c>
      <c r="F973" t="s">
        <v>195</v>
      </c>
      <c r="G973" t="s">
        <v>278</v>
      </c>
      <c r="H973" t="s">
        <v>241</v>
      </c>
      <c r="I973" t="s">
        <v>441</v>
      </c>
      <c r="J973" t="s">
        <v>3085</v>
      </c>
      <c r="K973" t="s">
        <v>92</v>
      </c>
      <c r="L973" t="s">
        <v>187</v>
      </c>
      <c r="M973" t="s">
        <v>81</v>
      </c>
      <c r="N973" t="s">
        <v>57</v>
      </c>
      <c r="O973" s="4">
        <v>3</v>
      </c>
      <c r="P973" s="4">
        <v>7</v>
      </c>
      <c r="Q973" t="s">
        <v>142</v>
      </c>
      <c r="R973" s="2">
        <v>46174</v>
      </c>
      <c r="S973" s="4">
        <v>29</v>
      </c>
      <c r="T973" s="3">
        <v>208000000</v>
      </c>
      <c r="U973" t="s">
        <v>42</v>
      </c>
      <c r="V973" t="s">
        <v>59</v>
      </c>
      <c r="W973" t="s">
        <v>203</v>
      </c>
      <c r="Y973" t="s">
        <v>165</v>
      </c>
      <c r="Z973" t="s">
        <v>3177</v>
      </c>
      <c r="AA973" t="s">
        <v>181</v>
      </c>
      <c r="AB973" t="s">
        <v>63</v>
      </c>
      <c r="AC973" t="s">
        <v>181</v>
      </c>
    </row>
    <row r="974" spans="1:29">
      <c r="A974" t="s">
        <v>1390</v>
      </c>
      <c r="B974" s="2">
        <v>46187</v>
      </c>
      <c r="C974" t="s">
        <v>30</v>
      </c>
      <c r="D974" t="s">
        <v>99</v>
      </c>
      <c r="E974" t="s">
        <v>50</v>
      </c>
      <c r="F974" t="s">
        <v>351</v>
      </c>
      <c r="G974" t="s">
        <v>343</v>
      </c>
      <c r="H974" t="s">
        <v>90</v>
      </c>
      <c r="I974" t="s">
        <v>377</v>
      </c>
      <c r="J974" t="s">
        <v>3068</v>
      </c>
      <c r="K974" t="s">
        <v>105</v>
      </c>
      <c r="L974" t="s">
        <v>68</v>
      </c>
      <c r="M974" t="s">
        <v>81</v>
      </c>
      <c r="N974" t="s">
        <v>213</v>
      </c>
      <c r="O974" s="4">
        <v>6</v>
      </c>
      <c r="P974" s="4">
        <v>8</v>
      </c>
      <c r="Q974" t="s">
        <v>138</v>
      </c>
      <c r="R974" s="2">
        <v>46180</v>
      </c>
      <c r="S974" s="4">
        <v>23</v>
      </c>
      <c r="T974" s="3">
        <v>165000000</v>
      </c>
      <c r="U974" t="s">
        <v>214</v>
      </c>
      <c r="V974" t="s">
        <v>70</v>
      </c>
      <c r="W974" t="s">
        <v>215</v>
      </c>
      <c r="Y974" t="s">
        <v>249</v>
      </c>
      <c r="Z974" t="s">
        <v>3179</v>
      </c>
      <c r="AA974" t="s">
        <v>62</v>
      </c>
      <c r="AB974" t="s">
        <v>97</v>
      </c>
      <c r="AC974" t="s">
        <v>62</v>
      </c>
    </row>
    <row r="975" spans="1:29">
      <c r="A975" t="s">
        <v>1391</v>
      </c>
      <c r="B975" s="2">
        <v>46196</v>
      </c>
      <c r="C975" t="s">
        <v>30</v>
      </c>
      <c r="D975" t="s">
        <v>49</v>
      </c>
      <c r="E975" t="s">
        <v>100</v>
      </c>
      <c r="F975" t="s">
        <v>101</v>
      </c>
      <c r="G975" t="s">
        <v>313</v>
      </c>
      <c r="H975" t="s">
        <v>148</v>
      </c>
      <c r="I975" t="s">
        <v>851</v>
      </c>
      <c r="J975" t="s">
        <v>3163</v>
      </c>
      <c r="K975" t="s">
        <v>92</v>
      </c>
      <c r="L975" t="s">
        <v>150</v>
      </c>
      <c r="M975" t="s">
        <v>93</v>
      </c>
      <c r="N975" t="s">
        <v>213</v>
      </c>
      <c r="O975" s="4">
        <v>6</v>
      </c>
      <c r="P975" s="4">
        <v>14</v>
      </c>
      <c r="Q975" t="s">
        <v>58</v>
      </c>
      <c r="R975" s="2">
        <v>46186</v>
      </c>
      <c r="S975" s="4">
        <v>17</v>
      </c>
      <c r="T975" s="3">
        <v>79000000</v>
      </c>
      <c r="U975" t="s">
        <v>214</v>
      </c>
      <c r="V975" t="s">
        <v>70</v>
      </c>
      <c r="W975" t="s">
        <v>248</v>
      </c>
      <c r="Y975" t="s">
        <v>216</v>
      </c>
      <c r="Z975" t="s">
        <v>3179</v>
      </c>
      <c r="AA975" t="s">
        <v>109</v>
      </c>
      <c r="AB975" t="s">
        <v>97</v>
      </c>
      <c r="AC975" t="s">
        <v>109</v>
      </c>
    </row>
    <row r="976" spans="1:29">
      <c r="A976" t="s">
        <v>1392</v>
      </c>
      <c r="B976" s="2">
        <v>46197</v>
      </c>
      <c r="C976" t="s">
        <v>30</v>
      </c>
      <c r="D976" t="s">
        <v>49</v>
      </c>
      <c r="E976" t="s">
        <v>100</v>
      </c>
      <c r="F976" t="s">
        <v>140</v>
      </c>
      <c r="G976" t="s">
        <v>102</v>
      </c>
      <c r="H976" t="s">
        <v>201</v>
      </c>
      <c r="I976" t="s">
        <v>416</v>
      </c>
      <c r="J976" t="s">
        <v>3078</v>
      </c>
      <c r="K976" t="s">
        <v>105</v>
      </c>
      <c r="L976" t="s">
        <v>80</v>
      </c>
      <c r="M976" t="s">
        <v>106</v>
      </c>
      <c r="N976" t="s">
        <v>196</v>
      </c>
      <c r="O976" s="4">
        <v>7</v>
      </c>
      <c r="P976" s="4">
        <v>13</v>
      </c>
      <c r="Q976" t="s">
        <v>107</v>
      </c>
      <c r="R976" s="2">
        <v>46187</v>
      </c>
      <c r="S976" s="4">
        <v>16</v>
      </c>
      <c r="T976" s="3">
        <v>181000000</v>
      </c>
      <c r="U976" t="s">
        <v>564</v>
      </c>
      <c r="V976" t="s">
        <v>70</v>
      </c>
      <c r="W976" t="s">
        <v>675</v>
      </c>
      <c r="Y976" t="s">
        <v>210</v>
      </c>
      <c r="Z976" t="s">
        <v>3181</v>
      </c>
      <c r="AA976" t="s">
        <v>109</v>
      </c>
      <c r="AB976" t="s">
        <v>199</v>
      </c>
      <c r="AC976" t="s">
        <v>109</v>
      </c>
    </row>
    <row r="977" spans="1:29">
      <c r="A977" t="s">
        <v>1393</v>
      </c>
      <c r="B977" s="2">
        <v>46174</v>
      </c>
      <c r="C977" t="s">
        <v>30</v>
      </c>
      <c r="D977" t="s">
        <v>134</v>
      </c>
      <c r="E977" t="s">
        <v>111</v>
      </c>
      <c r="F977" t="s">
        <v>190</v>
      </c>
      <c r="G977" t="s">
        <v>126</v>
      </c>
      <c r="H977" t="s">
        <v>127</v>
      </c>
      <c r="I977" t="s">
        <v>461</v>
      </c>
      <c r="J977" t="s">
        <v>3094</v>
      </c>
      <c r="K977" t="s">
        <v>37</v>
      </c>
      <c r="L977" t="s">
        <v>68</v>
      </c>
      <c r="M977" t="s">
        <v>81</v>
      </c>
      <c r="N977" t="s">
        <v>94</v>
      </c>
      <c r="O977" s="4">
        <v>4</v>
      </c>
      <c r="P977" s="4">
        <v>21</v>
      </c>
      <c r="Q977" t="s">
        <v>69</v>
      </c>
      <c r="R977" s="2">
        <v>46166</v>
      </c>
      <c r="S977" s="4">
        <v>37</v>
      </c>
      <c r="T977" s="3">
        <v>83000000</v>
      </c>
      <c r="U977" t="s">
        <v>42</v>
      </c>
      <c r="V977" t="s">
        <v>59</v>
      </c>
      <c r="W977" t="s">
        <v>188</v>
      </c>
      <c r="X977" t="s">
        <v>117</v>
      </c>
      <c r="Y977" t="s">
        <v>268</v>
      </c>
      <c r="Z977" t="s">
        <v>3179</v>
      </c>
      <c r="AA977" t="s">
        <v>118</v>
      </c>
      <c r="AB977" t="s">
        <v>97</v>
      </c>
      <c r="AC977" t="s">
        <v>118</v>
      </c>
    </row>
    <row r="978" spans="1:29">
      <c r="A978" t="s">
        <v>1394</v>
      </c>
      <c r="B978" s="2">
        <v>46192</v>
      </c>
      <c r="C978" t="s">
        <v>30</v>
      </c>
      <c r="D978" t="s">
        <v>74</v>
      </c>
      <c r="E978" t="s">
        <v>100</v>
      </c>
      <c r="F978" t="s">
        <v>146</v>
      </c>
      <c r="G978" t="s">
        <v>212</v>
      </c>
      <c r="H978" t="s">
        <v>103</v>
      </c>
      <c r="I978" t="s">
        <v>994</v>
      </c>
      <c r="J978" t="s">
        <v>3169</v>
      </c>
      <c r="K978" t="s">
        <v>116</v>
      </c>
      <c r="L978" t="s">
        <v>80</v>
      </c>
      <c r="M978" t="s">
        <v>106</v>
      </c>
      <c r="N978" t="s">
        <v>130</v>
      </c>
      <c r="O978" s="4">
        <v>5</v>
      </c>
      <c r="P978" s="4">
        <v>18</v>
      </c>
      <c r="Q978" t="s">
        <v>107</v>
      </c>
      <c r="R978" s="2">
        <v>46190</v>
      </c>
      <c r="S978" s="4">
        <v>13</v>
      </c>
      <c r="T978" s="3">
        <v>157000000</v>
      </c>
      <c r="U978" t="s">
        <v>42</v>
      </c>
      <c r="V978" t="s">
        <v>143</v>
      </c>
      <c r="W978" t="s">
        <v>144</v>
      </c>
      <c r="X978" t="s">
        <v>117</v>
      </c>
      <c r="Y978" t="s">
        <v>334</v>
      </c>
      <c r="Z978" t="s">
        <v>3179</v>
      </c>
      <c r="AA978" t="s">
        <v>109</v>
      </c>
      <c r="AB978" t="s">
        <v>97</v>
      </c>
      <c r="AC978" t="s">
        <v>109</v>
      </c>
    </row>
    <row r="979" spans="1:29">
      <c r="A979" t="s">
        <v>1395</v>
      </c>
      <c r="B979" s="2">
        <v>46194</v>
      </c>
      <c r="C979" t="s">
        <v>30</v>
      </c>
      <c r="D979" t="s">
        <v>74</v>
      </c>
      <c r="E979" t="s">
        <v>120</v>
      </c>
      <c r="F979" t="s">
        <v>246</v>
      </c>
      <c r="G979" t="s">
        <v>420</v>
      </c>
      <c r="H979" t="s">
        <v>136</v>
      </c>
      <c r="I979" t="s">
        <v>658</v>
      </c>
      <c r="J979" t="s">
        <v>3143</v>
      </c>
      <c r="K979" t="s">
        <v>56</v>
      </c>
      <c r="L979" t="s">
        <v>80</v>
      </c>
      <c r="M979" t="s">
        <v>81</v>
      </c>
      <c r="N979" t="s">
        <v>94</v>
      </c>
      <c r="O979" s="4">
        <v>4</v>
      </c>
      <c r="P979" s="4">
        <v>11</v>
      </c>
      <c r="Q979" t="s">
        <v>83</v>
      </c>
      <c r="R979" s="2">
        <v>46192</v>
      </c>
      <c r="S979" s="4">
        <v>11</v>
      </c>
      <c r="T979" s="3">
        <v>239000000</v>
      </c>
      <c r="U979" t="s">
        <v>42</v>
      </c>
      <c r="V979" t="s">
        <v>59</v>
      </c>
      <c r="W979" t="s">
        <v>95</v>
      </c>
      <c r="X979" t="s">
        <v>117</v>
      </c>
      <c r="Y979" t="s">
        <v>228</v>
      </c>
      <c r="Z979" t="s">
        <v>3179</v>
      </c>
      <c r="AA979" t="s">
        <v>97</v>
      </c>
      <c r="AB979" t="s">
        <v>97</v>
      </c>
      <c r="AC979" t="s">
        <v>97</v>
      </c>
    </row>
    <row r="980" spans="1:29">
      <c r="A980" t="s">
        <v>1396</v>
      </c>
      <c r="B980" s="2">
        <v>46180</v>
      </c>
      <c r="C980" t="s">
        <v>30</v>
      </c>
      <c r="D980" t="s">
        <v>134</v>
      </c>
      <c r="E980" t="s">
        <v>32</v>
      </c>
      <c r="F980" t="s">
        <v>256</v>
      </c>
      <c r="G980" t="s">
        <v>463</v>
      </c>
      <c r="H980" t="s">
        <v>35</v>
      </c>
      <c r="I980" t="s">
        <v>595</v>
      </c>
      <c r="J980" t="s">
        <v>3128</v>
      </c>
      <c r="K980" t="s">
        <v>92</v>
      </c>
      <c r="L980" t="s">
        <v>55</v>
      </c>
      <c r="M980" t="s">
        <v>39</v>
      </c>
      <c r="N980" t="s">
        <v>82</v>
      </c>
      <c r="O980" s="4">
        <v>1</v>
      </c>
      <c r="P980" s="4">
        <v>8</v>
      </c>
      <c r="Q980" t="s">
        <v>58</v>
      </c>
      <c r="R980" s="2">
        <v>46174</v>
      </c>
      <c r="S980" s="4">
        <v>29</v>
      </c>
      <c r="T980" s="3">
        <v>82000000</v>
      </c>
      <c r="U980" t="s">
        <v>260</v>
      </c>
      <c r="V980" t="s">
        <v>43</v>
      </c>
      <c r="W980" t="s">
        <v>84</v>
      </c>
      <c r="X980" t="s">
        <v>520</v>
      </c>
      <c r="Y980" t="s">
        <v>85</v>
      </c>
      <c r="Z980" t="s">
        <v>3178</v>
      </c>
      <c r="AA980" t="s">
        <v>46</v>
      </c>
      <c r="AB980" t="s">
        <v>87</v>
      </c>
      <c r="AC980" t="s">
        <v>46</v>
      </c>
    </row>
    <row r="981" spans="1:29">
      <c r="A981" t="s">
        <v>1397</v>
      </c>
      <c r="B981" s="2">
        <v>46196</v>
      </c>
      <c r="C981" t="s">
        <v>30</v>
      </c>
      <c r="D981" t="s">
        <v>49</v>
      </c>
      <c r="E981" t="s">
        <v>172</v>
      </c>
      <c r="F981" t="s">
        <v>173</v>
      </c>
      <c r="G981" t="s">
        <v>289</v>
      </c>
      <c r="H981" t="s">
        <v>317</v>
      </c>
      <c r="I981" t="s">
        <v>318</v>
      </c>
      <c r="J981" t="s">
        <v>3050</v>
      </c>
      <c r="K981" t="s">
        <v>92</v>
      </c>
      <c r="L981" t="s">
        <v>55</v>
      </c>
      <c r="M981" t="s">
        <v>93</v>
      </c>
      <c r="N981" t="s">
        <v>82</v>
      </c>
      <c r="O981" s="4">
        <v>1</v>
      </c>
      <c r="P981" s="4">
        <v>3</v>
      </c>
      <c r="Q981" t="s">
        <v>83</v>
      </c>
      <c r="R981" s="2">
        <v>46192</v>
      </c>
      <c r="S981" s="4">
        <v>11</v>
      </c>
      <c r="T981" s="3">
        <v>100000000</v>
      </c>
      <c r="U981" t="s">
        <v>42</v>
      </c>
      <c r="V981" t="s">
        <v>43</v>
      </c>
      <c r="W981" t="s">
        <v>404</v>
      </c>
      <c r="Y981" t="s">
        <v>305</v>
      </c>
      <c r="Z981" t="s">
        <v>3176</v>
      </c>
      <c r="AA981" t="s">
        <v>181</v>
      </c>
      <c r="AB981" t="s">
        <v>47</v>
      </c>
      <c r="AC981" t="s">
        <v>181</v>
      </c>
    </row>
    <row r="982" spans="1:29">
      <c r="A982" t="s">
        <v>1398</v>
      </c>
      <c r="B982" s="2">
        <v>46188</v>
      </c>
      <c r="C982" t="s">
        <v>30</v>
      </c>
      <c r="D982" t="s">
        <v>74</v>
      </c>
      <c r="E982" t="s">
        <v>75</v>
      </c>
      <c r="F982" t="s">
        <v>76</v>
      </c>
      <c r="G982" t="s">
        <v>184</v>
      </c>
      <c r="H982" t="s">
        <v>185</v>
      </c>
      <c r="I982" t="s">
        <v>428</v>
      </c>
      <c r="J982" t="s">
        <v>3081</v>
      </c>
      <c r="K982" t="s">
        <v>105</v>
      </c>
      <c r="L982" t="s">
        <v>169</v>
      </c>
      <c r="M982" t="s">
        <v>56</v>
      </c>
      <c r="N982" t="s">
        <v>57</v>
      </c>
      <c r="O982" s="4">
        <v>3</v>
      </c>
      <c r="P982" s="4">
        <v>7</v>
      </c>
      <c r="Q982" t="s">
        <v>142</v>
      </c>
      <c r="R982" s="2">
        <v>46181</v>
      </c>
      <c r="S982" s="4">
        <v>22</v>
      </c>
      <c r="T982" s="3">
        <v>208000000</v>
      </c>
      <c r="U982" t="s">
        <v>177</v>
      </c>
      <c r="V982" t="s">
        <v>43</v>
      </c>
      <c r="W982" t="s">
        <v>60</v>
      </c>
      <c r="X982" t="s">
        <v>261</v>
      </c>
      <c r="Y982" t="s">
        <v>61</v>
      </c>
      <c r="Z982" t="s">
        <v>3177</v>
      </c>
      <c r="AA982" t="s">
        <v>86</v>
      </c>
      <c r="AB982" t="s">
        <v>63</v>
      </c>
      <c r="AC982" t="s">
        <v>86</v>
      </c>
    </row>
    <row r="983" spans="1:29">
      <c r="A983" t="s">
        <v>1399</v>
      </c>
      <c r="B983" s="2">
        <v>46182</v>
      </c>
      <c r="C983" t="s">
        <v>30</v>
      </c>
      <c r="D983" t="s">
        <v>99</v>
      </c>
      <c r="E983" t="s">
        <v>32</v>
      </c>
      <c r="F983" t="s">
        <v>273</v>
      </c>
      <c r="G983" t="s">
        <v>361</v>
      </c>
      <c r="H983" t="s">
        <v>258</v>
      </c>
      <c r="I983" t="s">
        <v>297</v>
      </c>
      <c r="J983" t="s">
        <v>3044</v>
      </c>
      <c r="K983" t="s">
        <v>37</v>
      </c>
      <c r="L983" t="s">
        <v>68</v>
      </c>
      <c r="M983" t="s">
        <v>164</v>
      </c>
      <c r="N983" t="s">
        <v>82</v>
      </c>
      <c r="O983" s="4">
        <v>1</v>
      </c>
      <c r="P983" s="4">
        <v>5</v>
      </c>
      <c r="Q983" t="s">
        <v>83</v>
      </c>
      <c r="R983" s="2">
        <v>46180</v>
      </c>
      <c r="S983" s="4">
        <v>23</v>
      </c>
      <c r="T983" s="3">
        <v>110000000</v>
      </c>
      <c r="U983" t="s">
        <v>42</v>
      </c>
      <c r="V983" t="s">
        <v>43</v>
      </c>
      <c r="W983" t="s">
        <v>359</v>
      </c>
      <c r="Y983" t="s">
        <v>330</v>
      </c>
      <c r="Z983" t="s">
        <v>3178</v>
      </c>
      <c r="AA983" t="s">
        <v>46</v>
      </c>
      <c r="AB983" t="s">
        <v>87</v>
      </c>
      <c r="AC983" t="s">
        <v>46</v>
      </c>
    </row>
    <row r="984" spans="1:29">
      <c r="A984" t="s">
        <v>1400</v>
      </c>
      <c r="B984" s="2">
        <v>46199</v>
      </c>
      <c r="C984" t="s">
        <v>30</v>
      </c>
      <c r="D984" t="s">
        <v>49</v>
      </c>
      <c r="E984" t="s">
        <v>50</v>
      </c>
      <c r="F984" t="s">
        <v>51</v>
      </c>
      <c r="G984" t="s">
        <v>52</v>
      </c>
      <c r="H984" t="s">
        <v>53</v>
      </c>
      <c r="I984" t="s">
        <v>373</v>
      </c>
      <c r="J984" t="s">
        <v>3066</v>
      </c>
      <c r="K984" t="s">
        <v>105</v>
      </c>
      <c r="L984" t="s">
        <v>187</v>
      </c>
      <c r="M984" t="s">
        <v>56</v>
      </c>
      <c r="N984" t="s">
        <v>94</v>
      </c>
      <c r="O984" s="4">
        <v>4</v>
      </c>
      <c r="P984" s="4">
        <v>9</v>
      </c>
      <c r="Q984" t="s">
        <v>83</v>
      </c>
      <c r="R984" s="2">
        <v>46191</v>
      </c>
      <c r="S984" s="4">
        <v>12</v>
      </c>
      <c r="T984" s="3">
        <v>373000000</v>
      </c>
      <c r="U984" t="s">
        <v>42</v>
      </c>
      <c r="V984" t="s">
        <v>70</v>
      </c>
      <c r="W984" t="s">
        <v>95</v>
      </c>
      <c r="Y984" t="s">
        <v>228</v>
      </c>
      <c r="Z984" t="s">
        <v>3179</v>
      </c>
      <c r="AA984" t="s">
        <v>62</v>
      </c>
      <c r="AB984" t="s">
        <v>97</v>
      </c>
      <c r="AC984" t="s">
        <v>62</v>
      </c>
    </row>
    <row r="985" spans="1:29">
      <c r="A985" t="s">
        <v>1401</v>
      </c>
      <c r="B985" s="2">
        <v>46197</v>
      </c>
      <c r="C985" t="s">
        <v>30</v>
      </c>
      <c r="D985" t="s">
        <v>49</v>
      </c>
      <c r="E985" t="s">
        <v>120</v>
      </c>
      <c r="F985" t="s">
        <v>246</v>
      </c>
      <c r="G985" t="s">
        <v>122</v>
      </c>
      <c r="H985" t="s">
        <v>123</v>
      </c>
      <c r="I985" t="s">
        <v>124</v>
      </c>
      <c r="J985" t="s">
        <v>3015</v>
      </c>
      <c r="K985" t="s">
        <v>105</v>
      </c>
      <c r="L985" t="s">
        <v>169</v>
      </c>
      <c r="M985" t="s">
        <v>81</v>
      </c>
      <c r="N985" t="s">
        <v>57</v>
      </c>
      <c r="O985" s="4">
        <v>3</v>
      </c>
      <c r="P985" s="4">
        <v>5</v>
      </c>
      <c r="Q985" t="s">
        <v>69</v>
      </c>
      <c r="R985" s="2">
        <v>46194</v>
      </c>
      <c r="S985" s="4">
        <v>9</v>
      </c>
      <c r="T985" s="3">
        <v>124000000</v>
      </c>
      <c r="U985" t="s">
        <v>42</v>
      </c>
      <c r="V985" t="s">
        <v>43</v>
      </c>
      <c r="W985" t="s">
        <v>60</v>
      </c>
      <c r="Y985" t="s">
        <v>165</v>
      </c>
      <c r="Z985" t="s">
        <v>3177</v>
      </c>
      <c r="AA985" t="s">
        <v>97</v>
      </c>
      <c r="AB985" t="s">
        <v>63</v>
      </c>
      <c r="AC985" t="s">
        <v>97</v>
      </c>
    </row>
    <row r="986" spans="1:29">
      <c r="A986" t="s">
        <v>1402</v>
      </c>
      <c r="B986" s="2">
        <v>46197</v>
      </c>
      <c r="C986" t="s">
        <v>30</v>
      </c>
      <c r="D986" t="s">
        <v>49</v>
      </c>
      <c r="E986" t="s">
        <v>111</v>
      </c>
      <c r="F986" t="s">
        <v>112</v>
      </c>
      <c r="G986" t="s">
        <v>265</v>
      </c>
      <c r="H986" t="s">
        <v>127</v>
      </c>
      <c r="I986" t="s">
        <v>461</v>
      </c>
      <c r="J986" t="s">
        <v>3094</v>
      </c>
      <c r="K986" t="s">
        <v>92</v>
      </c>
      <c r="L986" t="s">
        <v>187</v>
      </c>
      <c r="M986" t="s">
        <v>81</v>
      </c>
      <c r="N986" t="s">
        <v>213</v>
      </c>
      <c r="O986" s="4">
        <v>6</v>
      </c>
      <c r="P986" s="4">
        <v>8</v>
      </c>
      <c r="Q986" t="s">
        <v>58</v>
      </c>
      <c r="R986" s="2">
        <v>46188</v>
      </c>
      <c r="S986" s="4">
        <v>15</v>
      </c>
      <c r="T986" s="3">
        <v>81000000</v>
      </c>
      <c r="U986" t="s">
        <v>214</v>
      </c>
      <c r="V986" t="s">
        <v>70</v>
      </c>
      <c r="W986" t="s">
        <v>248</v>
      </c>
      <c r="Y986" t="s">
        <v>424</v>
      </c>
      <c r="Z986" t="s">
        <v>3179</v>
      </c>
      <c r="AA986" t="s">
        <v>118</v>
      </c>
      <c r="AB986" t="s">
        <v>97</v>
      </c>
      <c r="AC986" t="s">
        <v>118</v>
      </c>
    </row>
    <row r="987" spans="1:29">
      <c r="A987" t="s">
        <v>1403</v>
      </c>
      <c r="B987" s="2">
        <v>46193</v>
      </c>
      <c r="C987" t="s">
        <v>30</v>
      </c>
      <c r="D987" t="s">
        <v>74</v>
      </c>
      <c r="E987" t="s">
        <v>152</v>
      </c>
      <c r="F987" t="s">
        <v>221</v>
      </c>
      <c r="G987" t="s">
        <v>154</v>
      </c>
      <c r="H987" t="s">
        <v>155</v>
      </c>
      <c r="I987" t="s">
        <v>443</v>
      </c>
      <c r="J987" t="s">
        <v>3086</v>
      </c>
      <c r="K987" t="s">
        <v>37</v>
      </c>
      <c r="L987" t="s">
        <v>68</v>
      </c>
      <c r="M987" t="s">
        <v>164</v>
      </c>
      <c r="N987" t="s">
        <v>40</v>
      </c>
      <c r="O987" s="4">
        <v>2</v>
      </c>
      <c r="P987" s="4">
        <v>8</v>
      </c>
      <c r="Q987" t="s">
        <v>138</v>
      </c>
      <c r="R987" s="2">
        <v>46183</v>
      </c>
      <c r="S987" s="4">
        <v>20</v>
      </c>
      <c r="T987" s="3">
        <v>112000000</v>
      </c>
      <c r="U987" t="s">
        <v>42</v>
      </c>
      <c r="V987" t="s">
        <v>43</v>
      </c>
      <c r="W987" t="s">
        <v>178</v>
      </c>
      <c r="Y987" t="s">
        <v>45</v>
      </c>
      <c r="Z987" t="s">
        <v>3178</v>
      </c>
      <c r="AA987" t="s">
        <v>159</v>
      </c>
      <c r="AB987" t="s">
        <v>87</v>
      </c>
      <c r="AC987" t="s">
        <v>159</v>
      </c>
    </row>
    <row r="988" spans="1:29">
      <c r="A988" t="s">
        <v>1404</v>
      </c>
      <c r="B988" s="2">
        <v>46186</v>
      </c>
      <c r="C988" t="s">
        <v>30</v>
      </c>
      <c r="D988" t="s">
        <v>99</v>
      </c>
      <c r="E988" t="s">
        <v>172</v>
      </c>
      <c r="F988" t="s">
        <v>195</v>
      </c>
      <c r="G988" t="s">
        <v>278</v>
      </c>
      <c r="H988" t="s">
        <v>175</v>
      </c>
      <c r="I988" t="s">
        <v>358</v>
      </c>
      <c r="J988" t="s">
        <v>3062</v>
      </c>
      <c r="K988" t="s">
        <v>92</v>
      </c>
      <c r="L988" t="s">
        <v>55</v>
      </c>
      <c r="M988" t="s">
        <v>81</v>
      </c>
      <c r="N988" t="s">
        <v>94</v>
      </c>
      <c r="O988" s="4">
        <v>4</v>
      </c>
      <c r="P988" s="4">
        <v>6</v>
      </c>
      <c r="Q988" t="s">
        <v>83</v>
      </c>
      <c r="R988" s="2">
        <v>46178</v>
      </c>
      <c r="S988" s="4">
        <v>25</v>
      </c>
      <c r="T988" s="3">
        <v>68000000</v>
      </c>
      <c r="U988" t="s">
        <v>42</v>
      </c>
      <c r="V988" t="s">
        <v>59</v>
      </c>
      <c r="W988" t="s">
        <v>95</v>
      </c>
      <c r="Y988" t="s">
        <v>108</v>
      </c>
      <c r="Z988" t="s">
        <v>3179</v>
      </c>
      <c r="AA988" t="s">
        <v>181</v>
      </c>
      <c r="AB988" t="s">
        <v>97</v>
      </c>
      <c r="AC988" t="s">
        <v>181</v>
      </c>
    </row>
    <row r="989" spans="1:29">
      <c r="A989" t="s">
        <v>1405</v>
      </c>
      <c r="B989" s="2">
        <v>46183</v>
      </c>
      <c r="C989" t="s">
        <v>30</v>
      </c>
      <c r="D989" t="s">
        <v>99</v>
      </c>
      <c r="E989" t="s">
        <v>111</v>
      </c>
      <c r="F989" t="s">
        <v>190</v>
      </c>
      <c r="G989" t="s">
        <v>126</v>
      </c>
      <c r="H989" t="s">
        <v>191</v>
      </c>
      <c r="I989" t="s">
        <v>606</v>
      </c>
      <c r="J989" t="s">
        <v>3131</v>
      </c>
      <c r="K989" t="s">
        <v>92</v>
      </c>
      <c r="L989" t="s">
        <v>150</v>
      </c>
      <c r="M989" t="s">
        <v>81</v>
      </c>
      <c r="N989" t="s">
        <v>57</v>
      </c>
      <c r="O989" s="4">
        <v>3</v>
      </c>
      <c r="P989" s="4">
        <v>8</v>
      </c>
      <c r="Q989" t="s">
        <v>107</v>
      </c>
      <c r="R989" s="2">
        <v>46176</v>
      </c>
      <c r="S989" s="4">
        <v>27</v>
      </c>
      <c r="T989" s="3">
        <v>88000000</v>
      </c>
      <c r="U989" t="s">
        <v>42</v>
      </c>
      <c r="V989" t="s">
        <v>59</v>
      </c>
      <c r="W989" t="s">
        <v>203</v>
      </c>
      <c r="Y989" t="s">
        <v>61</v>
      </c>
      <c r="Z989" t="s">
        <v>3177</v>
      </c>
      <c r="AA989" t="s">
        <v>118</v>
      </c>
      <c r="AB989" t="s">
        <v>63</v>
      </c>
      <c r="AC989" t="s">
        <v>118</v>
      </c>
    </row>
    <row r="990" spans="1:29">
      <c r="A990" t="s">
        <v>1406</v>
      </c>
      <c r="B990" s="2">
        <v>46198</v>
      </c>
      <c r="C990" t="s">
        <v>30</v>
      </c>
      <c r="D990" t="s">
        <v>49</v>
      </c>
      <c r="E990" t="s">
        <v>172</v>
      </c>
      <c r="F990" t="s">
        <v>277</v>
      </c>
      <c r="G990" t="s">
        <v>476</v>
      </c>
      <c r="H990" t="s">
        <v>317</v>
      </c>
      <c r="I990" t="s">
        <v>756</v>
      </c>
      <c r="J990" t="s">
        <v>3152</v>
      </c>
      <c r="K990" t="s">
        <v>105</v>
      </c>
      <c r="L990" t="s">
        <v>80</v>
      </c>
      <c r="M990" t="s">
        <v>129</v>
      </c>
      <c r="N990" t="s">
        <v>57</v>
      </c>
      <c r="O990" s="4">
        <v>3</v>
      </c>
      <c r="P990" s="4">
        <v>5</v>
      </c>
      <c r="Q990" t="s">
        <v>107</v>
      </c>
      <c r="R990" s="2">
        <v>46188</v>
      </c>
      <c r="S990" s="4">
        <v>15</v>
      </c>
      <c r="T990" s="3">
        <v>135000000</v>
      </c>
      <c r="U990" t="s">
        <v>42</v>
      </c>
      <c r="V990" t="s">
        <v>59</v>
      </c>
      <c r="W990" t="s">
        <v>157</v>
      </c>
      <c r="Y990" t="s">
        <v>165</v>
      </c>
      <c r="Z990" t="s">
        <v>3177</v>
      </c>
      <c r="AA990" t="s">
        <v>181</v>
      </c>
      <c r="AB990" t="s">
        <v>63</v>
      </c>
      <c r="AC990" t="s">
        <v>181</v>
      </c>
    </row>
    <row r="991" spans="1:29">
      <c r="A991" t="s">
        <v>1407</v>
      </c>
      <c r="B991" s="2">
        <v>46193</v>
      </c>
      <c r="C991" t="s">
        <v>30</v>
      </c>
      <c r="D991" t="s">
        <v>74</v>
      </c>
      <c r="E991" t="s">
        <v>75</v>
      </c>
      <c r="F991" t="s">
        <v>183</v>
      </c>
      <c r="G991" t="s">
        <v>230</v>
      </c>
      <c r="H991" t="s">
        <v>388</v>
      </c>
      <c r="I991" t="s">
        <v>576</v>
      </c>
      <c r="J991" t="s">
        <v>3123</v>
      </c>
      <c r="K991" t="s">
        <v>37</v>
      </c>
      <c r="L991" t="s">
        <v>187</v>
      </c>
      <c r="M991" t="s">
        <v>93</v>
      </c>
      <c r="N991" t="s">
        <v>130</v>
      </c>
      <c r="O991" s="4">
        <v>5</v>
      </c>
      <c r="P991" s="4">
        <v>10</v>
      </c>
      <c r="Q991" t="s">
        <v>107</v>
      </c>
      <c r="R991" s="2">
        <v>46193</v>
      </c>
      <c r="S991" s="4">
        <v>10</v>
      </c>
      <c r="T991" s="3">
        <v>74000000</v>
      </c>
      <c r="U991" t="s">
        <v>42</v>
      </c>
      <c r="V991" t="s">
        <v>143</v>
      </c>
      <c r="W991" t="s">
        <v>252</v>
      </c>
      <c r="Y991" t="s">
        <v>334</v>
      </c>
      <c r="Z991" t="s">
        <v>3179</v>
      </c>
      <c r="AA991" t="s">
        <v>86</v>
      </c>
      <c r="AB991" t="s">
        <v>97</v>
      </c>
      <c r="AC991" t="s">
        <v>86</v>
      </c>
    </row>
    <row r="992" spans="1:29">
      <c r="A992" t="s">
        <v>1408</v>
      </c>
      <c r="B992" s="2">
        <v>46201</v>
      </c>
      <c r="C992" t="s">
        <v>30</v>
      </c>
      <c r="D992" t="s">
        <v>49</v>
      </c>
      <c r="E992" t="s">
        <v>100</v>
      </c>
      <c r="F992" t="s">
        <v>140</v>
      </c>
      <c r="G992" t="s">
        <v>313</v>
      </c>
      <c r="H992" t="s">
        <v>201</v>
      </c>
      <c r="I992" t="s">
        <v>371</v>
      </c>
      <c r="J992" t="s">
        <v>3065</v>
      </c>
      <c r="K992" t="s">
        <v>105</v>
      </c>
      <c r="L992" t="s">
        <v>187</v>
      </c>
      <c r="M992" t="s">
        <v>56</v>
      </c>
      <c r="N992" t="s">
        <v>196</v>
      </c>
      <c r="O992" s="4">
        <v>7</v>
      </c>
      <c r="P992" s="4">
        <v>15</v>
      </c>
      <c r="Q992" t="s">
        <v>142</v>
      </c>
      <c r="R992" s="2">
        <v>46196</v>
      </c>
      <c r="S992" s="4">
        <v>7</v>
      </c>
      <c r="T992" s="3">
        <v>160000000</v>
      </c>
      <c r="U992" t="s">
        <v>564</v>
      </c>
      <c r="V992" t="s">
        <v>70</v>
      </c>
      <c r="W992" t="s">
        <v>243</v>
      </c>
      <c r="Y992" t="s">
        <v>210</v>
      </c>
      <c r="Z992" t="s">
        <v>3181</v>
      </c>
      <c r="AA992" t="s">
        <v>109</v>
      </c>
      <c r="AB992" t="s">
        <v>199</v>
      </c>
      <c r="AC992" t="s">
        <v>109</v>
      </c>
    </row>
    <row r="993" spans="1:29">
      <c r="A993" t="s">
        <v>1409</v>
      </c>
      <c r="B993" s="2">
        <v>46185</v>
      </c>
      <c r="C993" t="s">
        <v>30</v>
      </c>
      <c r="D993" t="s">
        <v>99</v>
      </c>
      <c r="E993" t="s">
        <v>111</v>
      </c>
      <c r="F993" t="s">
        <v>264</v>
      </c>
      <c r="G993" t="s">
        <v>251</v>
      </c>
      <c r="H993" t="s">
        <v>114</v>
      </c>
      <c r="I993" t="s">
        <v>383</v>
      </c>
      <c r="J993" t="s">
        <v>3070</v>
      </c>
      <c r="K993" t="s">
        <v>56</v>
      </c>
      <c r="L993" t="s">
        <v>38</v>
      </c>
      <c r="M993" t="s">
        <v>93</v>
      </c>
      <c r="N993" t="s">
        <v>213</v>
      </c>
      <c r="O993" s="4">
        <v>6</v>
      </c>
      <c r="P993" s="4">
        <v>15</v>
      </c>
      <c r="Q993" t="s">
        <v>41</v>
      </c>
      <c r="R993" s="2">
        <v>46180</v>
      </c>
      <c r="S993" s="4">
        <v>23</v>
      </c>
      <c r="T993" s="3">
        <v>148000000</v>
      </c>
      <c r="U993" t="s">
        <v>214</v>
      </c>
      <c r="V993" t="s">
        <v>70</v>
      </c>
      <c r="W993" t="s">
        <v>248</v>
      </c>
      <c r="Y993" t="s">
        <v>424</v>
      </c>
      <c r="Z993" t="s">
        <v>3179</v>
      </c>
      <c r="AA993" t="s">
        <v>118</v>
      </c>
      <c r="AB993" t="s">
        <v>97</v>
      </c>
      <c r="AC993" t="s">
        <v>118</v>
      </c>
    </row>
    <row r="994" spans="1:29">
      <c r="A994" t="s">
        <v>1410</v>
      </c>
      <c r="B994" s="2">
        <v>46174</v>
      </c>
      <c r="C994" t="s">
        <v>30</v>
      </c>
      <c r="D994" t="s">
        <v>134</v>
      </c>
      <c r="E994" t="s">
        <v>152</v>
      </c>
      <c r="F994" t="s">
        <v>205</v>
      </c>
      <c r="G994" t="s">
        <v>294</v>
      </c>
      <c r="H994" t="s">
        <v>155</v>
      </c>
      <c r="I994" t="s">
        <v>375</v>
      </c>
      <c r="J994" t="s">
        <v>3067</v>
      </c>
      <c r="K994" t="s">
        <v>92</v>
      </c>
      <c r="L994" t="s">
        <v>80</v>
      </c>
      <c r="M994" t="s">
        <v>164</v>
      </c>
      <c r="N994" t="s">
        <v>40</v>
      </c>
      <c r="O994" s="4">
        <v>2</v>
      </c>
      <c r="P994" s="4">
        <v>11</v>
      </c>
      <c r="Q994" t="s">
        <v>58</v>
      </c>
      <c r="R994" s="2">
        <v>46170</v>
      </c>
      <c r="S994" s="4">
        <v>33</v>
      </c>
      <c r="T994" s="3">
        <v>73000000</v>
      </c>
      <c r="U994" t="s">
        <v>42</v>
      </c>
      <c r="V994" t="s">
        <v>59</v>
      </c>
      <c r="W994" t="s">
        <v>178</v>
      </c>
      <c r="Y994" t="s">
        <v>281</v>
      </c>
      <c r="Z994" t="s">
        <v>3178</v>
      </c>
      <c r="AA994" t="s">
        <v>159</v>
      </c>
      <c r="AB994" t="s">
        <v>87</v>
      </c>
      <c r="AC994" t="s">
        <v>159</v>
      </c>
    </row>
    <row r="995" spans="1:29">
      <c r="A995" t="s">
        <v>1411</v>
      </c>
      <c r="B995" s="2">
        <v>46200</v>
      </c>
      <c r="C995" t="s">
        <v>30</v>
      </c>
      <c r="D995" t="s">
        <v>49</v>
      </c>
      <c r="E995" t="s">
        <v>152</v>
      </c>
      <c r="F995" t="s">
        <v>221</v>
      </c>
      <c r="G995" t="s">
        <v>206</v>
      </c>
      <c r="H995" t="s">
        <v>155</v>
      </c>
      <c r="I995" t="s">
        <v>537</v>
      </c>
      <c r="J995" t="s">
        <v>3113</v>
      </c>
      <c r="K995" t="s">
        <v>56</v>
      </c>
      <c r="L995" t="s">
        <v>187</v>
      </c>
      <c r="M995" t="s">
        <v>164</v>
      </c>
      <c r="N995" t="s">
        <v>40</v>
      </c>
      <c r="O995" s="4">
        <v>2</v>
      </c>
      <c r="P995" s="4">
        <v>14</v>
      </c>
      <c r="Q995" t="s">
        <v>107</v>
      </c>
      <c r="R995" s="2">
        <v>46192</v>
      </c>
      <c r="S995" s="4">
        <v>11</v>
      </c>
      <c r="T995" s="3">
        <v>235000000</v>
      </c>
      <c r="U995" t="s">
        <v>42</v>
      </c>
      <c r="V995" t="s">
        <v>43</v>
      </c>
      <c r="W995" t="s">
        <v>239</v>
      </c>
      <c r="Y995" t="s">
        <v>281</v>
      </c>
      <c r="Z995" t="s">
        <v>3180</v>
      </c>
      <c r="AA995" t="s">
        <v>159</v>
      </c>
      <c r="AB995" t="s">
        <v>193</v>
      </c>
      <c r="AC995" t="s">
        <v>159</v>
      </c>
    </row>
    <row r="996" spans="1:29">
      <c r="A996" t="s">
        <v>1412</v>
      </c>
      <c r="B996" s="2">
        <v>46180</v>
      </c>
      <c r="C996" t="s">
        <v>30</v>
      </c>
      <c r="D996" t="s">
        <v>134</v>
      </c>
      <c r="E996" t="s">
        <v>75</v>
      </c>
      <c r="F996" t="s">
        <v>76</v>
      </c>
      <c r="G996" t="s">
        <v>77</v>
      </c>
      <c r="H996" t="s">
        <v>78</v>
      </c>
      <c r="I996" t="s">
        <v>79</v>
      </c>
      <c r="J996" t="s">
        <v>3011</v>
      </c>
      <c r="K996" t="s">
        <v>56</v>
      </c>
      <c r="L996" t="s">
        <v>169</v>
      </c>
      <c r="M996" t="s">
        <v>39</v>
      </c>
      <c r="N996" t="s">
        <v>57</v>
      </c>
      <c r="O996" s="4">
        <v>3</v>
      </c>
      <c r="P996" s="4">
        <v>7</v>
      </c>
      <c r="Q996" t="s">
        <v>41</v>
      </c>
      <c r="R996" s="2">
        <v>46180</v>
      </c>
      <c r="S996" s="4">
        <v>23</v>
      </c>
      <c r="T996" s="3">
        <v>348000000</v>
      </c>
      <c r="U996" t="s">
        <v>42</v>
      </c>
      <c r="V996" t="s">
        <v>59</v>
      </c>
      <c r="W996" t="s">
        <v>203</v>
      </c>
      <c r="Y996" t="s">
        <v>61</v>
      </c>
      <c r="Z996" t="s">
        <v>3177</v>
      </c>
      <c r="AA996" t="s">
        <v>86</v>
      </c>
      <c r="AB996" t="s">
        <v>63</v>
      </c>
      <c r="AC996" t="s">
        <v>86</v>
      </c>
    </row>
    <row r="997" spans="1:29">
      <c r="A997" t="s">
        <v>1413</v>
      </c>
      <c r="B997" s="2">
        <v>46200</v>
      </c>
      <c r="C997" t="s">
        <v>30</v>
      </c>
      <c r="D997" t="s">
        <v>49</v>
      </c>
      <c r="E997" t="s">
        <v>111</v>
      </c>
      <c r="F997" t="s">
        <v>112</v>
      </c>
      <c r="G997" t="s">
        <v>251</v>
      </c>
      <c r="H997" t="s">
        <v>191</v>
      </c>
      <c r="I997" t="s">
        <v>467</v>
      </c>
      <c r="J997" t="s">
        <v>3096</v>
      </c>
      <c r="K997" t="s">
        <v>92</v>
      </c>
      <c r="L997" t="s">
        <v>80</v>
      </c>
      <c r="M997" t="s">
        <v>164</v>
      </c>
      <c r="N997" t="s">
        <v>40</v>
      </c>
      <c r="O997" s="4">
        <v>2</v>
      </c>
      <c r="P997" s="4">
        <v>8</v>
      </c>
      <c r="Q997" t="s">
        <v>142</v>
      </c>
      <c r="R997" s="2">
        <v>46190</v>
      </c>
      <c r="S997" s="4">
        <v>13</v>
      </c>
      <c r="T997" s="3">
        <v>63000000</v>
      </c>
      <c r="U997" t="s">
        <v>42</v>
      </c>
      <c r="V997" t="s">
        <v>59</v>
      </c>
      <c r="W997" t="s">
        <v>239</v>
      </c>
      <c r="Y997" t="s">
        <v>281</v>
      </c>
      <c r="Z997" t="s">
        <v>3178</v>
      </c>
      <c r="AA997" t="s">
        <v>118</v>
      </c>
      <c r="AB997" t="s">
        <v>87</v>
      </c>
      <c r="AC997" t="s">
        <v>118</v>
      </c>
    </row>
    <row r="998" spans="1:29">
      <c r="A998" t="s">
        <v>1414</v>
      </c>
      <c r="B998" s="2">
        <v>46188</v>
      </c>
      <c r="C998" t="s">
        <v>30</v>
      </c>
      <c r="D998" t="s">
        <v>74</v>
      </c>
      <c r="E998" t="s">
        <v>172</v>
      </c>
      <c r="F998" t="s">
        <v>277</v>
      </c>
      <c r="G998" t="s">
        <v>338</v>
      </c>
      <c r="H998" t="s">
        <v>175</v>
      </c>
      <c r="I998" t="s">
        <v>485</v>
      </c>
      <c r="J998" t="s">
        <v>3101</v>
      </c>
      <c r="K998" t="s">
        <v>37</v>
      </c>
      <c r="L998" t="s">
        <v>150</v>
      </c>
      <c r="M998" t="s">
        <v>81</v>
      </c>
      <c r="N998" t="s">
        <v>94</v>
      </c>
      <c r="O998" s="4">
        <v>4</v>
      </c>
      <c r="P998" s="4">
        <v>6</v>
      </c>
      <c r="Q998" t="s">
        <v>69</v>
      </c>
      <c r="R998" s="2">
        <v>46178</v>
      </c>
      <c r="S998" s="4">
        <v>25</v>
      </c>
      <c r="T998" s="3">
        <v>155000000</v>
      </c>
      <c r="U998" t="s">
        <v>42</v>
      </c>
      <c r="V998" t="s">
        <v>143</v>
      </c>
      <c r="W998" t="s">
        <v>95</v>
      </c>
      <c r="X998" t="s">
        <v>117</v>
      </c>
      <c r="Y998" t="s">
        <v>228</v>
      </c>
      <c r="Z998" t="s">
        <v>3179</v>
      </c>
      <c r="AA998" t="s">
        <v>181</v>
      </c>
      <c r="AB998" t="s">
        <v>97</v>
      </c>
      <c r="AC998" t="s">
        <v>181</v>
      </c>
    </row>
    <row r="999" spans="1:29">
      <c r="A999" t="s">
        <v>1415</v>
      </c>
      <c r="B999" s="2">
        <v>46197</v>
      </c>
      <c r="C999" t="s">
        <v>30</v>
      </c>
      <c r="D999" t="s">
        <v>49</v>
      </c>
      <c r="E999" t="s">
        <v>100</v>
      </c>
      <c r="F999" t="s">
        <v>101</v>
      </c>
      <c r="G999" t="s">
        <v>147</v>
      </c>
      <c r="H999" t="s">
        <v>148</v>
      </c>
      <c r="I999" t="s">
        <v>490</v>
      </c>
      <c r="J999" t="s">
        <v>3103</v>
      </c>
      <c r="K999" t="s">
        <v>37</v>
      </c>
      <c r="L999" t="s">
        <v>187</v>
      </c>
      <c r="M999" t="s">
        <v>39</v>
      </c>
      <c r="N999" t="s">
        <v>213</v>
      </c>
      <c r="O999" s="4">
        <v>6</v>
      </c>
      <c r="P999" s="4">
        <v>21</v>
      </c>
      <c r="Q999" t="s">
        <v>41</v>
      </c>
      <c r="R999" s="2">
        <v>46196</v>
      </c>
      <c r="S999" s="4">
        <v>7</v>
      </c>
      <c r="T999" s="3">
        <v>242000000</v>
      </c>
      <c r="U999" t="s">
        <v>214</v>
      </c>
      <c r="V999" t="s">
        <v>70</v>
      </c>
      <c r="W999" t="s">
        <v>215</v>
      </c>
      <c r="Y999" t="s">
        <v>424</v>
      </c>
      <c r="Z999" t="s">
        <v>3179</v>
      </c>
      <c r="AA999" t="s">
        <v>109</v>
      </c>
      <c r="AB999" t="s">
        <v>97</v>
      </c>
      <c r="AC999" t="s">
        <v>109</v>
      </c>
    </row>
    <row r="1000" spans="1:29">
      <c r="A1000" t="s">
        <v>1416</v>
      </c>
      <c r="B1000" s="2">
        <v>46189</v>
      </c>
      <c r="C1000" t="s">
        <v>30</v>
      </c>
      <c r="D1000" t="s">
        <v>74</v>
      </c>
      <c r="E1000" t="s">
        <v>172</v>
      </c>
      <c r="F1000" t="s">
        <v>195</v>
      </c>
      <c r="G1000" t="s">
        <v>338</v>
      </c>
      <c r="H1000" t="s">
        <v>317</v>
      </c>
      <c r="I1000" t="s">
        <v>1124</v>
      </c>
      <c r="J1000" t="s">
        <v>3173</v>
      </c>
      <c r="K1000" t="s">
        <v>37</v>
      </c>
      <c r="L1000" t="s">
        <v>80</v>
      </c>
      <c r="M1000" t="s">
        <v>106</v>
      </c>
      <c r="N1000" t="s">
        <v>40</v>
      </c>
      <c r="O1000" s="4">
        <v>2</v>
      </c>
      <c r="P1000" s="4">
        <v>16</v>
      </c>
      <c r="Q1000" t="s">
        <v>41</v>
      </c>
      <c r="R1000" s="2">
        <v>46181</v>
      </c>
      <c r="S1000" s="4">
        <v>22</v>
      </c>
      <c r="T1000" s="3">
        <v>204000000</v>
      </c>
      <c r="U1000" t="s">
        <v>42</v>
      </c>
      <c r="V1000" t="s">
        <v>59</v>
      </c>
      <c r="W1000" t="s">
        <v>178</v>
      </c>
      <c r="Y1000" t="s">
        <v>45</v>
      </c>
      <c r="Z1000" t="s">
        <v>3180</v>
      </c>
      <c r="AA1000" t="s">
        <v>181</v>
      </c>
      <c r="AB1000" t="s">
        <v>193</v>
      </c>
      <c r="AC1000" t="s">
        <v>181</v>
      </c>
    </row>
    <row r="1001" spans="1:29">
      <c r="A1001" t="s">
        <v>1417</v>
      </c>
      <c r="B1001" s="2">
        <v>46191</v>
      </c>
      <c r="C1001" t="s">
        <v>30</v>
      </c>
      <c r="D1001" t="s">
        <v>74</v>
      </c>
      <c r="E1001" t="s">
        <v>111</v>
      </c>
      <c r="F1001" t="s">
        <v>112</v>
      </c>
      <c r="G1001" t="s">
        <v>113</v>
      </c>
      <c r="H1001" t="s">
        <v>114</v>
      </c>
      <c r="I1001" t="s">
        <v>1078</v>
      </c>
      <c r="J1001" t="s">
        <v>3172</v>
      </c>
      <c r="K1001" t="s">
        <v>37</v>
      </c>
      <c r="L1001" t="s">
        <v>80</v>
      </c>
      <c r="M1001" t="s">
        <v>56</v>
      </c>
      <c r="N1001" t="s">
        <v>57</v>
      </c>
      <c r="O1001" s="4">
        <v>3</v>
      </c>
      <c r="P1001" s="4">
        <v>9</v>
      </c>
      <c r="Q1001" t="s">
        <v>142</v>
      </c>
      <c r="R1001" s="2">
        <v>46182</v>
      </c>
      <c r="S1001" s="4">
        <v>21</v>
      </c>
      <c r="T1001" s="3">
        <v>228000000</v>
      </c>
      <c r="U1001" t="s">
        <v>42</v>
      </c>
      <c r="V1001" t="s">
        <v>59</v>
      </c>
      <c r="W1001" t="s">
        <v>203</v>
      </c>
      <c r="Y1001" t="s">
        <v>158</v>
      </c>
      <c r="Z1001" t="s">
        <v>3177</v>
      </c>
      <c r="AA1001" t="s">
        <v>118</v>
      </c>
      <c r="AB1001" t="s">
        <v>63</v>
      </c>
      <c r="AC1001" t="s">
        <v>118</v>
      </c>
    </row>
    <row r="1002" spans="1:29">
      <c r="A1002" t="s">
        <v>1418</v>
      </c>
      <c r="B1002" s="2">
        <v>46181</v>
      </c>
      <c r="C1002" t="s">
        <v>30</v>
      </c>
      <c r="D1002" t="s">
        <v>99</v>
      </c>
      <c r="E1002" t="s">
        <v>100</v>
      </c>
      <c r="F1002" t="s">
        <v>140</v>
      </c>
      <c r="G1002" t="s">
        <v>212</v>
      </c>
      <c r="H1002" t="s">
        <v>103</v>
      </c>
      <c r="I1002" t="s">
        <v>563</v>
      </c>
      <c r="J1002" t="s">
        <v>3120</v>
      </c>
      <c r="K1002" t="s">
        <v>105</v>
      </c>
      <c r="L1002" t="s">
        <v>55</v>
      </c>
      <c r="M1002" t="s">
        <v>81</v>
      </c>
      <c r="N1002" t="s">
        <v>94</v>
      </c>
      <c r="O1002" s="4">
        <v>4</v>
      </c>
      <c r="P1002" s="4">
        <v>18</v>
      </c>
      <c r="Q1002" t="s">
        <v>142</v>
      </c>
      <c r="R1002" s="2">
        <v>46180</v>
      </c>
      <c r="S1002" s="4">
        <v>23</v>
      </c>
      <c r="T1002" s="3">
        <v>78000000</v>
      </c>
      <c r="U1002" t="s">
        <v>42</v>
      </c>
      <c r="V1002" t="s">
        <v>143</v>
      </c>
      <c r="W1002" t="s">
        <v>95</v>
      </c>
      <c r="X1002" t="s">
        <v>253</v>
      </c>
      <c r="Y1002" t="s">
        <v>268</v>
      </c>
      <c r="Z1002" t="s">
        <v>3179</v>
      </c>
      <c r="AA1002" t="s">
        <v>109</v>
      </c>
      <c r="AB1002" t="s">
        <v>97</v>
      </c>
      <c r="AC1002" t="s">
        <v>109</v>
      </c>
    </row>
    <row r="1003" spans="1:29">
      <c r="A1003" t="s">
        <v>1419</v>
      </c>
      <c r="B1003" s="2">
        <v>46183</v>
      </c>
      <c r="C1003" t="s">
        <v>30</v>
      </c>
      <c r="D1003" t="s">
        <v>99</v>
      </c>
      <c r="E1003" t="s">
        <v>50</v>
      </c>
      <c r="F1003" t="s">
        <v>351</v>
      </c>
      <c r="G1003" t="s">
        <v>343</v>
      </c>
      <c r="H1003" t="s">
        <v>90</v>
      </c>
      <c r="I1003" t="s">
        <v>377</v>
      </c>
      <c r="J1003" t="s">
        <v>3068</v>
      </c>
      <c r="K1003" t="s">
        <v>116</v>
      </c>
      <c r="L1003" t="s">
        <v>187</v>
      </c>
      <c r="M1003" t="s">
        <v>164</v>
      </c>
      <c r="N1003" t="s">
        <v>130</v>
      </c>
      <c r="O1003" s="4">
        <v>5</v>
      </c>
      <c r="P1003" s="4">
        <v>12</v>
      </c>
      <c r="Q1003" t="s">
        <v>69</v>
      </c>
      <c r="R1003" s="2">
        <v>46179</v>
      </c>
      <c r="S1003" s="4">
        <v>24</v>
      </c>
      <c r="T1003" s="3">
        <v>60000000</v>
      </c>
      <c r="U1003" t="s">
        <v>42</v>
      </c>
      <c r="V1003" t="s">
        <v>70</v>
      </c>
      <c r="W1003" t="s">
        <v>144</v>
      </c>
      <c r="Y1003" t="s">
        <v>254</v>
      </c>
      <c r="Z1003" t="s">
        <v>3179</v>
      </c>
      <c r="AA1003" t="s">
        <v>62</v>
      </c>
      <c r="AB1003" t="s">
        <v>97</v>
      </c>
      <c r="AC1003" t="s">
        <v>62</v>
      </c>
    </row>
    <row r="1004" spans="1:29">
      <c r="A1004" t="s">
        <v>1420</v>
      </c>
      <c r="B1004" s="2">
        <v>46189</v>
      </c>
      <c r="C1004" t="s">
        <v>30</v>
      </c>
      <c r="D1004" t="s">
        <v>74</v>
      </c>
      <c r="E1004" t="s">
        <v>172</v>
      </c>
      <c r="F1004" t="s">
        <v>195</v>
      </c>
      <c r="G1004" t="s">
        <v>289</v>
      </c>
      <c r="H1004" t="s">
        <v>241</v>
      </c>
      <c r="I1004" t="s">
        <v>379</v>
      </c>
      <c r="J1004" t="s">
        <v>3069</v>
      </c>
      <c r="K1004" t="s">
        <v>56</v>
      </c>
      <c r="L1004" t="s">
        <v>150</v>
      </c>
      <c r="M1004" t="s">
        <v>81</v>
      </c>
      <c r="N1004" t="s">
        <v>40</v>
      </c>
      <c r="O1004" s="4">
        <v>2</v>
      </c>
      <c r="P1004" s="4">
        <v>8</v>
      </c>
      <c r="Q1004" t="s">
        <v>142</v>
      </c>
      <c r="R1004" s="2">
        <v>46189</v>
      </c>
      <c r="S1004" s="4">
        <v>14</v>
      </c>
      <c r="T1004" s="3">
        <v>291000000</v>
      </c>
      <c r="U1004" t="s">
        <v>42</v>
      </c>
      <c r="V1004" t="s">
        <v>43</v>
      </c>
      <c r="W1004" t="s">
        <v>298</v>
      </c>
      <c r="Y1004" t="s">
        <v>281</v>
      </c>
      <c r="Z1004" t="s">
        <v>3178</v>
      </c>
      <c r="AA1004" t="s">
        <v>181</v>
      </c>
      <c r="AB1004" t="s">
        <v>87</v>
      </c>
      <c r="AC1004" t="s">
        <v>181</v>
      </c>
    </row>
    <row r="1005" spans="1:29">
      <c r="A1005" t="s">
        <v>1421</v>
      </c>
      <c r="B1005" s="2">
        <v>46176</v>
      </c>
      <c r="C1005" t="s">
        <v>30</v>
      </c>
      <c r="D1005" t="s">
        <v>134</v>
      </c>
      <c r="E1005" t="s">
        <v>172</v>
      </c>
      <c r="F1005" t="s">
        <v>277</v>
      </c>
      <c r="G1005" t="s">
        <v>476</v>
      </c>
      <c r="H1005" t="s">
        <v>317</v>
      </c>
      <c r="I1005" t="s">
        <v>407</v>
      </c>
      <c r="J1005" t="s">
        <v>3075</v>
      </c>
      <c r="K1005" t="s">
        <v>92</v>
      </c>
      <c r="L1005" t="s">
        <v>187</v>
      </c>
      <c r="M1005" t="s">
        <v>164</v>
      </c>
      <c r="N1005" t="s">
        <v>40</v>
      </c>
      <c r="O1005" s="4">
        <v>2</v>
      </c>
      <c r="P1005" s="4">
        <v>13</v>
      </c>
      <c r="Q1005" t="s">
        <v>41</v>
      </c>
      <c r="R1005" s="2">
        <v>46171</v>
      </c>
      <c r="S1005" s="4">
        <v>32</v>
      </c>
      <c r="T1005" s="3">
        <v>96000000</v>
      </c>
      <c r="U1005" t="s">
        <v>42</v>
      </c>
      <c r="V1005" t="s">
        <v>43</v>
      </c>
      <c r="W1005" t="s">
        <v>239</v>
      </c>
      <c r="Y1005" t="s">
        <v>180</v>
      </c>
      <c r="Z1005" t="s">
        <v>3180</v>
      </c>
      <c r="AA1005" t="s">
        <v>181</v>
      </c>
      <c r="AB1005" t="s">
        <v>193</v>
      </c>
      <c r="AC1005" t="s">
        <v>181</v>
      </c>
    </row>
    <row r="1006" spans="1:29">
      <c r="A1006" t="s">
        <v>1422</v>
      </c>
      <c r="B1006" s="2">
        <v>46192</v>
      </c>
      <c r="C1006" t="s">
        <v>30</v>
      </c>
      <c r="D1006" t="s">
        <v>74</v>
      </c>
      <c r="E1006" t="s">
        <v>50</v>
      </c>
      <c r="F1006" t="s">
        <v>89</v>
      </c>
      <c r="G1006" t="s">
        <v>343</v>
      </c>
      <c r="H1006" t="s">
        <v>66</v>
      </c>
      <c r="I1006" t="s">
        <v>346</v>
      </c>
      <c r="J1006" t="s">
        <v>3058</v>
      </c>
      <c r="K1006" t="s">
        <v>37</v>
      </c>
      <c r="L1006" t="s">
        <v>38</v>
      </c>
      <c r="M1006" t="s">
        <v>39</v>
      </c>
      <c r="N1006" t="s">
        <v>57</v>
      </c>
      <c r="O1006" s="4">
        <v>3</v>
      </c>
      <c r="P1006" s="4">
        <v>9</v>
      </c>
      <c r="Q1006" t="s">
        <v>142</v>
      </c>
      <c r="R1006" s="2">
        <v>46187</v>
      </c>
      <c r="S1006" s="4">
        <v>16</v>
      </c>
      <c r="T1006" s="3">
        <v>138000000</v>
      </c>
      <c r="U1006" t="s">
        <v>42</v>
      </c>
      <c r="V1006" t="s">
        <v>59</v>
      </c>
      <c r="W1006" t="s">
        <v>60</v>
      </c>
      <c r="Y1006" t="s">
        <v>72</v>
      </c>
      <c r="Z1006" t="s">
        <v>3177</v>
      </c>
      <c r="AA1006" t="s">
        <v>62</v>
      </c>
      <c r="AB1006" t="s">
        <v>63</v>
      </c>
      <c r="AC1006" t="s">
        <v>62</v>
      </c>
    </row>
    <row r="1007" spans="1:29">
      <c r="A1007" t="s">
        <v>1423</v>
      </c>
      <c r="B1007" s="2">
        <v>46187</v>
      </c>
      <c r="C1007" t="s">
        <v>30</v>
      </c>
      <c r="D1007" t="s">
        <v>99</v>
      </c>
      <c r="E1007" t="s">
        <v>50</v>
      </c>
      <c r="F1007" t="s">
        <v>51</v>
      </c>
      <c r="G1007" t="s">
        <v>270</v>
      </c>
      <c r="H1007" t="s">
        <v>53</v>
      </c>
      <c r="I1007" t="s">
        <v>271</v>
      </c>
      <c r="J1007" t="s">
        <v>3038</v>
      </c>
      <c r="K1007" t="s">
        <v>105</v>
      </c>
      <c r="L1007" t="s">
        <v>38</v>
      </c>
      <c r="M1007" t="s">
        <v>39</v>
      </c>
      <c r="N1007" t="s">
        <v>130</v>
      </c>
      <c r="O1007" s="4">
        <v>5</v>
      </c>
      <c r="P1007" s="4">
        <v>13</v>
      </c>
      <c r="Q1007" t="s">
        <v>142</v>
      </c>
      <c r="R1007" s="2">
        <v>46183</v>
      </c>
      <c r="S1007" s="4">
        <v>20</v>
      </c>
      <c r="T1007" s="3">
        <v>309000000</v>
      </c>
      <c r="U1007" t="s">
        <v>42</v>
      </c>
      <c r="V1007" t="s">
        <v>70</v>
      </c>
      <c r="W1007" t="s">
        <v>355</v>
      </c>
      <c r="Y1007" t="s">
        <v>132</v>
      </c>
      <c r="Z1007" t="s">
        <v>3179</v>
      </c>
      <c r="AA1007" t="s">
        <v>62</v>
      </c>
      <c r="AB1007" t="s">
        <v>97</v>
      </c>
      <c r="AC1007" t="s">
        <v>62</v>
      </c>
    </row>
    <row r="1008" spans="1:29">
      <c r="A1008" t="s">
        <v>1424</v>
      </c>
      <c r="B1008" s="2">
        <v>46176</v>
      </c>
      <c r="C1008" t="s">
        <v>30</v>
      </c>
      <c r="D1008" t="s">
        <v>134</v>
      </c>
      <c r="E1008" t="s">
        <v>100</v>
      </c>
      <c r="F1008" t="s">
        <v>146</v>
      </c>
      <c r="G1008" t="s">
        <v>147</v>
      </c>
      <c r="H1008" t="s">
        <v>201</v>
      </c>
      <c r="I1008" t="s">
        <v>608</v>
      </c>
      <c r="J1008" t="s">
        <v>3132</v>
      </c>
      <c r="K1008" t="s">
        <v>92</v>
      </c>
      <c r="L1008" t="s">
        <v>169</v>
      </c>
      <c r="M1008" t="s">
        <v>164</v>
      </c>
      <c r="N1008" t="s">
        <v>196</v>
      </c>
      <c r="O1008" s="4">
        <v>7</v>
      </c>
      <c r="P1008" s="4">
        <v>16</v>
      </c>
      <c r="Q1008" t="s">
        <v>41</v>
      </c>
      <c r="R1008" s="2">
        <v>46168</v>
      </c>
      <c r="S1008" s="4">
        <v>35</v>
      </c>
      <c r="T1008" s="3">
        <v>244000000</v>
      </c>
      <c r="U1008" t="s">
        <v>196</v>
      </c>
      <c r="V1008" t="s">
        <v>70</v>
      </c>
      <c r="W1008" t="s">
        <v>209</v>
      </c>
      <c r="Y1008" t="s">
        <v>369</v>
      </c>
      <c r="Z1008" t="s">
        <v>3181</v>
      </c>
      <c r="AA1008" t="s">
        <v>109</v>
      </c>
      <c r="AB1008" t="s">
        <v>199</v>
      </c>
      <c r="AC1008" t="s">
        <v>109</v>
      </c>
    </row>
    <row r="1009" spans="1:29">
      <c r="A1009" t="s">
        <v>1425</v>
      </c>
      <c r="B1009" s="2">
        <v>46195</v>
      </c>
      <c r="C1009" t="s">
        <v>30</v>
      </c>
      <c r="D1009" t="s">
        <v>49</v>
      </c>
      <c r="E1009" t="s">
        <v>152</v>
      </c>
      <c r="F1009" t="s">
        <v>205</v>
      </c>
      <c r="G1009" t="s">
        <v>294</v>
      </c>
      <c r="H1009" t="s">
        <v>155</v>
      </c>
      <c r="I1009" t="s">
        <v>434</v>
      </c>
      <c r="J1009" t="s">
        <v>3083</v>
      </c>
      <c r="K1009" t="s">
        <v>37</v>
      </c>
      <c r="L1009" t="s">
        <v>80</v>
      </c>
      <c r="M1009" t="s">
        <v>164</v>
      </c>
      <c r="N1009" t="s">
        <v>94</v>
      </c>
      <c r="O1009" s="4">
        <v>4</v>
      </c>
      <c r="P1009" s="4">
        <v>10</v>
      </c>
      <c r="Q1009" t="s">
        <v>142</v>
      </c>
      <c r="R1009" s="2">
        <v>46193</v>
      </c>
      <c r="S1009" s="4">
        <v>10</v>
      </c>
      <c r="T1009" s="3">
        <v>181000000</v>
      </c>
      <c r="U1009" t="s">
        <v>42</v>
      </c>
      <c r="V1009" t="s">
        <v>59</v>
      </c>
      <c r="W1009" t="s">
        <v>95</v>
      </c>
      <c r="Y1009" t="s">
        <v>96</v>
      </c>
      <c r="Z1009" t="s">
        <v>3179</v>
      </c>
      <c r="AA1009" t="s">
        <v>159</v>
      </c>
      <c r="AB1009" t="s">
        <v>97</v>
      </c>
      <c r="AC1009" t="s">
        <v>159</v>
      </c>
    </row>
    <row r="1010" spans="1:29">
      <c r="A1010" t="s">
        <v>1426</v>
      </c>
      <c r="B1010" s="2">
        <v>46194</v>
      </c>
      <c r="C1010" t="s">
        <v>30</v>
      </c>
      <c r="D1010" t="s">
        <v>74</v>
      </c>
      <c r="E1010" t="s">
        <v>111</v>
      </c>
      <c r="F1010" t="s">
        <v>264</v>
      </c>
      <c r="G1010" t="s">
        <v>265</v>
      </c>
      <c r="H1010" t="s">
        <v>191</v>
      </c>
      <c r="I1010" t="s">
        <v>643</v>
      </c>
      <c r="J1010" t="s">
        <v>3138</v>
      </c>
      <c r="K1010" t="s">
        <v>92</v>
      </c>
      <c r="L1010" t="s">
        <v>80</v>
      </c>
      <c r="M1010" t="s">
        <v>129</v>
      </c>
      <c r="N1010" t="s">
        <v>130</v>
      </c>
      <c r="O1010" s="4">
        <v>5</v>
      </c>
      <c r="P1010" s="4">
        <v>6</v>
      </c>
      <c r="Q1010" t="s">
        <v>83</v>
      </c>
      <c r="R1010" s="2">
        <v>46192</v>
      </c>
      <c r="S1010" s="4">
        <v>11</v>
      </c>
      <c r="T1010" s="3">
        <v>98000000</v>
      </c>
      <c r="U1010" t="s">
        <v>42</v>
      </c>
      <c r="V1010" t="s">
        <v>59</v>
      </c>
      <c r="W1010" t="s">
        <v>144</v>
      </c>
      <c r="Y1010" t="s">
        <v>254</v>
      </c>
      <c r="Z1010" t="s">
        <v>3179</v>
      </c>
      <c r="AA1010" t="s">
        <v>118</v>
      </c>
      <c r="AB1010" t="s">
        <v>97</v>
      </c>
      <c r="AC1010" t="s">
        <v>118</v>
      </c>
    </row>
    <row r="1011" spans="1:29">
      <c r="A1011" t="s">
        <v>1427</v>
      </c>
      <c r="B1011" s="2">
        <v>46199</v>
      </c>
      <c r="C1011" t="s">
        <v>30</v>
      </c>
      <c r="D1011" t="s">
        <v>49</v>
      </c>
      <c r="E1011" t="s">
        <v>152</v>
      </c>
      <c r="F1011" t="s">
        <v>221</v>
      </c>
      <c r="G1011" t="s">
        <v>294</v>
      </c>
      <c r="H1011" t="s">
        <v>155</v>
      </c>
      <c r="I1011" t="s">
        <v>418</v>
      </c>
      <c r="J1011" t="s">
        <v>3079</v>
      </c>
      <c r="K1011" t="s">
        <v>105</v>
      </c>
      <c r="L1011" t="s">
        <v>38</v>
      </c>
      <c r="M1011" t="s">
        <v>106</v>
      </c>
      <c r="N1011" t="s">
        <v>82</v>
      </c>
      <c r="O1011" s="4">
        <v>1</v>
      </c>
      <c r="P1011" s="4">
        <v>13</v>
      </c>
      <c r="Q1011" t="s">
        <v>138</v>
      </c>
      <c r="R1011" s="2">
        <v>46189</v>
      </c>
      <c r="S1011" s="4">
        <v>14</v>
      </c>
      <c r="T1011" s="3">
        <v>222000000</v>
      </c>
      <c r="U1011" t="s">
        <v>42</v>
      </c>
      <c r="V1011" t="s">
        <v>43</v>
      </c>
      <c r="W1011" t="s">
        <v>404</v>
      </c>
      <c r="Y1011" t="s">
        <v>85</v>
      </c>
      <c r="Z1011" t="s">
        <v>3180</v>
      </c>
      <c r="AA1011" t="s">
        <v>159</v>
      </c>
      <c r="AB1011" t="s">
        <v>193</v>
      </c>
      <c r="AC1011" t="s">
        <v>159</v>
      </c>
    </row>
    <row r="1012" spans="1:29">
      <c r="A1012" t="s">
        <v>1428</v>
      </c>
      <c r="B1012" s="2">
        <v>46199</v>
      </c>
      <c r="C1012" t="s">
        <v>30</v>
      </c>
      <c r="D1012" t="s">
        <v>49</v>
      </c>
      <c r="E1012" t="s">
        <v>120</v>
      </c>
      <c r="F1012" t="s">
        <v>246</v>
      </c>
      <c r="G1012" t="s">
        <v>122</v>
      </c>
      <c r="H1012" t="s">
        <v>300</v>
      </c>
      <c r="I1012" t="s">
        <v>527</v>
      </c>
      <c r="J1012" t="s">
        <v>3110</v>
      </c>
      <c r="K1012" t="s">
        <v>92</v>
      </c>
      <c r="L1012" t="s">
        <v>68</v>
      </c>
      <c r="M1012" t="s">
        <v>164</v>
      </c>
      <c r="N1012" t="s">
        <v>82</v>
      </c>
      <c r="O1012" s="4">
        <v>1</v>
      </c>
      <c r="P1012" s="4">
        <v>7</v>
      </c>
      <c r="Q1012" t="s">
        <v>83</v>
      </c>
      <c r="R1012" s="2">
        <v>46195</v>
      </c>
      <c r="S1012" s="4">
        <v>8</v>
      </c>
      <c r="T1012" s="3">
        <v>82000000</v>
      </c>
      <c r="U1012" t="s">
        <v>42</v>
      </c>
      <c r="V1012" t="s">
        <v>43</v>
      </c>
      <c r="W1012" t="s">
        <v>359</v>
      </c>
      <c r="Y1012" t="s">
        <v>330</v>
      </c>
      <c r="Z1012" t="s">
        <v>3178</v>
      </c>
      <c r="AA1012" t="s">
        <v>97</v>
      </c>
      <c r="AB1012" t="s">
        <v>87</v>
      </c>
      <c r="AC1012" t="s">
        <v>97</v>
      </c>
    </row>
    <row r="1013" spans="1:29">
      <c r="A1013" t="s">
        <v>1429</v>
      </c>
      <c r="B1013" s="2">
        <v>46189</v>
      </c>
      <c r="C1013" t="s">
        <v>30</v>
      </c>
      <c r="D1013" t="s">
        <v>74</v>
      </c>
      <c r="E1013" t="s">
        <v>111</v>
      </c>
      <c r="F1013" t="s">
        <v>264</v>
      </c>
      <c r="G1013" t="s">
        <v>113</v>
      </c>
      <c r="H1013" t="s">
        <v>191</v>
      </c>
      <c r="I1013" t="s">
        <v>643</v>
      </c>
      <c r="J1013" t="s">
        <v>3138</v>
      </c>
      <c r="K1013" t="s">
        <v>37</v>
      </c>
      <c r="L1013" t="s">
        <v>150</v>
      </c>
      <c r="M1013" t="s">
        <v>81</v>
      </c>
      <c r="N1013" t="s">
        <v>94</v>
      </c>
      <c r="O1013" s="4">
        <v>4</v>
      </c>
      <c r="P1013" s="4">
        <v>19</v>
      </c>
      <c r="Q1013" t="s">
        <v>58</v>
      </c>
      <c r="R1013" s="2">
        <v>46189</v>
      </c>
      <c r="S1013" s="4">
        <v>14</v>
      </c>
      <c r="T1013" s="3">
        <v>169000000</v>
      </c>
      <c r="U1013" t="s">
        <v>42</v>
      </c>
      <c r="V1013" t="s">
        <v>59</v>
      </c>
      <c r="W1013" t="s">
        <v>188</v>
      </c>
      <c r="Y1013" t="s">
        <v>228</v>
      </c>
      <c r="Z1013" t="s">
        <v>3179</v>
      </c>
      <c r="AA1013" t="s">
        <v>118</v>
      </c>
      <c r="AB1013" t="s">
        <v>97</v>
      </c>
      <c r="AC1013" t="s">
        <v>118</v>
      </c>
    </row>
    <row r="1014" spans="1:29">
      <c r="A1014" t="s">
        <v>1430</v>
      </c>
      <c r="B1014" s="2">
        <v>46187</v>
      </c>
      <c r="C1014" t="s">
        <v>30</v>
      </c>
      <c r="D1014" t="s">
        <v>99</v>
      </c>
      <c r="E1014" t="s">
        <v>32</v>
      </c>
      <c r="F1014" t="s">
        <v>273</v>
      </c>
      <c r="G1014" t="s">
        <v>463</v>
      </c>
      <c r="H1014" t="s">
        <v>303</v>
      </c>
      <c r="I1014" t="s">
        <v>487</v>
      </c>
      <c r="J1014" t="s">
        <v>3102</v>
      </c>
      <c r="K1014" t="s">
        <v>105</v>
      </c>
      <c r="L1014" t="s">
        <v>187</v>
      </c>
      <c r="M1014" t="s">
        <v>93</v>
      </c>
      <c r="N1014" t="s">
        <v>82</v>
      </c>
      <c r="O1014" s="4">
        <v>1</v>
      </c>
      <c r="P1014" s="4">
        <v>3</v>
      </c>
      <c r="Q1014" t="s">
        <v>58</v>
      </c>
      <c r="R1014" s="2">
        <v>46180</v>
      </c>
      <c r="S1014" s="4">
        <v>23</v>
      </c>
      <c r="T1014" s="3">
        <v>280000000</v>
      </c>
      <c r="U1014" t="s">
        <v>42</v>
      </c>
      <c r="V1014" t="s">
        <v>43</v>
      </c>
      <c r="W1014" t="s">
        <v>84</v>
      </c>
      <c r="Y1014" t="s">
        <v>330</v>
      </c>
      <c r="Z1014" t="s">
        <v>3176</v>
      </c>
      <c r="AA1014" t="s">
        <v>46</v>
      </c>
      <c r="AB1014" t="s">
        <v>47</v>
      </c>
      <c r="AC1014" t="s">
        <v>46</v>
      </c>
    </row>
    <row r="1015" spans="1:29">
      <c r="A1015" t="s">
        <v>1431</v>
      </c>
      <c r="B1015" s="2">
        <v>46183</v>
      </c>
      <c r="C1015" t="s">
        <v>30</v>
      </c>
      <c r="D1015" t="s">
        <v>99</v>
      </c>
      <c r="E1015" t="s">
        <v>50</v>
      </c>
      <c r="F1015" t="s">
        <v>351</v>
      </c>
      <c r="G1015" t="s">
        <v>343</v>
      </c>
      <c r="H1015" t="s">
        <v>66</v>
      </c>
      <c r="I1015" t="s">
        <v>344</v>
      </c>
      <c r="J1015" t="s">
        <v>3057</v>
      </c>
      <c r="K1015" t="s">
        <v>105</v>
      </c>
      <c r="L1015" t="s">
        <v>68</v>
      </c>
      <c r="M1015" t="s">
        <v>106</v>
      </c>
      <c r="N1015" t="s">
        <v>196</v>
      </c>
      <c r="O1015" s="4">
        <v>7</v>
      </c>
      <c r="P1015" s="4">
        <v>16</v>
      </c>
      <c r="Q1015" t="s">
        <v>138</v>
      </c>
      <c r="R1015" s="2">
        <v>46174</v>
      </c>
      <c r="S1015" s="4">
        <v>29</v>
      </c>
      <c r="T1015" s="3">
        <v>357000000</v>
      </c>
      <c r="U1015" t="s">
        <v>196</v>
      </c>
      <c r="V1015" t="s">
        <v>70</v>
      </c>
      <c r="W1015" t="s">
        <v>209</v>
      </c>
      <c r="Y1015" t="s">
        <v>210</v>
      </c>
      <c r="Z1015" t="s">
        <v>3181</v>
      </c>
      <c r="AA1015" t="s">
        <v>62</v>
      </c>
      <c r="AB1015" t="s">
        <v>199</v>
      </c>
      <c r="AC1015" t="s">
        <v>62</v>
      </c>
    </row>
    <row r="1016" spans="1:29">
      <c r="A1016" t="s">
        <v>1432</v>
      </c>
      <c r="B1016" s="2">
        <v>46200</v>
      </c>
      <c r="C1016" t="s">
        <v>30</v>
      </c>
      <c r="D1016" t="s">
        <v>49</v>
      </c>
      <c r="E1016" t="s">
        <v>75</v>
      </c>
      <c r="F1016" t="s">
        <v>183</v>
      </c>
      <c r="G1016" t="s">
        <v>387</v>
      </c>
      <c r="H1016" t="s">
        <v>185</v>
      </c>
      <c r="I1016" t="s">
        <v>542</v>
      </c>
      <c r="J1016" t="s">
        <v>3115</v>
      </c>
      <c r="K1016" t="s">
        <v>105</v>
      </c>
      <c r="L1016" t="s">
        <v>55</v>
      </c>
      <c r="M1016" t="s">
        <v>129</v>
      </c>
      <c r="N1016" t="s">
        <v>130</v>
      </c>
      <c r="O1016" s="4">
        <v>5</v>
      </c>
      <c r="P1016" s="4">
        <v>7</v>
      </c>
      <c r="Q1016" t="s">
        <v>69</v>
      </c>
      <c r="R1016" s="2">
        <v>46191</v>
      </c>
      <c r="S1016" s="4">
        <v>12</v>
      </c>
      <c r="T1016" s="3">
        <v>354000000</v>
      </c>
      <c r="U1016" t="s">
        <v>42</v>
      </c>
      <c r="V1016" t="s">
        <v>143</v>
      </c>
      <c r="W1016" t="s">
        <v>144</v>
      </c>
      <c r="Y1016" t="s">
        <v>334</v>
      </c>
      <c r="Z1016" t="s">
        <v>3179</v>
      </c>
      <c r="AA1016" t="s">
        <v>86</v>
      </c>
      <c r="AB1016" t="s">
        <v>97</v>
      </c>
      <c r="AC1016" t="s">
        <v>86</v>
      </c>
    </row>
    <row r="1017" spans="1:29">
      <c r="A1017" t="s">
        <v>1433</v>
      </c>
      <c r="B1017" s="2">
        <v>46178</v>
      </c>
      <c r="C1017" t="s">
        <v>30</v>
      </c>
      <c r="D1017" t="s">
        <v>134</v>
      </c>
      <c r="E1017" t="s">
        <v>172</v>
      </c>
      <c r="F1017" t="s">
        <v>277</v>
      </c>
      <c r="G1017" t="s">
        <v>338</v>
      </c>
      <c r="H1017" t="s">
        <v>241</v>
      </c>
      <c r="I1017" t="s">
        <v>632</v>
      </c>
      <c r="J1017" t="s">
        <v>3136</v>
      </c>
      <c r="K1017" t="s">
        <v>56</v>
      </c>
      <c r="L1017" t="s">
        <v>80</v>
      </c>
      <c r="M1017" t="s">
        <v>81</v>
      </c>
      <c r="N1017" t="s">
        <v>40</v>
      </c>
      <c r="O1017" s="4">
        <v>2</v>
      </c>
      <c r="P1017" s="4">
        <v>5</v>
      </c>
      <c r="Q1017" t="s">
        <v>142</v>
      </c>
      <c r="R1017" s="2">
        <v>46177</v>
      </c>
      <c r="S1017" s="4">
        <v>26</v>
      </c>
      <c r="T1017" s="3">
        <v>404000000</v>
      </c>
      <c r="U1017" t="s">
        <v>42</v>
      </c>
      <c r="V1017" t="s">
        <v>59</v>
      </c>
      <c r="W1017" t="s">
        <v>239</v>
      </c>
      <c r="Y1017" t="s">
        <v>309</v>
      </c>
      <c r="Z1017" t="s">
        <v>3178</v>
      </c>
      <c r="AA1017" t="s">
        <v>181</v>
      </c>
      <c r="AB1017" t="s">
        <v>87</v>
      </c>
      <c r="AC1017" t="s">
        <v>181</v>
      </c>
    </row>
    <row r="1018" spans="1:29">
      <c r="A1018" t="s">
        <v>1434</v>
      </c>
      <c r="B1018" s="2">
        <v>46192</v>
      </c>
      <c r="C1018" t="s">
        <v>30</v>
      </c>
      <c r="D1018" t="s">
        <v>74</v>
      </c>
      <c r="E1018" t="s">
        <v>120</v>
      </c>
      <c r="F1018" t="s">
        <v>167</v>
      </c>
      <c r="G1018" t="s">
        <v>420</v>
      </c>
      <c r="H1018" t="s">
        <v>300</v>
      </c>
      <c r="I1018" t="s">
        <v>400</v>
      </c>
      <c r="J1018" t="s">
        <v>3074</v>
      </c>
      <c r="K1018" t="s">
        <v>37</v>
      </c>
      <c r="L1018" t="s">
        <v>80</v>
      </c>
      <c r="M1018" t="s">
        <v>106</v>
      </c>
      <c r="N1018" t="s">
        <v>40</v>
      </c>
      <c r="O1018" s="4">
        <v>2</v>
      </c>
      <c r="P1018" s="4">
        <v>8</v>
      </c>
      <c r="Q1018" t="s">
        <v>83</v>
      </c>
      <c r="R1018" s="2">
        <v>46184</v>
      </c>
      <c r="S1018" s="4">
        <v>19</v>
      </c>
      <c r="T1018" s="3">
        <v>144000000</v>
      </c>
      <c r="U1018" t="s">
        <v>42</v>
      </c>
      <c r="V1018" t="s">
        <v>43</v>
      </c>
      <c r="W1018" t="s">
        <v>178</v>
      </c>
      <c r="Y1018" t="s">
        <v>309</v>
      </c>
      <c r="Z1018" t="s">
        <v>3178</v>
      </c>
      <c r="AA1018" t="s">
        <v>97</v>
      </c>
      <c r="AB1018" t="s">
        <v>87</v>
      </c>
      <c r="AC1018" t="s">
        <v>97</v>
      </c>
    </row>
    <row r="1019" spans="1:29">
      <c r="A1019" t="s">
        <v>1435</v>
      </c>
      <c r="B1019" s="2">
        <v>46183</v>
      </c>
      <c r="C1019" t="s">
        <v>30</v>
      </c>
      <c r="D1019" t="s">
        <v>99</v>
      </c>
      <c r="E1019" t="s">
        <v>75</v>
      </c>
      <c r="F1019" t="s">
        <v>76</v>
      </c>
      <c r="G1019" t="s">
        <v>230</v>
      </c>
      <c r="H1019" t="s">
        <v>185</v>
      </c>
      <c r="I1019" t="s">
        <v>354</v>
      </c>
      <c r="J1019" t="s">
        <v>3061</v>
      </c>
      <c r="K1019" t="s">
        <v>116</v>
      </c>
      <c r="L1019" t="s">
        <v>150</v>
      </c>
      <c r="M1019" t="s">
        <v>164</v>
      </c>
      <c r="N1019" t="s">
        <v>94</v>
      </c>
      <c r="O1019" s="4">
        <v>4</v>
      </c>
      <c r="P1019" s="4">
        <v>11</v>
      </c>
      <c r="Q1019" t="s">
        <v>138</v>
      </c>
      <c r="R1019" s="2">
        <v>46182</v>
      </c>
      <c r="S1019" s="4">
        <v>21</v>
      </c>
      <c r="T1019" s="3">
        <v>143000000</v>
      </c>
      <c r="U1019" t="s">
        <v>42</v>
      </c>
      <c r="V1019" t="s">
        <v>59</v>
      </c>
      <c r="W1019" t="s">
        <v>188</v>
      </c>
      <c r="Y1019" t="s">
        <v>268</v>
      </c>
      <c r="Z1019" t="s">
        <v>3179</v>
      </c>
      <c r="AA1019" t="s">
        <v>86</v>
      </c>
      <c r="AB1019" t="s">
        <v>97</v>
      </c>
      <c r="AC1019" t="s">
        <v>86</v>
      </c>
    </row>
    <row r="1020" spans="1:29">
      <c r="A1020" t="s">
        <v>1436</v>
      </c>
      <c r="B1020" s="2">
        <v>46174</v>
      </c>
      <c r="C1020" t="s">
        <v>30</v>
      </c>
      <c r="D1020" t="s">
        <v>134</v>
      </c>
      <c r="E1020" t="s">
        <v>50</v>
      </c>
      <c r="F1020" t="s">
        <v>351</v>
      </c>
      <c r="G1020" t="s">
        <v>52</v>
      </c>
      <c r="H1020" t="s">
        <v>53</v>
      </c>
      <c r="I1020" t="s">
        <v>787</v>
      </c>
      <c r="J1020" t="s">
        <v>3154</v>
      </c>
      <c r="K1020" t="s">
        <v>105</v>
      </c>
      <c r="L1020" t="s">
        <v>68</v>
      </c>
      <c r="M1020" t="s">
        <v>164</v>
      </c>
      <c r="N1020" t="s">
        <v>196</v>
      </c>
      <c r="O1020" s="4">
        <v>7</v>
      </c>
      <c r="P1020" s="4">
        <v>16</v>
      </c>
      <c r="Q1020" t="s">
        <v>138</v>
      </c>
      <c r="R1020" s="2">
        <v>46165</v>
      </c>
      <c r="S1020" s="4">
        <v>38</v>
      </c>
      <c r="T1020" s="3">
        <v>301000000</v>
      </c>
      <c r="U1020" t="s">
        <v>564</v>
      </c>
      <c r="V1020" t="s">
        <v>70</v>
      </c>
      <c r="W1020" t="s">
        <v>675</v>
      </c>
      <c r="Y1020" t="s">
        <v>210</v>
      </c>
      <c r="Z1020" t="s">
        <v>3181</v>
      </c>
      <c r="AA1020" t="s">
        <v>62</v>
      </c>
      <c r="AB1020" t="s">
        <v>199</v>
      </c>
      <c r="AC1020" t="s">
        <v>62</v>
      </c>
    </row>
    <row r="1021" spans="1:29">
      <c r="A1021" t="s">
        <v>1437</v>
      </c>
      <c r="B1021" s="2">
        <v>46184</v>
      </c>
      <c r="C1021" t="s">
        <v>30</v>
      </c>
      <c r="D1021" t="s">
        <v>99</v>
      </c>
      <c r="E1021" t="s">
        <v>120</v>
      </c>
      <c r="F1021" t="s">
        <v>246</v>
      </c>
      <c r="G1021" t="s">
        <v>122</v>
      </c>
      <c r="H1021" t="s">
        <v>123</v>
      </c>
      <c r="I1021" t="s">
        <v>519</v>
      </c>
      <c r="J1021" t="s">
        <v>3109</v>
      </c>
      <c r="K1021" t="s">
        <v>56</v>
      </c>
      <c r="L1021" t="s">
        <v>187</v>
      </c>
      <c r="M1021" t="s">
        <v>164</v>
      </c>
      <c r="N1021" t="s">
        <v>57</v>
      </c>
      <c r="O1021" s="4">
        <v>3</v>
      </c>
      <c r="P1021" s="4">
        <v>12</v>
      </c>
      <c r="Q1021" t="s">
        <v>83</v>
      </c>
      <c r="R1021" s="2">
        <v>46177</v>
      </c>
      <c r="S1021" s="4">
        <v>26</v>
      </c>
      <c r="T1021" s="3">
        <v>241000000</v>
      </c>
      <c r="U1021" t="s">
        <v>42</v>
      </c>
      <c r="V1021" t="s">
        <v>59</v>
      </c>
      <c r="W1021" t="s">
        <v>71</v>
      </c>
      <c r="Y1021" t="s">
        <v>72</v>
      </c>
      <c r="Z1021" t="s">
        <v>3180</v>
      </c>
      <c r="AA1021" t="s">
        <v>97</v>
      </c>
      <c r="AB1021" t="s">
        <v>193</v>
      </c>
      <c r="AC1021" t="s">
        <v>97</v>
      </c>
    </row>
    <row r="1022" spans="1:29">
      <c r="A1022" t="s">
        <v>1438</v>
      </c>
      <c r="B1022" s="2">
        <v>46199</v>
      </c>
      <c r="C1022" t="s">
        <v>30</v>
      </c>
      <c r="D1022" t="s">
        <v>49</v>
      </c>
      <c r="E1022" t="s">
        <v>32</v>
      </c>
      <c r="F1022" t="s">
        <v>273</v>
      </c>
      <c r="G1022" t="s">
        <v>34</v>
      </c>
      <c r="H1022" t="s">
        <v>303</v>
      </c>
      <c r="I1022" t="s">
        <v>483</v>
      </c>
      <c r="J1022" t="s">
        <v>3100</v>
      </c>
      <c r="K1022" t="s">
        <v>105</v>
      </c>
      <c r="L1022" t="s">
        <v>55</v>
      </c>
      <c r="M1022" t="s">
        <v>106</v>
      </c>
      <c r="N1022" t="s">
        <v>40</v>
      </c>
      <c r="O1022" s="4">
        <v>2</v>
      </c>
      <c r="P1022" s="4">
        <v>5</v>
      </c>
      <c r="Q1022" t="s">
        <v>41</v>
      </c>
      <c r="R1022" s="2">
        <v>46193</v>
      </c>
      <c r="S1022" s="4">
        <v>10</v>
      </c>
      <c r="T1022" s="3">
        <v>211000000</v>
      </c>
      <c r="U1022" t="s">
        <v>42</v>
      </c>
      <c r="V1022" t="s">
        <v>43</v>
      </c>
      <c r="W1022" t="s">
        <v>239</v>
      </c>
      <c r="Y1022" t="s">
        <v>45</v>
      </c>
      <c r="Z1022" t="s">
        <v>3178</v>
      </c>
      <c r="AA1022" t="s">
        <v>46</v>
      </c>
      <c r="AB1022" t="s">
        <v>87</v>
      </c>
      <c r="AC1022" t="s">
        <v>46</v>
      </c>
    </row>
    <row r="1023" spans="1:29">
      <c r="A1023" t="s">
        <v>1439</v>
      </c>
      <c r="B1023" s="2">
        <v>46191</v>
      </c>
      <c r="C1023" t="s">
        <v>30</v>
      </c>
      <c r="D1023" t="s">
        <v>74</v>
      </c>
      <c r="E1023" t="s">
        <v>50</v>
      </c>
      <c r="F1023" t="s">
        <v>89</v>
      </c>
      <c r="G1023" t="s">
        <v>52</v>
      </c>
      <c r="H1023" t="s">
        <v>66</v>
      </c>
      <c r="I1023" t="s">
        <v>280</v>
      </c>
      <c r="J1023" t="s">
        <v>3040</v>
      </c>
      <c r="K1023" t="s">
        <v>56</v>
      </c>
      <c r="L1023" t="s">
        <v>68</v>
      </c>
      <c r="M1023" t="s">
        <v>56</v>
      </c>
      <c r="N1023" t="s">
        <v>57</v>
      </c>
      <c r="O1023" s="4">
        <v>3</v>
      </c>
      <c r="P1023" s="4">
        <v>5</v>
      </c>
      <c r="Q1023" t="s">
        <v>69</v>
      </c>
      <c r="R1023" s="2">
        <v>46185</v>
      </c>
      <c r="S1023" s="4">
        <v>18</v>
      </c>
      <c r="T1023" s="3">
        <v>216000000</v>
      </c>
      <c r="U1023" t="s">
        <v>42</v>
      </c>
      <c r="V1023" t="s">
        <v>59</v>
      </c>
      <c r="W1023" t="s">
        <v>203</v>
      </c>
      <c r="Y1023" t="s">
        <v>158</v>
      </c>
      <c r="Z1023" t="s">
        <v>3177</v>
      </c>
      <c r="AA1023" t="s">
        <v>62</v>
      </c>
      <c r="AB1023" t="s">
        <v>63</v>
      </c>
      <c r="AC1023" t="s">
        <v>62</v>
      </c>
    </row>
    <row r="1024" spans="1:29">
      <c r="A1024" t="s">
        <v>1440</v>
      </c>
      <c r="B1024" s="2">
        <v>46184</v>
      </c>
      <c r="C1024" t="s">
        <v>30</v>
      </c>
      <c r="D1024" t="s">
        <v>99</v>
      </c>
      <c r="E1024" t="s">
        <v>111</v>
      </c>
      <c r="F1024" t="s">
        <v>190</v>
      </c>
      <c r="G1024" t="s">
        <v>126</v>
      </c>
      <c r="H1024" t="s">
        <v>191</v>
      </c>
      <c r="I1024" t="s">
        <v>643</v>
      </c>
      <c r="J1024" t="s">
        <v>3138</v>
      </c>
      <c r="K1024" t="s">
        <v>92</v>
      </c>
      <c r="L1024" t="s">
        <v>169</v>
      </c>
      <c r="M1024" t="s">
        <v>106</v>
      </c>
      <c r="N1024" t="s">
        <v>40</v>
      </c>
      <c r="O1024" s="4">
        <v>2</v>
      </c>
      <c r="P1024" s="4">
        <v>12</v>
      </c>
      <c r="Q1024" t="s">
        <v>69</v>
      </c>
      <c r="R1024" s="2">
        <v>46184</v>
      </c>
      <c r="S1024" s="4">
        <v>19</v>
      </c>
      <c r="T1024" s="3">
        <v>188000000</v>
      </c>
      <c r="U1024" t="s">
        <v>42</v>
      </c>
      <c r="V1024" t="s">
        <v>59</v>
      </c>
      <c r="W1024" t="s">
        <v>298</v>
      </c>
      <c r="Y1024" t="s">
        <v>281</v>
      </c>
      <c r="Z1024" t="s">
        <v>3180</v>
      </c>
      <c r="AA1024" t="s">
        <v>118</v>
      </c>
      <c r="AB1024" t="s">
        <v>193</v>
      </c>
      <c r="AC1024" t="s">
        <v>118</v>
      </c>
    </row>
    <row r="1025" spans="1:29">
      <c r="A1025" t="s">
        <v>1441</v>
      </c>
      <c r="B1025" s="2">
        <v>46182</v>
      </c>
      <c r="C1025" t="s">
        <v>30</v>
      </c>
      <c r="D1025" t="s">
        <v>99</v>
      </c>
      <c r="E1025" t="s">
        <v>152</v>
      </c>
      <c r="F1025" t="s">
        <v>205</v>
      </c>
      <c r="G1025" t="s">
        <v>328</v>
      </c>
      <c r="H1025" t="s">
        <v>207</v>
      </c>
      <c r="I1025" t="s">
        <v>208</v>
      </c>
      <c r="J1025" t="s">
        <v>3027</v>
      </c>
      <c r="K1025" t="s">
        <v>37</v>
      </c>
      <c r="L1025" t="s">
        <v>68</v>
      </c>
      <c r="M1025" t="s">
        <v>39</v>
      </c>
      <c r="N1025" t="s">
        <v>40</v>
      </c>
      <c r="O1025" s="4">
        <v>2</v>
      </c>
      <c r="P1025" s="4">
        <v>9</v>
      </c>
      <c r="Q1025" t="s">
        <v>138</v>
      </c>
      <c r="R1025" s="2">
        <v>46181</v>
      </c>
      <c r="S1025" s="4">
        <v>22</v>
      </c>
      <c r="T1025" s="3">
        <v>229000000</v>
      </c>
      <c r="U1025" t="s">
        <v>42</v>
      </c>
      <c r="V1025" t="s">
        <v>43</v>
      </c>
      <c r="W1025" t="s">
        <v>298</v>
      </c>
      <c r="Y1025" t="s">
        <v>45</v>
      </c>
      <c r="Z1025" t="s">
        <v>3178</v>
      </c>
      <c r="AA1025" t="s">
        <v>159</v>
      </c>
      <c r="AB1025" t="s">
        <v>87</v>
      </c>
      <c r="AC1025" t="s">
        <v>159</v>
      </c>
    </row>
    <row r="1026" spans="1:29">
      <c r="A1026" t="s">
        <v>1442</v>
      </c>
      <c r="B1026" s="2">
        <v>46202</v>
      </c>
      <c r="C1026" t="s">
        <v>30</v>
      </c>
      <c r="D1026" t="s">
        <v>31</v>
      </c>
      <c r="E1026" t="s">
        <v>50</v>
      </c>
      <c r="F1026" t="s">
        <v>51</v>
      </c>
      <c r="G1026" t="s">
        <v>52</v>
      </c>
      <c r="H1026" t="s">
        <v>66</v>
      </c>
      <c r="I1026" t="s">
        <v>344</v>
      </c>
      <c r="J1026" t="s">
        <v>3057</v>
      </c>
      <c r="K1026" t="s">
        <v>105</v>
      </c>
      <c r="L1026" t="s">
        <v>150</v>
      </c>
      <c r="M1026" t="s">
        <v>106</v>
      </c>
      <c r="N1026" t="s">
        <v>94</v>
      </c>
      <c r="O1026" s="4">
        <v>4</v>
      </c>
      <c r="P1026" s="4">
        <v>22</v>
      </c>
      <c r="Q1026" t="s">
        <v>142</v>
      </c>
      <c r="R1026" s="2">
        <v>46197</v>
      </c>
      <c r="S1026" s="4">
        <v>6</v>
      </c>
      <c r="T1026" s="3">
        <v>303000000</v>
      </c>
      <c r="U1026" t="s">
        <v>42</v>
      </c>
      <c r="V1026" t="s">
        <v>70</v>
      </c>
      <c r="W1026" t="s">
        <v>267</v>
      </c>
      <c r="Y1026" t="s">
        <v>96</v>
      </c>
      <c r="Z1026" t="s">
        <v>3179</v>
      </c>
      <c r="AA1026" t="s">
        <v>62</v>
      </c>
      <c r="AB1026" t="s">
        <v>97</v>
      </c>
      <c r="AC1026" t="s">
        <v>62</v>
      </c>
    </row>
    <row r="1027" spans="1:29">
      <c r="A1027" t="s">
        <v>1443</v>
      </c>
      <c r="B1027" s="2">
        <v>46192</v>
      </c>
      <c r="C1027" t="s">
        <v>30</v>
      </c>
      <c r="D1027" t="s">
        <v>74</v>
      </c>
      <c r="E1027" t="s">
        <v>100</v>
      </c>
      <c r="F1027" t="s">
        <v>101</v>
      </c>
      <c r="G1027" t="s">
        <v>102</v>
      </c>
      <c r="H1027" t="s">
        <v>201</v>
      </c>
      <c r="I1027" t="s">
        <v>202</v>
      </c>
      <c r="J1027" t="s">
        <v>3026</v>
      </c>
      <c r="K1027" t="s">
        <v>37</v>
      </c>
      <c r="L1027" t="s">
        <v>80</v>
      </c>
      <c r="M1027" t="s">
        <v>106</v>
      </c>
      <c r="N1027" t="s">
        <v>57</v>
      </c>
      <c r="O1027" s="4">
        <v>3</v>
      </c>
      <c r="P1027" s="4">
        <v>13</v>
      </c>
      <c r="Q1027" t="s">
        <v>83</v>
      </c>
      <c r="R1027" s="2">
        <v>46185</v>
      </c>
      <c r="S1027" s="4">
        <v>18</v>
      </c>
      <c r="T1027" s="3">
        <v>213000000</v>
      </c>
      <c r="U1027" t="s">
        <v>42</v>
      </c>
      <c r="V1027" t="s">
        <v>59</v>
      </c>
      <c r="W1027" t="s">
        <v>71</v>
      </c>
      <c r="Y1027" t="s">
        <v>165</v>
      </c>
      <c r="Z1027" t="s">
        <v>3180</v>
      </c>
      <c r="AA1027" t="s">
        <v>109</v>
      </c>
      <c r="AB1027" t="s">
        <v>193</v>
      </c>
      <c r="AC1027" t="s">
        <v>109</v>
      </c>
    </row>
    <row r="1028" spans="1:29">
      <c r="A1028" t="s">
        <v>1444</v>
      </c>
      <c r="B1028" s="2">
        <v>46186</v>
      </c>
      <c r="C1028" t="s">
        <v>30</v>
      </c>
      <c r="D1028" t="s">
        <v>99</v>
      </c>
      <c r="E1028" t="s">
        <v>100</v>
      </c>
      <c r="F1028" t="s">
        <v>146</v>
      </c>
      <c r="G1028" t="s">
        <v>102</v>
      </c>
      <c r="H1028" t="s">
        <v>201</v>
      </c>
      <c r="I1028" t="s">
        <v>371</v>
      </c>
      <c r="J1028" t="s">
        <v>3065</v>
      </c>
      <c r="K1028" t="s">
        <v>56</v>
      </c>
      <c r="L1028" t="s">
        <v>80</v>
      </c>
      <c r="M1028" t="s">
        <v>81</v>
      </c>
      <c r="N1028" t="s">
        <v>196</v>
      </c>
      <c r="O1028" s="4">
        <v>7</v>
      </c>
      <c r="P1028" s="4">
        <v>15</v>
      </c>
      <c r="Q1028" t="s">
        <v>107</v>
      </c>
      <c r="R1028" s="2">
        <v>46178</v>
      </c>
      <c r="S1028" s="4">
        <v>25</v>
      </c>
      <c r="T1028" s="3">
        <v>190000000</v>
      </c>
      <c r="U1028" t="s">
        <v>196</v>
      </c>
      <c r="V1028" t="s">
        <v>70</v>
      </c>
      <c r="W1028" t="s">
        <v>209</v>
      </c>
      <c r="Y1028" t="s">
        <v>369</v>
      </c>
      <c r="Z1028" t="s">
        <v>3181</v>
      </c>
      <c r="AA1028" t="s">
        <v>109</v>
      </c>
      <c r="AB1028" t="s">
        <v>199</v>
      </c>
      <c r="AC1028" t="s">
        <v>109</v>
      </c>
    </row>
    <row r="1029" spans="1:29">
      <c r="A1029" t="s">
        <v>1445</v>
      </c>
      <c r="B1029" s="2">
        <v>46187</v>
      </c>
      <c r="C1029" t="s">
        <v>30</v>
      </c>
      <c r="D1029" t="s">
        <v>99</v>
      </c>
      <c r="E1029" t="s">
        <v>32</v>
      </c>
      <c r="F1029" t="s">
        <v>33</v>
      </c>
      <c r="G1029" t="s">
        <v>34</v>
      </c>
      <c r="H1029" t="s">
        <v>35</v>
      </c>
      <c r="I1029" t="s">
        <v>36</v>
      </c>
      <c r="J1029" t="s">
        <v>3008</v>
      </c>
      <c r="K1029" t="s">
        <v>37</v>
      </c>
      <c r="L1029" t="s">
        <v>68</v>
      </c>
      <c r="M1029" t="s">
        <v>106</v>
      </c>
      <c r="N1029" t="s">
        <v>57</v>
      </c>
      <c r="O1029" s="4">
        <v>3</v>
      </c>
      <c r="P1029" s="4">
        <v>3</v>
      </c>
      <c r="Q1029" t="s">
        <v>41</v>
      </c>
      <c r="R1029" s="2">
        <v>46180</v>
      </c>
      <c r="S1029" s="4">
        <v>23</v>
      </c>
      <c r="T1029" s="3">
        <v>122000000</v>
      </c>
      <c r="U1029" t="s">
        <v>42</v>
      </c>
      <c r="V1029" t="s">
        <v>43</v>
      </c>
      <c r="W1029" t="s">
        <v>203</v>
      </c>
      <c r="Y1029" t="s">
        <v>158</v>
      </c>
      <c r="Z1029" t="s">
        <v>3177</v>
      </c>
      <c r="AA1029" t="s">
        <v>46</v>
      </c>
      <c r="AB1029" t="s">
        <v>63</v>
      </c>
      <c r="AC1029" t="s">
        <v>46</v>
      </c>
    </row>
    <row r="1030" spans="1:29">
      <c r="A1030" t="s">
        <v>1446</v>
      </c>
      <c r="B1030" s="2">
        <v>46202</v>
      </c>
      <c r="C1030" t="s">
        <v>30</v>
      </c>
      <c r="D1030" t="s">
        <v>31</v>
      </c>
      <c r="E1030" t="s">
        <v>111</v>
      </c>
      <c r="F1030" t="s">
        <v>112</v>
      </c>
      <c r="G1030" t="s">
        <v>251</v>
      </c>
      <c r="H1030" t="s">
        <v>114</v>
      </c>
      <c r="I1030" t="s">
        <v>645</v>
      </c>
      <c r="J1030" t="s">
        <v>3139</v>
      </c>
      <c r="K1030" t="s">
        <v>92</v>
      </c>
      <c r="L1030" t="s">
        <v>150</v>
      </c>
      <c r="M1030" t="s">
        <v>164</v>
      </c>
      <c r="N1030" t="s">
        <v>40</v>
      </c>
      <c r="O1030" s="4">
        <v>2</v>
      </c>
      <c r="P1030" s="4">
        <v>9</v>
      </c>
      <c r="Q1030" t="s">
        <v>58</v>
      </c>
      <c r="R1030" s="2">
        <v>46196</v>
      </c>
      <c r="S1030" s="4">
        <v>7</v>
      </c>
      <c r="T1030" s="3">
        <v>196000000</v>
      </c>
      <c r="U1030" t="s">
        <v>42</v>
      </c>
      <c r="V1030" t="s">
        <v>43</v>
      </c>
      <c r="W1030" t="s">
        <v>44</v>
      </c>
      <c r="Y1030" t="s">
        <v>309</v>
      </c>
      <c r="Z1030" t="s">
        <v>3178</v>
      </c>
      <c r="AA1030" t="s">
        <v>118</v>
      </c>
      <c r="AB1030" t="s">
        <v>87</v>
      </c>
      <c r="AC1030" t="s">
        <v>118</v>
      </c>
    </row>
    <row r="1031" spans="1:29">
      <c r="A1031" t="s">
        <v>1447</v>
      </c>
      <c r="B1031" s="2">
        <v>46192</v>
      </c>
      <c r="C1031" t="s">
        <v>30</v>
      </c>
      <c r="D1031" t="s">
        <v>74</v>
      </c>
      <c r="E1031" t="s">
        <v>50</v>
      </c>
      <c r="F1031" t="s">
        <v>89</v>
      </c>
      <c r="G1031" t="s">
        <v>52</v>
      </c>
      <c r="H1031" t="s">
        <v>53</v>
      </c>
      <c r="I1031" t="s">
        <v>271</v>
      </c>
      <c r="J1031" t="s">
        <v>3038</v>
      </c>
      <c r="K1031" t="s">
        <v>105</v>
      </c>
      <c r="L1031" t="s">
        <v>169</v>
      </c>
      <c r="M1031" t="s">
        <v>81</v>
      </c>
      <c r="N1031" t="s">
        <v>57</v>
      </c>
      <c r="O1031" s="4">
        <v>3</v>
      </c>
      <c r="P1031" s="4">
        <v>5</v>
      </c>
      <c r="Q1031" t="s">
        <v>107</v>
      </c>
      <c r="R1031" s="2">
        <v>46192</v>
      </c>
      <c r="S1031" s="4">
        <v>11</v>
      </c>
      <c r="T1031" s="3">
        <v>294000000</v>
      </c>
      <c r="U1031" t="s">
        <v>42</v>
      </c>
      <c r="V1031" t="s">
        <v>59</v>
      </c>
      <c r="W1031" t="s">
        <v>71</v>
      </c>
      <c r="Y1031" t="s">
        <v>61</v>
      </c>
      <c r="Z1031" t="s">
        <v>3177</v>
      </c>
      <c r="AA1031" t="s">
        <v>62</v>
      </c>
      <c r="AB1031" t="s">
        <v>63</v>
      </c>
      <c r="AC1031" t="s">
        <v>62</v>
      </c>
    </row>
    <row r="1032" spans="1:29">
      <c r="A1032" t="s">
        <v>1448</v>
      </c>
      <c r="B1032" s="2">
        <v>46192</v>
      </c>
      <c r="C1032" t="s">
        <v>30</v>
      </c>
      <c r="D1032" t="s">
        <v>74</v>
      </c>
      <c r="E1032" t="s">
        <v>32</v>
      </c>
      <c r="F1032" t="s">
        <v>273</v>
      </c>
      <c r="G1032" t="s">
        <v>218</v>
      </c>
      <c r="H1032" t="s">
        <v>35</v>
      </c>
      <c r="I1032" t="s">
        <v>862</v>
      </c>
      <c r="J1032" t="s">
        <v>3164</v>
      </c>
      <c r="K1032" t="s">
        <v>56</v>
      </c>
      <c r="L1032" t="s">
        <v>80</v>
      </c>
      <c r="M1032" t="s">
        <v>106</v>
      </c>
      <c r="N1032" t="s">
        <v>40</v>
      </c>
      <c r="O1032" s="4">
        <v>2</v>
      </c>
      <c r="P1032" s="4">
        <v>1</v>
      </c>
      <c r="Q1032" t="s">
        <v>138</v>
      </c>
      <c r="R1032" s="2">
        <v>46184</v>
      </c>
      <c r="S1032" s="4">
        <v>19</v>
      </c>
      <c r="T1032" s="3">
        <v>382000000</v>
      </c>
      <c r="U1032" t="s">
        <v>42</v>
      </c>
      <c r="V1032" t="s">
        <v>59</v>
      </c>
      <c r="W1032" t="s">
        <v>239</v>
      </c>
      <c r="Y1032" t="s">
        <v>180</v>
      </c>
      <c r="Z1032" t="s">
        <v>3176</v>
      </c>
      <c r="AA1032" t="s">
        <v>46</v>
      </c>
      <c r="AB1032" t="s">
        <v>47</v>
      </c>
      <c r="AC1032" t="s">
        <v>46</v>
      </c>
    </row>
    <row r="1033" spans="1:29">
      <c r="A1033" t="s">
        <v>1449</v>
      </c>
      <c r="B1033" s="2">
        <v>46180</v>
      </c>
      <c r="C1033" t="s">
        <v>30</v>
      </c>
      <c r="D1033" t="s">
        <v>134</v>
      </c>
      <c r="E1033" t="s">
        <v>32</v>
      </c>
      <c r="F1033" t="s">
        <v>33</v>
      </c>
      <c r="G1033" t="s">
        <v>218</v>
      </c>
      <c r="H1033" t="s">
        <v>35</v>
      </c>
      <c r="I1033" t="s">
        <v>219</v>
      </c>
      <c r="J1033" t="s">
        <v>3028</v>
      </c>
      <c r="K1033" t="s">
        <v>92</v>
      </c>
      <c r="L1033" t="s">
        <v>80</v>
      </c>
      <c r="M1033" t="s">
        <v>81</v>
      </c>
      <c r="N1033" t="s">
        <v>82</v>
      </c>
      <c r="O1033" s="4">
        <v>1</v>
      </c>
      <c r="P1033" s="4">
        <v>3</v>
      </c>
      <c r="Q1033" t="s">
        <v>83</v>
      </c>
      <c r="R1033" s="2">
        <v>46172</v>
      </c>
      <c r="S1033" s="4">
        <v>31</v>
      </c>
      <c r="T1033" s="3">
        <v>159000000</v>
      </c>
      <c r="U1033" t="s">
        <v>42</v>
      </c>
      <c r="V1033" t="s">
        <v>43</v>
      </c>
      <c r="W1033" t="s">
        <v>359</v>
      </c>
      <c r="Y1033" t="s">
        <v>305</v>
      </c>
      <c r="Z1033" t="s">
        <v>3176</v>
      </c>
      <c r="AA1033" t="s">
        <v>46</v>
      </c>
      <c r="AB1033" t="s">
        <v>47</v>
      </c>
      <c r="AC1033" t="s">
        <v>46</v>
      </c>
    </row>
    <row r="1034" spans="1:29">
      <c r="A1034" t="s">
        <v>1450</v>
      </c>
      <c r="B1034" s="2">
        <v>46199</v>
      </c>
      <c r="C1034" t="s">
        <v>30</v>
      </c>
      <c r="D1034" t="s">
        <v>49</v>
      </c>
      <c r="E1034" t="s">
        <v>100</v>
      </c>
      <c r="F1034" t="s">
        <v>146</v>
      </c>
      <c r="G1034" t="s">
        <v>102</v>
      </c>
      <c r="H1034" t="s">
        <v>148</v>
      </c>
      <c r="I1034" t="s">
        <v>800</v>
      </c>
      <c r="J1034" t="s">
        <v>3156</v>
      </c>
      <c r="K1034" t="s">
        <v>105</v>
      </c>
      <c r="L1034" t="s">
        <v>187</v>
      </c>
      <c r="M1034" t="s">
        <v>93</v>
      </c>
      <c r="N1034" t="s">
        <v>213</v>
      </c>
      <c r="O1034" s="4">
        <v>6</v>
      </c>
      <c r="P1034" s="4">
        <v>12</v>
      </c>
      <c r="Q1034" t="s">
        <v>107</v>
      </c>
      <c r="R1034" s="2">
        <v>46191</v>
      </c>
      <c r="S1034" s="4">
        <v>12</v>
      </c>
      <c r="T1034" s="3">
        <v>382000000</v>
      </c>
      <c r="U1034" t="s">
        <v>214</v>
      </c>
      <c r="V1034" t="s">
        <v>143</v>
      </c>
      <c r="W1034" t="s">
        <v>438</v>
      </c>
      <c r="Y1034" t="s">
        <v>432</v>
      </c>
      <c r="Z1034" t="s">
        <v>3179</v>
      </c>
      <c r="AA1034" t="s">
        <v>109</v>
      </c>
      <c r="AB1034" t="s">
        <v>97</v>
      </c>
      <c r="AC1034" t="s">
        <v>109</v>
      </c>
    </row>
    <row r="1035" spans="1:29">
      <c r="A1035" t="s">
        <v>1451</v>
      </c>
      <c r="B1035" s="2">
        <v>46189</v>
      </c>
      <c r="C1035" t="s">
        <v>30</v>
      </c>
      <c r="D1035" t="s">
        <v>74</v>
      </c>
      <c r="E1035" t="s">
        <v>100</v>
      </c>
      <c r="F1035" t="s">
        <v>101</v>
      </c>
      <c r="G1035" t="s">
        <v>313</v>
      </c>
      <c r="H1035" t="s">
        <v>148</v>
      </c>
      <c r="I1035" t="s">
        <v>800</v>
      </c>
      <c r="J1035" t="s">
        <v>3156</v>
      </c>
      <c r="K1035" t="s">
        <v>37</v>
      </c>
      <c r="L1035" t="s">
        <v>187</v>
      </c>
      <c r="M1035" t="s">
        <v>164</v>
      </c>
      <c r="N1035" t="s">
        <v>94</v>
      </c>
      <c r="O1035" s="4">
        <v>4</v>
      </c>
      <c r="P1035" s="4">
        <v>18</v>
      </c>
      <c r="Q1035" t="s">
        <v>58</v>
      </c>
      <c r="R1035" s="2">
        <v>46187</v>
      </c>
      <c r="S1035" s="4">
        <v>16</v>
      </c>
      <c r="T1035" s="3">
        <v>240000000</v>
      </c>
      <c r="U1035" t="s">
        <v>260</v>
      </c>
      <c r="V1035" t="s">
        <v>143</v>
      </c>
      <c r="W1035" t="s">
        <v>95</v>
      </c>
      <c r="X1035" t="s">
        <v>308</v>
      </c>
      <c r="Y1035" t="s">
        <v>96</v>
      </c>
      <c r="Z1035" t="s">
        <v>3179</v>
      </c>
      <c r="AA1035" t="s">
        <v>109</v>
      </c>
      <c r="AB1035" t="s">
        <v>97</v>
      </c>
      <c r="AC1035" t="s">
        <v>109</v>
      </c>
    </row>
    <row r="1036" spans="1:29">
      <c r="A1036" t="s">
        <v>1452</v>
      </c>
      <c r="B1036" s="2">
        <v>46201</v>
      </c>
      <c r="C1036" t="s">
        <v>30</v>
      </c>
      <c r="D1036" t="s">
        <v>49</v>
      </c>
      <c r="E1036" t="s">
        <v>152</v>
      </c>
      <c r="F1036" t="s">
        <v>221</v>
      </c>
      <c r="G1036" t="s">
        <v>286</v>
      </c>
      <c r="H1036" t="s">
        <v>283</v>
      </c>
      <c r="I1036" t="s">
        <v>663</v>
      </c>
      <c r="J1036" t="s">
        <v>3145</v>
      </c>
      <c r="K1036" t="s">
        <v>92</v>
      </c>
      <c r="L1036" t="s">
        <v>38</v>
      </c>
      <c r="M1036" t="s">
        <v>81</v>
      </c>
      <c r="N1036" t="s">
        <v>130</v>
      </c>
      <c r="O1036" s="4">
        <v>5</v>
      </c>
      <c r="P1036" s="4">
        <v>11</v>
      </c>
      <c r="Q1036" t="s">
        <v>142</v>
      </c>
      <c r="R1036" s="2">
        <v>46198</v>
      </c>
      <c r="S1036" s="4">
        <v>5</v>
      </c>
      <c r="T1036" s="3">
        <v>176000000</v>
      </c>
      <c r="U1036" t="s">
        <v>42</v>
      </c>
      <c r="V1036" t="s">
        <v>143</v>
      </c>
      <c r="W1036" t="s">
        <v>144</v>
      </c>
      <c r="Y1036" t="s">
        <v>254</v>
      </c>
      <c r="Z1036" t="s">
        <v>3179</v>
      </c>
      <c r="AA1036" t="s">
        <v>159</v>
      </c>
      <c r="AB1036" t="s">
        <v>97</v>
      </c>
      <c r="AC1036" t="s">
        <v>159</v>
      </c>
    </row>
    <row r="1037" spans="1:29">
      <c r="A1037" t="s">
        <v>1453</v>
      </c>
      <c r="B1037" s="2">
        <v>46190</v>
      </c>
      <c r="C1037" t="s">
        <v>30</v>
      </c>
      <c r="D1037" t="s">
        <v>74</v>
      </c>
      <c r="E1037" t="s">
        <v>100</v>
      </c>
      <c r="F1037" t="s">
        <v>146</v>
      </c>
      <c r="G1037" t="s">
        <v>313</v>
      </c>
      <c r="H1037" t="s">
        <v>103</v>
      </c>
      <c r="I1037" t="s">
        <v>447</v>
      </c>
      <c r="J1037" t="s">
        <v>3088</v>
      </c>
      <c r="K1037" t="s">
        <v>105</v>
      </c>
      <c r="L1037" t="s">
        <v>80</v>
      </c>
      <c r="M1037" t="s">
        <v>56</v>
      </c>
      <c r="N1037" t="s">
        <v>94</v>
      </c>
      <c r="O1037" s="4">
        <v>4</v>
      </c>
      <c r="P1037" s="4">
        <v>18</v>
      </c>
      <c r="Q1037" t="s">
        <v>69</v>
      </c>
      <c r="R1037" s="2">
        <v>46183</v>
      </c>
      <c r="S1037" s="4">
        <v>20</v>
      </c>
      <c r="T1037" s="3">
        <v>215000000</v>
      </c>
      <c r="U1037" t="s">
        <v>42</v>
      </c>
      <c r="V1037" t="s">
        <v>59</v>
      </c>
      <c r="W1037" t="s">
        <v>95</v>
      </c>
      <c r="X1037" t="s">
        <v>253</v>
      </c>
      <c r="Y1037" t="s">
        <v>228</v>
      </c>
      <c r="Z1037" t="s">
        <v>3179</v>
      </c>
      <c r="AA1037" t="s">
        <v>109</v>
      </c>
      <c r="AB1037" t="s">
        <v>97</v>
      </c>
      <c r="AC1037" t="s">
        <v>109</v>
      </c>
    </row>
    <row r="1038" spans="1:29">
      <c r="A1038" t="s">
        <v>1454</v>
      </c>
      <c r="B1038" s="2">
        <v>46177</v>
      </c>
      <c r="C1038" t="s">
        <v>30</v>
      </c>
      <c r="D1038" t="s">
        <v>134</v>
      </c>
      <c r="E1038" t="s">
        <v>111</v>
      </c>
      <c r="F1038" t="s">
        <v>264</v>
      </c>
      <c r="G1038" t="s">
        <v>265</v>
      </c>
      <c r="H1038" t="s">
        <v>127</v>
      </c>
      <c r="I1038" t="s">
        <v>311</v>
      </c>
      <c r="J1038" t="s">
        <v>3048</v>
      </c>
      <c r="K1038" t="s">
        <v>116</v>
      </c>
      <c r="L1038" t="s">
        <v>55</v>
      </c>
      <c r="M1038" t="s">
        <v>129</v>
      </c>
      <c r="N1038" t="s">
        <v>94</v>
      </c>
      <c r="O1038" s="4">
        <v>4</v>
      </c>
      <c r="P1038" s="4">
        <v>11</v>
      </c>
      <c r="Q1038" t="s">
        <v>69</v>
      </c>
      <c r="R1038" s="2">
        <v>46172</v>
      </c>
      <c r="S1038" s="4">
        <v>31</v>
      </c>
      <c r="T1038" s="3">
        <v>186000000</v>
      </c>
      <c r="U1038" t="s">
        <v>42</v>
      </c>
      <c r="V1038" t="s">
        <v>70</v>
      </c>
      <c r="W1038" t="s">
        <v>170</v>
      </c>
      <c r="Y1038" t="s">
        <v>268</v>
      </c>
      <c r="Z1038" t="s">
        <v>3179</v>
      </c>
      <c r="AA1038" t="s">
        <v>118</v>
      </c>
      <c r="AB1038" t="s">
        <v>97</v>
      </c>
      <c r="AC1038" t="s">
        <v>118</v>
      </c>
    </row>
    <row r="1039" spans="1:29">
      <c r="A1039" t="s">
        <v>1455</v>
      </c>
      <c r="B1039" s="2">
        <v>46183</v>
      </c>
      <c r="C1039" t="s">
        <v>30</v>
      </c>
      <c r="D1039" t="s">
        <v>99</v>
      </c>
      <c r="E1039" t="s">
        <v>32</v>
      </c>
      <c r="F1039" t="s">
        <v>273</v>
      </c>
      <c r="G1039" t="s">
        <v>218</v>
      </c>
      <c r="H1039" t="s">
        <v>35</v>
      </c>
      <c r="I1039" t="s">
        <v>323</v>
      </c>
      <c r="J1039" t="s">
        <v>3052</v>
      </c>
      <c r="K1039" t="s">
        <v>105</v>
      </c>
      <c r="L1039" t="s">
        <v>38</v>
      </c>
      <c r="M1039" t="s">
        <v>93</v>
      </c>
      <c r="N1039" t="s">
        <v>213</v>
      </c>
      <c r="O1039" s="4">
        <v>6</v>
      </c>
      <c r="P1039" s="4">
        <v>5</v>
      </c>
      <c r="Q1039" t="s">
        <v>138</v>
      </c>
      <c r="R1039" s="2">
        <v>46183</v>
      </c>
      <c r="S1039" s="4">
        <v>20</v>
      </c>
      <c r="T1039" s="3">
        <v>312000000</v>
      </c>
      <c r="U1039" t="s">
        <v>42</v>
      </c>
      <c r="V1039" t="s">
        <v>70</v>
      </c>
      <c r="W1039" t="s">
        <v>438</v>
      </c>
      <c r="Y1039" t="s">
        <v>424</v>
      </c>
      <c r="Z1039" t="s">
        <v>3179</v>
      </c>
      <c r="AA1039" t="s">
        <v>46</v>
      </c>
      <c r="AB1039" t="s">
        <v>97</v>
      </c>
      <c r="AC1039" t="s">
        <v>46</v>
      </c>
    </row>
    <row r="1040" spans="1:29">
      <c r="A1040" t="s">
        <v>1456</v>
      </c>
      <c r="B1040" s="2">
        <v>46203</v>
      </c>
      <c r="C1040" t="s">
        <v>30</v>
      </c>
      <c r="D1040" t="s">
        <v>31</v>
      </c>
      <c r="E1040" t="s">
        <v>120</v>
      </c>
      <c r="F1040" t="s">
        <v>167</v>
      </c>
      <c r="G1040" t="s">
        <v>135</v>
      </c>
      <c r="H1040" t="s">
        <v>300</v>
      </c>
      <c r="I1040" t="s">
        <v>400</v>
      </c>
      <c r="J1040" t="s">
        <v>3074</v>
      </c>
      <c r="K1040" t="s">
        <v>37</v>
      </c>
      <c r="L1040" t="s">
        <v>80</v>
      </c>
      <c r="M1040" t="s">
        <v>93</v>
      </c>
      <c r="N1040" t="s">
        <v>130</v>
      </c>
      <c r="O1040" s="4">
        <v>5</v>
      </c>
      <c r="P1040" s="4">
        <v>8</v>
      </c>
      <c r="Q1040" t="s">
        <v>58</v>
      </c>
      <c r="R1040" s="2">
        <v>46193</v>
      </c>
      <c r="S1040" s="4">
        <v>10</v>
      </c>
      <c r="T1040" s="3">
        <v>135000000</v>
      </c>
      <c r="U1040" t="s">
        <v>42</v>
      </c>
      <c r="V1040" t="s">
        <v>59</v>
      </c>
      <c r="W1040" t="s">
        <v>131</v>
      </c>
      <c r="Y1040" t="s">
        <v>254</v>
      </c>
      <c r="Z1040" t="s">
        <v>3179</v>
      </c>
      <c r="AA1040" t="s">
        <v>97</v>
      </c>
      <c r="AB1040" t="s">
        <v>97</v>
      </c>
      <c r="AC1040" t="s">
        <v>97</v>
      </c>
    </row>
    <row r="1041" spans="1:29">
      <c r="A1041" t="s">
        <v>1457</v>
      </c>
      <c r="B1041" s="2">
        <v>46176</v>
      </c>
      <c r="C1041" t="s">
        <v>30</v>
      </c>
      <c r="D1041" t="s">
        <v>134</v>
      </c>
      <c r="E1041" t="s">
        <v>172</v>
      </c>
      <c r="F1041" t="s">
        <v>277</v>
      </c>
      <c r="G1041" t="s">
        <v>174</v>
      </c>
      <c r="H1041" t="s">
        <v>241</v>
      </c>
      <c r="I1041" t="s">
        <v>457</v>
      </c>
      <c r="J1041" t="s">
        <v>3092</v>
      </c>
      <c r="K1041" t="s">
        <v>105</v>
      </c>
      <c r="L1041" t="s">
        <v>80</v>
      </c>
      <c r="M1041" t="s">
        <v>39</v>
      </c>
      <c r="N1041" t="s">
        <v>130</v>
      </c>
      <c r="O1041" s="4">
        <v>5</v>
      </c>
      <c r="P1041" s="4">
        <v>10</v>
      </c>
      <c r="Q1041" t="s">
        <v>107</v>
      </c>
      <c r="R1041" s="2">
        <v>46168</v>
      </c>
      <c r="S1041" s="4">
        <v>35</v>
      </c>
      <c r="T1041" s="3">
        <v>205000000</v>
      </c>
      <c r="U1041" t="s">
        <v>42</v>
      </c>
      <c r="V1041" t="s">
        <v>59</v>
      </c>
      <c r="W1041" t="s">
        <v>355</v>
      </c>
      <c r="X1041" t="s">
        <v>117</v>
      </c>
      <c r="Y1041" t="s">
        <v>254</v>
      </c>
      <c r="Z1041" t="s">
        <v>3179</v>
      </c>
      <c r="AA1041" t="s">
        <v>181</v>
      </c>
      <c r="AB1041" t="s">
        <v>97</v>
      </c>
      <c r="AC1041" t="s">
        <v>181</v>
      </c>
    </row>
    <row r="1042" spans="1:29">
      <c r="A1042" t="s">
        <v>1458</v>
      </c>
      <c r="B1042" s="2">
        <v>46194</v>
      </c>
      <c r="C1042" t="s">
        <v>30</v>
      </c>
      <c r="D1042" t="s">
        <v>74</v>
      </c>
      <c r="E1042" t="s">
        <v>32</v>
      </c>
      <c r="F1042" t="s">
        <v>273</v>
      </c>
      <c r="G1042" t="s">
        <v>34</v>
      </c>
      <c r="H1042" t="s">
        <v>35</v>
      </c>
      <c r="I1042" t="s">
        <v>219</v>
      </c>
      <c r="J1042" t="s">
        <v>3028</v>
      </c>
      <c r="K1042" t="s">
        <v>37</v>
      </c>
      <c r="L1042" t="s">
        <v>169</v>
      </c>
      <c r="M1042" t="s">
        <v>81</v>
      </c>
      <c r="N1042" t="s">
        <v>82</v>
      </c>
      <c r="O1042" s="4">
        <v>1</v>
      </c>
      <c r="P1042" s="4">
        <v>3</v>
      </c>
      <c r="Q1042" t="s">
        <v>138</v>
      </c>
      <c r="R1042" s="2">
        <v>46187</v>
      </c>
      <c r="S1042" s="4">
        <v>16</v>
      </c>
      <c r="T1042" s="3">
        <v>224000000</v>
      </c>
      <c r="U1042" t="s">
        <v>42</v>
      </c>
      <c r="V1042" t="s">
        <v>43</v>
      </c>
      <c r="W1042" t="s">
        <v>84</v>
      </c>
      <c r="Y1042" t="s">
        <v>85</v>
      </c>
      <c r="Z1042" t="s">
        <v>3176</v>
      </c>
      <c r="AA1042" t="s">
        <v>46</v>
      </c>
      <c r="AB1042" t="s">
        <v>47</v>
      </c>
      <c r="AC1042" t="s">
        <v>46</v>
      </c>
    </row>
    <row r="1043" spans="1:29">
      <c r="A1043" t="s">
        <v>1459</v>
      </c>
      <c r="B1043" s="2">
        <v>46186</v>
      </c>
      <c r="C1043" t="s">
        <v>30</v>
      </c>
      <c r="D1043" t="s">
        <v>99</v>
      </c>
      <c r="E1043" t="s">
        <v>100</v>
      </c>
      <c r="F1043" t="s">
        <v>101</v>
      </c>
      <c r="G1043" t="s">
        <v>102</v>
      </c>
      <c r="H1043" t="s">
        <v>103</v>
      </c>
      <c r="I1043" t="s">
        <v>141</v>
      </c>
      <c r="J1043" t="s">
        <v>3018</v>
      </c>
      <c r="K1043" t="s">
        <v>105</v>
      </c>
      <c r="L1043" t="s">
        <v>38</v>
      </c>
      <c r="M1043" t="s">
        <v>56</v>
      </c>
      <c r="N1043" t="s">
        <v>196</v>
      </c>
      <c r="O1043" s="4">
        <v>7</v>
      </c>
      <c r="P1043" s="4">
        <v>22</v>
      </c>
      <c r="Q1043" t="s">
        <v>41</v>
      </c>
      <c r="R1043" s="2">
        <v>46186</v>
      </c>
      <c r="S1043" s="4">
        <v>17</v>
      </c>
      <c r="T1043" s="3">
        <v>183000000</v>
      </c>
      <c r="U1043" t="s">
        <v>196</v>
      </c>
      <c r="V1043" t="s">
        <v>70</v>
      </c>
      <c r="W1043" t="s">
        <v>197</v>
      </c>
      <c r="Y1043" t="s">
        <v>198</v>
      </c>
      <c r="Z1043" t="s">
        <v>3181</v>
      </c>
      <c r="AA1043" t="s">
        <v>109</v>
      </c>
      <c r="AB1043" t="s">
        <v>199</v>
      </c>
      <c r="AC1043" t="s">
        <v>109</v>
      </c>
    </row>
    <row r="1044" spans="1:29">
      <c r="A1044" t="s">
        <v>1460</v>
      </c>
      <c r="B1044" s="2">
        <v>46181</v>
      </c>
      <c r="C1044" t="s">
        <v>30</v>
      </c>
      <c r="D1044" t="s">
        <v>99</v>
      </c>
      <c r="E1044" t="s">
        <v>50</v>
      </c>
      <c r="F1044" t="s">
        <v>89</v>
      </c>
      <c r="G1044" t="s">
        <v>270</v>
      </c>
      <c r="H1044" t="s">
        <v>53</v>
      </c>
      <c r="I1044" t="s">
        <v>787</v>
      </c>
      <c r="J1044" t="s">
        <v>3154</v>
      </c>
      <c r="K1044" t="s">
        <v>105</v>
      </c>
      <c r="L1044" t="s">
        <v>187</v>
      </c>
      <c r="M1044" t="s">
        <v>164</v>
      </c>
      <c r="N1044" t="s">
        <v>94</v>
      </c>
      <c r="O1044" s="4">
        <v>4</v>
      </c>
      <c r="P1044" s="4">
        <v>6</v>
      </c>
      <c r="Q1044" t="s">
        <v>107</v>
      </c>
      <c r="R1044" s="2">
        <v>46178</v>
      </c>
      <c r="S1044" s="4">
        <v>25</v>
      </c>
      <c r="T1044" s="3">
        <v>299000000</v>
      </c>
      <c r="U1044" t="s">
        <v>426</v>
      </c>
      <c r="V1044" t="s">
        <v>59</v>
      </c>
      <c r="W1044" t="s">
        <v>170</v>
      </c>
      <c r="X1044" t="s">
        <v>381</v>
      </c>
      <c r="Y1044" t="s">
        <v>96</v>
      </c>
      <c r="Z1044" t="s">
        <v>3179</v>
      </c>
      <c r="AA1044" t="s">
        <v>62</v>
      </c>
      <c r="AB1044" t="s">
        <v>97</v>
      </c>
      <c r="AC1044" t="s">
        <v>62</v>
      </c>
    </row>
    <row r="1045" spans="1:29">
      <c r="A1045" t="s">
        <v>1461</v>
      </c>
      <c r="B1045" s="2">
        <v>46178</v>
      </c>
      <c r="C1045" t="s">
        <v>30</v>
      </c>
      <c r="D1045" t="s">
        <v>134</v>
      </c>
      <c r="E1045" t="s">
        <v>120</v>
      </c>
      <c r="F1045" t="s">
        <v>167</v>
      </c>
      <c r="G1045" t="s">
        <v>135</v>
      </c>
      <c r="H1045" t="s">
        <v>300</v>
      </c>
      <c r="I1045" t="s">
        <v>400</v>
      </c>
      <c r="J1045" t="s">
        <v>3074</v>
      </c>
      <c r="K1045" t="s">
        <v>37</v>
      </c>
      <c r="L1045" t="s">
        <v>68</v>
      </c>
      <c r="M1045" t="s">
        <v>56</v>
      </c>
      <c r="N1045" t="s">
        <v>94</v>
      </c>
      <c r="O1045" s="4">
        <v>4</v>
      </c>
      <c r="P1045" s="4">
        <v>11</v>
      </c>
      <c r="Q1045" t="s">
        <v>41</v>
      </c>
      <c r="R1045" s="2">
        <v>46173</v>
      </c>
      <c r="S1045" s="4">
        <v>30</v>
      </c>
      <c r="T1045" s="3">
        <v>145000000</v>
      </c>
      <c r="U1045" t="s">
        <v>42</v>
      </c>
      <c r="V1045" t="s">
        <v>70</v>
      </c>
      <c r="W1045" t="s">
        <v>170</v>
      </c>
      <c r="Y1045" t="s">
        <v>228</v>
      </c>
      <c r="Z1045" t="s">
        <v>3179</v>
      </c>
      <c r="AA1045" t="s">
        <v>97</v>
      </c>
      <c r="AB1045" t="s">
        <v>97</v>
      </c>
      <c r="AC1045" t="s">
        <v>97</v>
      </c>
    </row>
    <row r="1046" spans="1:29">
      <c r="A1046" t="s">
        <v>1462</v>
      </c>
      <c r="B1046" s="2">
        <v>46174</v>
      </c>
      <c r="C1046" t="s">
        <v>30</v>
      </c>
      <c r="D1046" t="s">
        <v>134</v>
      </c>
      <c r="E1046" t="s">
        <v>75</v>
      </c>
      <c r="F1046" t="s">
        <v>76</v>
      </c>
      <c r="G1046" t="s">
        <v>162</v>
      </c>
      <c r="H1046" t="s">
        <v>388</v>
      </c>
      <c r="I1046" t="s">
        <v>389</v>
      </c>
      <c r="J1046" t="s">
        <v>3071</v>
      </c>
      <c r="K1046" t="s">
        <v>105</v>
      </c>
      <c r="L1046" t="s">
        <v>150</v>
      </c>
      <c r="M1046" t="s">
        <v>93</v>
      </c>
      <c r="N1046" t="s">
        <v>57</v>
      </c>
      <c r="O1046" s="4">
        <v>3</v>
      </c>
      <c r="P1046" s="4">
        <v>11</v>
      </c>
      <c r="Q1046" t="s">
        <v>41</v>
      </c>
      <c r="R1046" s="2">
        <v>46173</v>
      </c>
      <c r="S1046" s="4">
        <v>30</v>
      </c>
      <c r="T1046" s="3">
        <v>93000000</v>
      </c>
      <c r="U1046" t="s">
        <v>42</v>
      </c>
      <c r="V1046" t="s">
        <v>59</v>
      </c>
      <c r="W1046" t="s">
        <v>157</v>
      </c>
      <c r="Y1046" t="s">
        <v>158</v>
      </c>
      <c r="Z1046" t="s">
        <v>3177</v>
      </c>
      <c r="AA1046" t="s">
        <v>86</v>
      </c>
      <c r="AB1046" t="s">
        <v>63</v>
      </c>
      <c r="AC1046" t="s">
        <v>86</v>
      </c>
    </row>
    <row r="1047" spans="1:29">
      <c r="A1047" t="s">
        <v>1463</v>
      </c>
      <c r="B1047" s="2">
        <v>46175</v>
      </c>
      <c r="C1047" t="s">
        <v>30</v>
      </c>
      <c r="D1047" t="s">
        <v>134</v>
      </c>
      <c r="E1047" t="s">
        <v>152</v>
      </c>
      <c r="F1047" t="s">
        <v>153</v>
      </c>
      <c r="G1047" t="s">
        <v>154</v>
      </c>
      <c r="H1047" t="s">
        <v>283</v>
      </c>
      <c r="I1047" t="s">
        <v>284</v>
      </c>
      <c r="J1047" t="s">
        <v>3041</v>
      </c>
      <c r="K1047" t="s">
        <v>56</v>
      </c>
      <c r="L1047" t="s">
        <v>80</v>
      </c>
      <c r="M1047" t="s">
        <v>81</v>
      </c>
      <c r="N1047" t="s">
        <v>130</v>
      </c>
      <c r="O1047" s="4">
        <v>5</v>
      </c>
      <c r="P1047" s="4">
        <v>16</v>
      </c>
      <c r="Q1047" t="s">
        <v>58</v>
      </c>
      <c r="R1047" s="2">
        <v>46174</v>
      </c>
      <c r="S1047" s="4">
        <v>29</v>
      </c>
      <c r="T1047" s="3">
        <v>377000000</v>
      </c>
      <c r="U1047" t="s">
        <v>42</v>
      </c>
      <c r="V1047" t="s">
        <v>143</v>
      </c>
      <c r="W1047" t="s">
        <v>131</v>
      </c>
      <c r="Y1047" t="s">
        <v>262</v>
      </c>
      <c r="Z1047" t="s">
        <v>3179</v>
      </c>
      <c r="AA1047" t="s">
        <v>159</v>
      </c>
      <c r="AB1047" t="s">
        <v>97</v>
      </c>
      <c r="AC1047" t="s">
        <v>159</v>
      </c>
    </row>
    <row r="1048" spans="1:29">
      <c r="A1048" t="s">
        <v>1464</v>
      </c>
      <c r="B1048" s="2">
        <v>46203</v>
      </c>
      <c r="C1048" t="s">
        <v>30</v>
      </c>
      <c r="D1048" t="s">
        <v>31</v>
      </c>
      <c r="E1048" t="s">
        <v>152</v>
      </c>
      <c r="F1048" t="s">
        <v>205</v>
      </c>
      <c r="G1048" t="s">
        <v>328</v>
      </c>
      <c r="H1048" t="s">
        <v>283</v>
      </c>
      <c r="I1048" t="s">
        <v>295</v>
      </c>
      <c r="J1048" t="s">
        <v>3043</v>
      </c>
      <c r="K1048" t="s">
        <v>37</v>
      </c>
      <c r="L1048" t="s">
        <v>187</v>
      </c>
      <c r="M1048" t="s">
        <v>56</v>
      </c>
      <c r="N1048" t="s">
        <v>94</v>
      </c>
      <c r="O1048" s="4">
        <v>4</v>
      </c>
      <c r="P1048" s="4">
        <v>16</v>
      </c>
      <c r="Q1048" t="s">
        <v>138</v>
      </c>
      <c r="R1048" s="2">
        <v>46195</v>
      </c>
      <c r="S1048" s="4">
        <v>8</v>
      </c>
      <c r="T1048" s="3">
        <v>279000000</v>
      </c>
      <c r="U1048" t="s">
        <v>42</v>
      </c>
      <c r="V1048" t="s">
        <v>70</v>
      </c>
      <c r="W1048" t="s">
        <v>188</v>
      </c>
      <c r="X1048" t="s">
        <v>253</v>
      </c>
      <c r="Y1048" t="s">
        <v>268</v>
      </c>
      <c r="Z1048" t="s">
        <v>3179</v>
      </c>
      <c r="AA1048" t="s">
        <v>159</v>
      </c>
      <c r="AB1048" t="s">
        <v>97</v>
      </c>
      <c r="AC1048" t="s">
        <v>159</v>
      </c>
    </row>
    <row r="1049" spans="1:29">
      <c r="A1049" t="s">
        <v>1465</v>
      </c>
      <c r="B1049" s="2">
        <v>46181</v>
      </c>
      <c r="C1049" t="s">
        <v>30</v>
      </c>
      <c r="D1049" t="s">
        <v>99</v>
      </c>
      <c r="E1049" t="s">
        <v>172</v>
      </c>
      <c r="F1049" t="s">
        <v>195</v>
      </c>
      <c r="G1049" t="s">
        <v>278</v>
      </c>
      <c r="H1049" t="s">
        <v>175</v>
      </c>
      <c r="I1049" t="s">
        <v>516</v>
      </c>
      <c r="J1049" t="s">
        <v>3108</v>
      </c>
      <c r="K1049" t="s">
        <v>105</v>
      </c>
      <c r="L1049" t="s">
        <v>38</v>
      </c>
      <c r="M1049" t="s">
        <v>106</v>
      </c>
      <c r="N1049" t="s">
        <v>40</v>
      </c>
      <c r="O1049" s="4">
        <v>2</v>
      </c>
      <c r="P1049" s="4">
        <v>7</v>
      </c>
      <c r="Q1049" t="s">
        <v>142</v>
      </c>
      <c r="R1049" s="2">
        <v>46180</v>
      </c>
      <c r="S1049" s="4">
        <v>23</v>
      </c>
      <c r="T1049" s="3">
        <v>203000000</v>
      </c>
      <c r="U1049" t="s">
        <v>42</v>
      </c>
      <c r="V1049" t="s">
        <v>43</v>
      </c>
      <c r="W1049" t="s">
        <v>178</v>
      </c>
      <c r="Y1049" t="s">
        <v>281</v>
      </c>
      <c r="Z1049" t="s">
        <v>3178</v>
      </c>
      <c r="AA1049" t="s">
        <v>181</v>
      </c>
      <c r="AB1049" t="s">
        <v>87</v>
      </c>
      <c r="AC1049" t="s">
        <v>181</v>
      </c>
    </row>
    <row r="1050" spans="1:29">
      <c r="A1050" t="s">
        <v>1466</v>
      </c>
      <c r="B1050" s="2">
        <v>46196</v>
      </c>
      <c r="C1050" t="s">
        <v>30</v>
      </c>
      <c r="D1050" t="s">
        <v>49</v>
      </c>
      <c r="E1050" t="s">
        <v>152</v>
      </c>
      <c r="F1050" t="s">
        <v>221</v>
      </c>
      <c r="G1050" t="s">
        <v>328</v>
      </c>
      <c r="H1050" t="s">
        <v>207</v>
      </c>
      <c r="I1050" t="s">
        <v>208</v>
      </c>
      <c r="J1050" t="s">
        <v>3027</v>
      </c>
      <c r="K1050" t="s">
        <v>37</v>
      </c>
      <c r="L1050" t="s">
        <v>38</v>
      </c>
      <c r="M1050" t="s">
        <v>106</v>
      </c>
      <c r="N1050" t="s">
        <v>40</v>
      </c>
      <c r="O1050" s="4">
        <v>2</v>
      </c>
      <c r="P1050" s="4">
        <v>15</v>
      </c>
      <c r="Q1050" t="s">
        <v>41</v>
      </c>
      <c r="R1050" s="2">
        <v>46196</v>
      </c>
      <c r="S1050" s="4">
        <v>7</v>
      </c>
      <c r="T1050" s="3">
        <v>140000000</v>
      </c>
      <c r="U1050" t="s">
        <v>42</v>
      </c>
      <c r="V1050" t="s">
        <v>43</v>
      </c>
      <c r="W1050" t="s">
        <v>178</v>
      </c>
      <c r="Y1050" t="s">
        <v>281</v>
      </c>
      <c r="Z1050" t="s">
        <v>3180</v>
      </c>
      <c r="AA1050" t="s">
        <v>159</v>
      </c>
      <c r="AB1050" t="s">
        <v>193</v>
      </c>
      <c r="AC1050" t="s">
        <v>159</v>
      </c>
    </row>
    <row r="1051" spans="1:29">
      <c r="A1051" t="s">
        <v>1467</v>
      </c>
      <c r="B1051" s="2">
        <v>46176</v>
      </c>
      <c r="C1051" t="s">
        <v>30</v>
      </c>
      <c r="D1051" t="s">
        <v>134</v>
      </c>
      <c r="E1051" t="s">
        <v>152</v>
      </c>
      <c r="F1051" t="s">
        <v>153</v>
      </c>
      <c r="G1051" t="s">
        <v>154</v>
      </c>
      <c r="H1051" t="s">
        <v>155</v>
      </c>
      <c r="I1051" t="s">
        <v>156</v>
      </c>
      <c r="J1051" t="s">
        <v>3020</v>
      </c>
      <c r="K1051" t="s">
        <v>56</v>
      </c>
      <c r="L1051" t="s">
        <v>150</v>
      </c>
      <c r="M1051" t="s">
        <v>164</v>
      </c>
      <c r="N1051" t="s">
        <v>94</v>
      </c>
      <c r="O1051" s="4">
        <v>4</v>
      </c>
      <c r="P1051" s="4">
        <v>10</v>
      </c>
      <c r="Q1051" t="s">
        <v>58</v>
      </c>
      <c r="R1051" s="2">
        <v>46172</v>
      </c>
      <c r="S1051" s="4">
        <v>31</v>
      </c>
      <c r="T1051" s="3">
        <v>395000000</v>
      </c>
      <c r="U1051" t="s">
        <v>42</v>
      </c>
      <c r="V1051" t="s">
        <v>70</v>
      </c>
      <c r="W1051" t="s">
        <v>267</v>
      </c>
      <c r="Y1051" t="s">
        <v>108</v>
      </c>
      <c r="Z1051" t="s">
        <v>3179</v>
      </c>
      <c r="AA1051" t="s">
        <v>159</v>
      </c>
      <c r="AB1051" t="s">
        <v>97</v>
      </c>
      <c r="AC1051" t="s">
        <v>159</v>
      </c>
    </row>
    <row r="1052" spans="1:29">
      <c r="A1052" t="s">
        <v>1468</v>
      </c>
      <c r="B1052" s="2">
        <v>46200</v>
      </c>
      <c r="C1052" t="s">
        <v>30</v>
      </c>
      <c r="D1052" t="s">
        <v>49</v>
      </c>
      <c r="E1052" t="s">
        <v>32</v>
      </c>
      <c r="F1052" t="s">
        <v>273</v>
      </c>
      <c r="G1052" t="s">
        <v>257</v>
      </c>
      <c r="H1052" t="s">
        <v>258</v>
      </c>
      <c r="I1052" t="s">
        <v>1008</v>
      </c>
      <c r="J1052" t="s">
        <v>3170</v>
      </c>
      <c r="K1052" t="s">
        <v>105</v>
      </c>
      <c r="L1052" t="s">
        <v>80</v>
      </c>
      <c r="M1052" t="s">
        <v>56</v>
      </c>
      <c r="N1052" t="s">
        <v>40</v>
      </c>
      <c r="O1052" s="4">
        <v>2</v>
      </c>
      <c r="P1052" s="4">
        <v>2</v>
      </c>
      <c r="Q1052" t="s">
        <v>83</v>
      </c>
      <c r="R1052" s="2">
        <v>46200</v>
      </c>
      <c r="S1052" s="4">
        <v>3</v>
      </c>
      <c r="T1052" s="3">
        <v>160000000</v>
      </c>
      <c r="U1052" t="s">
        <v>42</v>
      </c>
      <c r="V1052" t="s">
        <v>43</v>
      </c>
      <c r="W1052" t="s">
        <v>178</v>
      </c>
      <c r="Y1052" t="s">
        <v>281</v>
      </c>
      <c r="Z1052" t="s">
        <v>3176</v>
      </c>
      <c r="AA1052" t="s">
        <v>46</v>
      </c>
      <c r="AB1052" t="s">
        <v>47</v>
      </c>
      <c r="AC1052" t="s">
        <v>46</v>
      </c>
    </row>
    <row r="1053" spans="1:29">
      <c r="A1053" t="s">
        <v>1469</v>
      </c>
      <c r="B1053" s="2">
        <v>46184</v>
      </c>
      <c r="C1053" t="s">
        <v>30</v>
      </c>
      <c r="D1053" t="s">
        <v>99</v>
      </c>
      <c r="E1053" t="s">
        <v>111</v>
      </c>
      <c r="F1053" t="s">
        <v>190</v>
      </c>
      <c r="G1053" t="s">
        <v>348</v>
      </c>
      <c r="H1053" t="s">
        <v>127</v>
      </c>
      <c r="I1053" t="s">
        <v>311</v>
      </c>
      <c r="J1053" t="s">
        <v>3048</v>
      </c>
      <c r="K1053" t="s">
        <v>37</v>
      </c>
      <c r="L1053" t="s">
        <v>187</v>
      </c>
      <c r="M1053" t="s">
        <v>39</v>
      </c>
      <c r="N1053" t="s">
        <v>196</v>
      </c>
      <c r="O1053" s="4">
        <v>7</v>
      </c>
      <c r="P1053" s="4">
        <v>10</v>
      </c>
      <c r="Q1053" t="s">
        <v>107</v>
      </c>
      <c r="R1053" s="2">
        <v>46182</v>
      </c>
      <c r="S1053" s="4">
        <v>21</v>
      </c>
      <c r="T1053" s="3">
        <v>99000000</v>
      </c>
      <c r="U1053" t="s">
        <v>196</v>
      </c>
      <c r="V1053" t="s">
        <v>70</v>
      </c>
      <c r="W1053" t="s">
        <v>209</v>
      </c>
      <c r="Y1053" t="s">
        <v>210</v>
      </c>
      <c r="Z1053" t="s">
        <v>3181</v>
      </c>
      <c r="AA1053" t="s">
        <v>118</v>
      </c>
      <c r="AB1053" t="s">
        <v>199</v>
      </c>
      <c r="AC1053" t="s">
        <v>118</v>
      </c>
    </row>
    <row r="1054" spans="1:29">
      <c r="A1054" t="s">
        <v>1470</v>
      </c>
      <c r="B1054" s="2">
        <v>46201</v>
      </c>
      <c r="C1054" t="s">
        <v>30</v>
      </c>
      <c r="D1054" t="s">
        <v>49</v>
      </c>
      <c r="E1054" t="s">
        <v>120</v>
      </c>
      <c r="F1054" t="s">
        <v>167</v>
      </c>
      <c r="G1054" t="s">
        <v>224</v>
      </c>
      <c r="H1054" t="s">
        <v>136</v>
      </c>
      <c r="I1054" t="s">
        <v>137</v>
      </c>
      <c r="J1054" t="s">
        <v>3017</v>
      </c>
      <c r="K1054" t="s">
        <v>37</v>
      </c>
      <c r="L1054" t="s">
        <v>187</v>
      </c>
      <c r="M1054" t="s">
        <v>56</v>
      </c>
      <c r="N1054" t="s">
        <v>94</v>
      </c>
      <c r="O1054" s="4">
        <v>4</v>
      </c>
      <c r="P1054" s="4">
        <v>11</v>
      </c>
      <c r="Q1054" t="s">
        <v>41</v>
      </c>
      <c r="R1054" s="2">
        <v>46195</v>
      </c>
      <c r="S1054" s="4">
        <v>8</v>
      </c>
      <c r="T1054" s="3">
        <v>124000000</v>
      </c>
      <c r="U1054" t="s">
        <v>260</v>
      </c>
      <c r="V1054" t="s">
        <v>59</v>
      </c>
      <c r="W1054" t="s">
        <v>170</v>
      </c>
      <c r="X1054" t="s">
        <v>381</v>
      </c>
      <c r="Y1054" t="s">
        <v>96</v>
      </c>
      <c r="Z1054" t="s">
        <v>3179</v>
      </c>
      <c r="AA1054" t="s">
        <v>97</v>
      </c>
      <c r="AB1054" t="s">
        <v>97</v>
      </c>
      <c r="AC1054" t="s">
        <v>97</v>
      </c>
    </row>
    <row r="1055" spans="1:29">
      <c r="A1055" t="s">
        <v>1471</v>
      </c>
      <c r="B1055" s="2">
        <v>46177</v>
      </c>
      <c r="C1055" t="s">
        <v>30</v>
      </c>
      <c r="D1055" t="s">
        <v>134</v>
      </c>
      <c r="E1055" t="s">
        <v>75</v>
      </c>
      <c r="F1055" t="s">
        <v>161</v>
      </c>
      <c r="G1055" t="s">
        <v>387</v>
      </c>
      <c r="H1055" t="s">
        <v>78</v>
      </c>
      <c r="I1055" t="s">
        <v>501</v>
      </c>
      <c r="J1055" t="s">
        <v>3106</v>
      </c>
      <c r="K1055" t="s">
        <v>92</v>
      </c>
      <c r="L1055" t="s">
        <v>55</v>
      </c>
      <c r="M1055" t="s">
        <v>164</v>
      </c>
      <c r="N1055" t="s">
        <v>130</v>
      </c>
      <c r="O1055" s="4">
        <v>5</v>
      </c>
      <c r="P1055" s="4">
        <v>10</v>
      </c>
      <c r="Q1055" t="s">
        <v>142</v>
      </c>
      <c r="R1055" s="2">
        <v>46174</v>
      </c>
      <c r="S1055" s="4">
        <v>29</v>
      </c>
      <c r="T1055" s="3">
        <v>106000000</v>
      </c>
      <c r="U1055" t="s">
        <v>42</v>
      </c>
      <c r="V1055" t="s">
        <v>70</v>
      </c>
      <c r="W1055" t="s">
        <v>144</v>
      </c>
      <c r="Y1055" t="s">
        <v>254</v>
      </c>
      <c r="Z1055" t="s">
        <v>3179</v>
      </c>
      <c r="AA1055" t="s">
        <v>86</v>
      </c>
      <c r="AB1055" t="s">
        <v>97</v>
      </c>
      <c r="AC1055" t="s">
        <v>86</v>
      </c>
    </row>
    <row r="1056" spans="1:29">
      <c r="A1056" t="s">
        <v>1472</v>
      </c>
      <c r="B1056" s="2">
        <v>46198</v>
      </c>
      <c r="C1056" t="s">
        <v>30</v>
      </c>
      <c r="D1056" t="s">
        <v>49</v>
      </c>
      <c r="E1056" t="s">
        <v>75</v>
      </c>
      <c r="F1056" t="s">
        <v>76</v>
      </c>
      <c r="G1056" t="s">
        <v>230</v>
      </c>
      <c r="H1056" t="s">
        <v>388</v>
      </c>
      <c r="I1056" t="s">
        <v>630</v>
      </c>
      <c r="J1056" t="s">
        <v>3135</v>
      </c>
      <c r="K1056" t="s">
        <v>56</v>
      </c>
      <c r="L1056" t="s">
        <v>55</v>
      </c>
      <c r="M1056" t="s">
        <v>81</v>
      </c>
      <c r="N1056" t="s">
        <v>40</v>
      </c>
      <c r="O1056" s="4">
        <v>2</v>
      </c>
      <c r="P1056" s="4">
        <v>11</v>
      </c>
      <c r="Q1056" t="s">
        <v>107</v>
      </c>
      <c r="R1056" s="2">
        <v>46194</v>
      </c>
      <c r="S1056" s="4">
        <v>9</v>
      </c>
      <c r="T1056" s="3">
        <v>85000000</v>
      </c>
      <c r="U1056" t="s">
        <v>42</v>
      </c>
      <c r="V1056" t="s">
        <v>43</v>
      </c>
      <c r="W1056" t="s">
        <v>239</v>
      </c>
      <c r="Y1056" t="s">
        <v>309</v>
      </c>
      <c r="Z1056" t="s">
        <v>3178</v>
      </c>
      <c r="AA1056" t="s">
        <v>86</v>
      </c>
      <c r="AB1056" t="s">
        <v>87</v>
      </c>
      <c r="AC1056" t="s">
        <v>86</v>
      </c>
    </row>
    <row r="1057" spans="1:29">
      <c r="A1057" t="s">
        <v>1473</v>
      </c>
      <c r="B1057" s="2">
        <v>46194</v>
      </c>
      <c r="C1057" t="s">
        <v>30</v>
      </c>
      <c r="D1057" t="s">
        <v>74</v>
      </c>
      <c r="E1057" t="s">
        <v>75</v>
      </c>
      <c r="F1057" t="s">
        <v>76</v>
      </c>
      <c r="G1057" t="s">
        <v>230</v>
      </c>
      <c r="H1057" t="s">
        <v>185</v>
      </c>
      <c r="I1057" t="s">
        <v>186</v>
      </c>
      <c r="J1057" t="s">
        <v>3024</v>
      </c>
      <c r="K1057" t="s">
        <v>105</v>
      </c>
      <c r="L1057" t="s">
        <v>150</v>
      </c>
      <c r="M1057" t="s">
        <v>164</v>
      </c>
      <c r="N1057" t="s">
        <v>94</v>
      </c>
      <c r="O1057" s="4">
        <v>4</v>
      </c>
      <c r="P1057" s="4">
        <v>7</v>
      </c>
      <c r="Q1057" t="s">
        <v>142</v>
      </c>
      <c r="R1057" s="2">
        <v>46189</v>
      </c>
      <c r="S1057" s="4">
        <v>14</v>
      </c>
      <c r="T1057" s="3">
        <v>188000000</v>
      </c>
      <c r="U1057" t="s">
        <v>42</v>
      </c>
      <c r="V1057" t="s">
        <v>143</v>
      </c>
      <c r="W1057" t="s">
        <v>188</v>
      </c>
      <c r="Y1057" t="s">
        <v>228</v>
      </c>
      <c r="Z1057" t="s">
        <v>3179</v>
      </c>
      <c r="AA1057" t="s">
        <v>86</v>
      </c>
      <c r="AB1057" t="s">
        <v>97</v>
      </c>
      <c r="AC1057" t="s">
        <v>86</v>
      </c>
    </row>
    <row r="1058" spans="1:29">
      <c r="A1058" t="s">
        <v>1474</v>
      </c>
      <c r="B1058" s="2">
        <v>46187</v>
      </c>
      <c r="C1058" t="s">
        <v>30</v>
      </c>
      <c r="D1058" t="s">
        <v>99</v>
      </c>
      <c r="E1058" t="s">
        <v>111</v>
      </c>
      <c r="F1058" t="s">
        <v>264</v>
      </c>
      <c r="G1058" t="s">
        <v>251</v>
      </c>
      <c r="H1058" t="s">
        <v>127</v>
      </c>
      <c r="I1058" t="s">
        <v>311</v>
      </c>
      <c r="J1058" t="s">
        <v>3048</v>
      </c>
      <c r="K1058" t="s">
        <v>92</v>
      </c>
      <c r="L1058" t="s">
        <v>38</v>
      </c>
      <c r="M1058" t="s">
        <v>81</v>
      </c>
      <c r="N1058" t="s">
        <v>82</v>
      </c>
      <c r="O1058" s="4">
        <v>1</v>
      </c>
      <c r="P1058" s="4">
        <v>5</v>
      </c>
      <c r="Q1058" t="s">
        <v>107</v>
      </c>
      <c r="R1058" s="2">
        <v>46183</v>
      </c>
      <c r="S1058" s="4">
        <v>20</v>
      </c>
      <c r="T1058" s="3">
        <v>139000000</v>
      </c>
      <c r="U1058" t="s">
        <v>42</v>
      </c>
      <c r="V1058" t="s">
        <v>43</v>
      </c>
      <c r="W1058" t="s">
        <v>404</v>
      </c>
      <c r="Y1058" t="s">
        <v>85</v>
      </c>
      <c r="Z1058" t="s">
        <v>3178</v>
      </c>
      <c r="AA1058" t="s">
        <v>118</v>
      </c>
      <c r="AB1058" t="s">
        <v>87</v>
      </c>
      <c r="AC1058" t="s">
        <v>118</v>
      </c>
    </row>
    <row r="1059" spans="1:29">
      <c r="A1059" t="s">
        <v>1475</v>
      </c>
      <c r="B1059" s="2">
        <v>46198</v>
      </c>
      <c r="C1059" t="s">
        <v>30</v>
      </c>
      <c r="D1059" t="s">
        <v>49</v>
      </c>
      <c r="E1059" t="s">
        <v>172</v>
      </c>
      <c r="F1059" t="s">
        <v>195</v>
      </c>
      <c r="G1059" t="s">
        <v>174</v>
      </c>
      <c r="H1059" t="s">
        <v>241</v>
      </c>
      <c r="I1059" t="s">
        <v>379</v>
      </c>
      <c r="J1059" t="s">
        <v>3069</v>
      </c>
      <c r="K1059" t="s">
        <v>105</v>
      </c>
      <c r="L1059" t="s">
        <v>80</v>
      </c>
      <c r="M1059" t="s">
        <v>164</v>
      </c>
      <c r="N1059" t="s">
        <v>82</v>
      </c>
      <c r="O1059" s="4">
        <v>1</v>
      </c>
      <c r="P1059" s="4">
        <v>8</v>
      </c>
      <c r="Q1059" t="s">
        <v>41</v>
      </c>
      <c r="R1059" s="2">
        <v>46189</v>
      </c>
      <c r="S1059" s="4">
        <v>14</v>
      </c>
      <c r="T1059" s="3">
        <v>133000000</v>
      </c>
      <c r="U1059" t="s">
        <v>42</v>
      </c>
      <c r="V1059" t="s">
        <v>59</v>
      </c>
      <c r="W1059" t="s">
        <v>404</v>
      </c>
      <c r="Y1059" t="s">
        <v>85</v>
      </c>
      <c r="Z1059" t="s">
        <v>3178</v>
      </c>
      <c r="AA1059" t="s">
        <v>181</v>
      </c>
      <c r="AB1059" t="s">
        <v>87</v>
      </c>
      <c r="AC1059" t="s">
        <v>181</v>
      </c>
    </row>
    <row r="1060" spans="1:29">
      <c r="A1060" t="s">
        <v>1476</v>
      </c>
      <c r="B1060" s="2">
        <v>46180</v>
      </c>
      <c r="C1060" t="s">
        <v>30</v>
      </c>
      <c r="D1060" t="s">
        <v>134</v>
      </c>
      <c r="E1060" t="s">
        <v>100</v>
      </c>
      <c r="F1060" t="s">
        <v>101</v>
      </c>
      <c r="G1060" t="s">
        <v>212</v>
      </c>
      <c r="H1060" t="s">
        <v>148</v>
      </c>
      <c r="I1060" t="s">
        <v>724</v>
      </c>
      <c r="J1060" t="s">
        <v>3148</v>
      </c>
      <c r="K1060" t="s">
        <v>56</v>
      </c>
      <c r="L1060" t="s">
        <v>55</v>
      </c>
      <c r="M1060" t="s">
        <v>164</v>
      </c>
      <c r="N1060" t="s">
        <v>196</v>
      </c>
      <c r="O1060" s="4">
        <v>7</v>
      </c>
      <c r="P1060" s="4">
        <v>18</v>
      </c>
      <c r="Q1060" t="s">
        <v>107</v>
      </c>
      <c r="R1060" s="2">
        <v>46170</v>
      </c>
      <c r="S1060" s="4">
        <v>33</v>
      </c>
      <c r="T1060" s="3">
        <v>401000000</v>
      </c>
      <c r="U1060" t="s">
        <v>196</v>
      </c>
      <c r="V1060" t="s">
        <v>70</v>
      </c>
      <c r="W1060" t="s">
        <v>209</v>
      </c>
      <c r="Y1060" t="s">
        <v>210</v>
      </c>
      <c r="Z1060" t="s">
        <v>3181</v>
      </c>
      <c r="AA1060" t="s">
        <v>109</v>
      </c>
      <c r="AB1060" t="s">
        <v>199</v>
      </c>
      <c r="AC1060" t="s">
        <v>109</v>
      </c>
    </row>
    <row r="1061" spans="1:29">
      <c r="A1061" t="s">
        <v>1477</v>
      </c>
      <c r="B1061" s="2">
        <v>46193</v>
      </c>
      <c r="C1061" t="s">
        <v>30</v>
      </c>
      <c r="D1061" t="s">
        <v>74</v>
      </c>
      <c r="E1061" t="s">
        <v>75</v>
      </c>
      <c r="F1061" t="s">
        <v>161</v>
      </c>
      <c r="G1061" t="s">
        <v>162</v>
      </c>
      <c r="H1061" t="s">
        <v>78</v>
      </c>
      <c r="I1061" t="s">
        <v>810</v>
      </c>
      <c r="J1061" t="s">
        <v>3157</v>
      </c>
      <c r="K1061" t="s">
        <v>37</v>
      </c>
      <c r="L1061" t="s">
        <v>150</v>
      </c>
      <c r="M1061" t="s">
        <v>56</v>
      </c>
      <c r="N1061" t="s">
        <v>94</v>
      </c>
      <c r="O1061" s="4">
        <v>4</v>
      </c>
      <c r="P1061" s="4">
        <v>6</v>
      </c>
      <c r="Q1061" t="s">
        <v>41</v>
      </c>
      <c r="R1061" s="2">
        <v>46185</v>
      </c>
      <c r="S1061" s="4">
        <v>18</v>
      </c>
      <c r="T1061" s="3">
        <v>167000000</v>
      </c>
      <c r="U1061" t="s">
        <v>260</v>
      </c>
      <c r="V1061" t="s">
        <v>70</v>
      </c>
      <c r="W1061" t="s">
        <v>95</v>
      </c>
      <c r="X1061" t="s">
        <v>381</v>
      </c>
      <c r="Y1061" t="s">
        <v>96</v>
      </c>
      <c r="Z1061" t="s">
        <v>3179</v>
      </c>
      <c r="AA1061" t="s">
        <v>86</v>
      </c>
      <c r="AB1061" t="s">
        <v>97</v>
      </c>
      <c r="AC1061" t="s">
        <v>86</v>
      </c>
    </row>
    <row r="1062" spans="1:29">
      <c r="A1062" t="s">
        <v>1478</v>
      </c>
      <c r="B1062" s="2">
        <v>46177</v>
      </c>
      <c r="C1062" t="s">
        <v>30</v>
      </c>
      <c r="D1062" t="s">
        <v>134</v>
      </c>
      <c r="E1062" t="s">
        <v>152</v>
      </c>
      <c r="F1062" t="s">
        <v>153</v>
      </c>
      <c r="G1062" t="s">
        <v>154</v>
      </c>
      <c r="H1062" t="s">
        <v>283</v>
      </c>
      <c r="I1062" t="s">
        <v>393</v>
      </c>
      <c r="J1062" t="s">
        <v>3072</v>
      </c>
      <c r="K1062" t="s">
        <v>92</v>
      </c>
      <c r="L1062" t="s">
        <v>55</v>
      </c>
      <c r="M1062" t="s">
        <v>106</v>
      </c>
      <c r="N1062" t="s">
        <v>94</v>
      </c>
      <c r="O1062" s="4">
        <v>4</v>
      </c>
      <c r="P1062" s="4">
        <v>15</v>
      </c>
      <c r="Q1062" t="s">
        <v>107</v>
      </c>
      <c r="R1062" s="2">
        <v>46173</v>
      </c>
      <c r="S1062" s="4">
        <v>30</v>
      </c>
      <c r="T1062" s="3">
        <v>182000000</v>
      </c>
      <c r="U1062" t="s">
        <v>426</v>
      </c>
      <c r="V1062" t="s">
        <v>59</v>
      </c>
      <c r="W1062" t="s">
        <v>170</v>
      </c>
      <c r="X1062" t="s">
        <v>308</v>
      </c>
      <c r="Y1062" t="s">
        <v>268</v>
      </c>
      <c r="Z1062" t="s">
        <v>3179</v>
      </c>
      <c r="AA1062" t="s">
        <v>159</v>
      </c>
      <c r="AB1062" t="s">
        <v>97</v>
      </c>
      <c r="AC1062" t="s">
        <v>159</v>
      </c>
    </row>
    <row r="1063" spans="1:29">
      <c r="A1063" t="s">
        <v>1479</v>
      </c>
      <c r="B1063" s="2">
        <v>46197</v>
      </c>
      <c r="C1063" t="s">
        <v>30</v>
      </c>
      <c r="D1063" t="s">
        <v>49</v>
      </c>
      <c r="E1063" t="s">
        <v>100</v>
      </c>
      <c r="F1063" t="s">
        <v>101</v>
      </c>
      <c r="G1063" t="s">
        <v>102</v>
      </c>
      <c r="H1063" t="s">
        <v>103</v>
      </c>
      <c r="I1063" t="s">
        <v>447</v>
      </c>
      <c r="J1063" t="s">
        <v>3088</v>
      </c>
      <c r="K1063" t="s">
        <v>92</v>
      </c>
      <c r="L1063" t="s">
        <v>169</v>
      </c>
      <c r="M1063" t="s">
        <v>106</v>
      </c>
      <c r="N1063" t="s">
        <v>130</v>
      </c>
      <c r="O1063" s="4">
        <v>5</v>
      </c>
      <c r="P1063" s="4">
        <v>14</v>
      </c>
      <c r="Q1063" t="s">
        <v>69</v>
      </c>
      <c r="R1063" s="2">
        <v>46188</v>
      </c>
      <c r="S1063" s="4">
        <v>15</v>
      </c>
      <c r="T1063" s="3">
        <v>132000000</v>
      </c>
      <c r="U1063" t="s">
        <v>42</v>
      </c>
      <c r="V1063" t="s">
        <v>59</v>
      </c>
      <c r="W1063" t="s">
        <v>131</v>
      </c>
      <c r="Y1063" t="s">
        <v>334</v>
      </c>
      <c r="Z1063" t="s">
        <v>3179</v>
      </c>
      <c r="AA1063" t="s">
        <v>109</v>
      </c>
      <c r="AB1063" t="s">
        <v>97</v>
      </c>
      <c r="AC1063" t="s">
        <v>109</v>
      </c>
    </row>
    <row r="1064" spans="1:29">
      <c r="A1064" t="s">
        <v>1480</v>
      </c>
      <c r="B1064" s="2">
        <v>46186</v>
      </c>
      <c r="C1064" t="s">
        <v>30</v>
      </c>
      <c r="D1064" t="s">
        <v>99</v>
      </c>
      <c r="E1064" t="s">
        <v>100</v>
      </c>
      <c r="F1064" t="s">
        <v>101</v>
      </c>
      <c r="G1064" t="s">
        <v>237</v>
      </c>
      <c r="H1064" t="s">
        <v>201</v>
      </c>
      <c r="I1064" t="s">
        <v>608</v>
      </c>
      <c r="J1064" t="s">
        <v>3132</v>
      </c>
      <c r="K1064" t="s">
        <v>105</v>
      </c>
      <c r="L1064" t="s">
        <v>80</v>
      </c>
      <c r="M1064" t="s">
        <v>93</v>
      </c>
      <c r="N1064" t="s">
        <v>130</v>
      </c>
      <c r="O1064" s="4">
        <v>5</v>
      </c>
      <c r="P1064" s="4">
        <v>21</v>
      </c>
      <c r="Q1064" t="s">
        <v>41</v>
      </c>
      <c r="R1064" s="2">
        <v>46182</v>
      </c>
      <c r="S1064" s="4">
        <v>21</v>
      </c>
      <c r="T1064" s="3">
        <v>297000000</v>
      </c>
      <c r="U1064" t="s">
        <v>42</v>
      </c>
      <c r="V1064" t="s">
        <v>70</v>
      </c>
      <c r="W1064" t="s">
        <v>252</v>
      </c>
      <c r="Y1064" t="s">
        <v>334</v>
      </c>
      <c r="Z1064" t="s">
        <v>3179</v>
      </c>
      <c r="AA1064" t="s">
        <v>109</v>
      </c>
      <c r="AB1064" t="s">
        <v>97</v>
      </c>
      <c r="AC1064" t="s">
        <v>109</v>
      </c>
    </row>
    <row r="1065" spans="1:29">
      <c r="A1065" t="s">
        <v>1481</v>
      </c>
      <c r="B1065" s="2">
        <v>46192</v>
      </c>
      <c r="C1065" t="s">
        <v>30</v>
      </c>
      <c r="D1065" t="s">
        <v>74</v>
      </c>
      <c r="E1065" t="s">
        <v>100</v>
      </c>
      <c r="F1065" t="s">
        <v>140</v>
      </c>
      <c r="G1065" t="s">
        <v>237</v>
      </c>
      <c r="H1065" t="s">
        <v>201</v>
      </c>
      <c r="I1065" t="s">
        <v>416</v>
      </c>
      <c r="J1065" t="s">
        <v>3078</v>
      </c>
      <c r="K1065" t="s">
        <v>37</v>
      </c>
      <c r="L1065" t="s">
        <v>80</v>
      </c>
      <c r="M1065" t="s">
        <v>106</v>
      </c>
      <c r="N1065" t="s">
        <v>130</v>
      </c>
      <c r="O1065" s="4">
        <v>5</v>
      </c>
      <c r="P1065" s="4">
        <v>11</v>
      </c>
      <c r="Q1065" t="s">
        <v>142</v>
      </c>
      <c r="R1065" s="2">
        <v>46192</v>
      </c>
      <c r="S1065" s="4">
        <v>11</v>
      </c>
      <c r="T1065" s="3">
        <v>146000000</v>
      </c>
      <c r="U1065" t="s">
        <v>260</v>
      </c>
      <c r="V1065" t="s">
        <v>143</v>
      </c>
      <c r="W1065" t="s">
        <v>131</v>
      </c>
      <c r="X1065" t="s">
        <v>179</v>
      </c>
      <c r="Y1065" t="s">
        <v>132</v>
      </c>
      <c r="Z1065" t="s">
        <v>3179</v>
      </c>
      <c r="AA1065" t="s">
        <v>109</v>
      </c>
      <c r="AB1065" t="s">
        <v>97</v>
      </c>
      <c r="AC1065" t="s">
        <v>109</v>
      </c>
    </row>
    <row r="1066" spans="1:29">
      <c r="A1066" t="s">
        <v>1482</v>
      </c>
      <c r="B1066" s="2">
        <v>46189</v>
      </c>
      <c r="C1066" t="s">
        <v>30</v>
      </c>
      <c r="D1066" t="s">
        <v>74</v>
      </c>
      <c r="E1066" t="s">
        <v>50</v>
      </c>
      <c r="F1066" t="s">
        <v>89</v>
      </c>
      <c r="G1066" t="s">
        <v>65</v>
      </c>
      <c r="H1066" t="s">
        <v>53</v>
      </c>
      <c r="I1066" t="s">
        <v>235</v>
      </c>
      <c r="J1066" t="s">
        <v>3032</v>
      </c>
      <c r="K1066" t="s">
        <v>92</v>
      </c>
      <c r="L1066" t="s">
        <v>169</v>
      </c>
      <c r="M1066" t="s">
        <v>81</v>
      </c>
      <c r="N1066" t="s">
        <v>196</v>
      </c>
      <c r="O1066" s="4">
        <v>7</v>
      </c>
      <c r="P1066" s="4">
        <v>17</v>
      </c>
      <c r="Q1066" t="s">
        <v>142</v>
      </c>
      <c r="R1066" s="2">
        <v>46180</v>
      </c>
      <c r="S1066" s="4">
        <v>23</v>
      </c>
      <c r="T1066" s="3">
        <v>214000000</v>
      </c>
      <c r="U1066" t="s">
        <v>196</v>
      </c>
      <c r="V1066" t="s">
        <v>70</v>
      </c>
      <c r="W1066" t="s">
        <v>197</v>
      </c>
      <c r="Y1066" t="s">
        <v>210</v>
      </c>
      <c r="Z1066" t="s">
        <v>3181</v>
      </c>
      <c r="AA1066" t="s">
        <v>62</v>
      </c>
      <c r="AB1066" t="s">
        <v>199</v>
      </c>
      <c r="AC1066" t="s">
        <v>62</v>
      </c>
    </row>
    <row r="1067" spans="1:29">
      <c r="A1067" t="s">
        <v>1483</v>
      </c>
      <c r="B1067" s="2">
        <v>46203</v>
      </c>
      <c r="C1067" t="s">
        <v>30</v>
      </c>
      <c r="D1067" t="s">
        <v>31</v>
      </c>
      <c r="E1067" t="s">
        <v>50</v>
      </c>
      <c r="F1067" t="s">
        <v>89</v>
      </c>
      <c r="G1067" t="s">
        <v>65</v>
      </c>
      <c r="H1067" t="s">
        <v>53</v>
      </c>
      <c r="I1067" t="s">
        <v>271</v>
      </c>
      <c r="J1067" t="s">
        <v>3038</v>
      </c>
      <c r="K1067" t="s">
        <v>105</v>
      </c>
      <c r="L1067" t="s">
        <v>68</v>
      </c>
      <c r="M1067" t="s">
        <v>93</v>
      </c>
      <c r="N1067" t="s">
        <v>213</v>
      </c>
      <c r="O1067" s="4">
        <v>6</v>
      </c>
      <c r="P1067" s="4">
        <v>8</v>
      </c>
      <c r="Q1067" t="s">
        <v>41</v>
      </c>
      <c r="R1067" s="2">
        <v>46201</v>
      </c>
      <c r="S1067" s="4">
        <v>2</v>
      </c>
      <c r="T1067" s="3">
        <v>308000000</v>
      </c>
      <c r="U1067" t="s">
        <v>42</v>
      </c>
      <c r="V1067" t="s">
        <v>143</v>
      </c>
      <c r="W1067" t="s">
        <v>248</v>
      </c>
      <c r="Y1067" t="s">
        <v>249</v>
      </c>
      <c r="Z1067" t="s">
        <v>3179</v>
      </c>
      <c r="AA1067" t="s">
        <v>62</v>
      </c>
      <c r="AB1067" t="s">
        <v>97</v>
      </c>
      <c r="AC1067" t="s">
        <v>62</v>
      </c>
    </row>
    <row r="1068" spans="1:29">
      <c r="A1068" t="s">
        <v>1484</v>
      </c>
      <c r="B1068" s="2">
        <v>46175</v>
      </c>
      <c r="C1068" t="s">
        <v>30</v>
      </c>
      <c r="D1068" t="s">
        <v>134</v>
      </c>
      <c r="E1068" t="s">
        <v>172</v>
      </c>
      <c r="F1068" t="s">
        <v>173</v>
      </c>
      <c r="G1068" t="s">
        <v>289</v>
      </c>
      <c r="H1068" t="s">
        <v>175</v>
      </c>
      <c r="I1068" t="s">
        <v>333</v>
      </c>
      <c r="J1068" t="s">
        <v>3054</v>
      </c>
      <c r="K1068" t="s">
        <v>92</v>
      </c>
      <c r="L1068" t="s">
        <v>150</v>
      </c>
      <c r="M1068" t="s">
        <v>93</v>
      </c>
      <c r="N1068" t="s">
        <v>94</v>
      </c>
      <c r="O1068" s="4">
        <v>4</v>
      </c>
      <c r="P1068" s="4">
        <v>9</v>
      </c>
      <c r="Q1068" t="s">
        <v>69</v>
      </c>
      <c r="R1068" s="2">
        <v>46172</v>
      </c>
      <c r="S1068" s="4">
        <v>31</v>
      </c>
      <c r="T1068" s="3">
        <v>166000000</v>
      </c>
      <c r="U1068" t="s">
        <v>42</v>
      </c>
      <c r="V1068" t="s">
        <v>70</v>
      </c>
      <c r="W1068" t="s">
        <v>95</v>
      </c>
      <c r="Y1068" t="s">
        <v>268</v>
      </c>
      <c r="Z1068" t="s">
        <v>3179</v>
      </c>
      <c r="AA1068" t="s">
        <v>181</v>
      </c>
      <c r="AB1068" t="s">
        <v>97</v>
      </c>
      <c r="AC1068" t="s">
        <v>181</v>
      </c>
    </row>
    <row r="1069" spans="1:29">
      <c r="A1069" t="s">
        <v>1485</v>
      </c>
      <c r="B1069" s="2">
        <v>46196</v>
      </c>
      <c r="C1069" t="s">
        <v>30</v>
      </c>
      <c r="D1069" t="s">
        <v>49</v>
      </c>
      <c r="E1069" t="s">
        <v>75</v>
      </c>
      <c r="F1069" t="s">
        <v>183</v>
      </c>
      <c r="G1069" t="s">
        <v>184</v>
      </c>
      <c r="H1069" t="s">
        <v>78</v>
      </c>
      <c r="I1069" t="s">
        <v>79</v>
      </c>
      <c r="J1069" t="s">
        <v>3011</v>
      </c>
      <c r="K1069" t="s">
        <v>37</v>
      </c>
      <c r="L1069" t="s">
        <v>55</v>
      </c>
      <c r="M1069" t="s">
        <v>164</v>
      </c>
      <c r="N1069" t="s">
        <v>40</v>
      </c>
      <c r="O1069" s="4">
        <v>2</v>
      </c>
      <c r="P1069" s="4">
        <v>8</v>
      </c>
      <c r="Q1069" t="s">
        <v>83</v>
      </c>
      <c r="R1069" s="2">
        <v>46195</v>
      </c>
      <c r="S1069" s="4">
        <v>8</v>
      </c>
      <c r="T1069" s="3">
        <v>66000000</v>
      </c>
      <c r="U1069" t="s">
        <v>260</v>
      </c>
      <c r="V1069" t="s">
        <v>43</v>
      </c>
      <c r="W1069" t="s">
        <v>178</v>
      </c>
      <c r="X1069" t="s">
        <v>520</v>
      </c>
      <c r="Y1069" t="s">
        <v>281</v>
      </c>
      <c r="Z1069" t="s">
        <v>3178</v>
      </c>
      <c r="AA1069" t="s">
        <v>86</v>
      </c>
      <c r="AB1069" t="s">
        <v>87</v>
      </c>
      <c r="AC1069" t="s">
        <v>86</v>
      </c>
    </row>
    <row r="1070" spans="1:29">
      <c r="A1070" t="s">
        <v>1486</v>
      </c>
      <c r="B1070" s="2">
        <v>46203</v>
      </c>
      <c r="C1070" t="s">
        <v>30</v>
      </c>
      <c r="D1070" t="s">
        <v>31</v>
      </c>
      <c r="E1070" t="s">
        <v>100</v>
      </c>
      <c r="F1070" t="s">
        <v>101</v>
      </c>
      <c r="G1070" t="s">
        <v>147</v>
      </c>
      <c r="H1070" t="s">
        <v>103</v>
      </c>
      <c r="I1070" t="s">
        <v>436</v>
      </c>
      <c r="J1070" t="s">
        <v>3084</v>
      </c>
      <c r="K1070" t="s">
        <v>37</v>
      </c>
      <c r="L1070" t="s">
        <v>150</v>
      </c>
      <c r="M1070" t="s">
        <v>106</v>
      </c>
      <c r="N1070" t="s">
        <v>196</v>
      </c>
      <c r="O1070" s="4">
        <v>7</v>
      </c>
      <c r="P1070" s="4">
        <v>17</v>
      </c>
      <c r="Q1070" t="s">
        <v>69</v>
      </c>
      <c r="R1070" s="2">
        <v>46194</v>
      </c>
      <c r="S1070" s="4">
        <v>9</v>
      </c>
      <c r="T1070" s="3">
        <v>226000000</v>
      </c>
      <c r="U1070" t="s">
        <v>196</v>
      </c>
      <c r="V1070" t="s">
        <v>70</v>
      </c>
      <c r="W1070" t="s">
        <v>197</v>
      </c>
      <c r="Y1070" t="s">
        <v>198</v>
      </c>
      <c r="Z1070" t="s">
        <v>3181</v>
      </c>
      <c r="AA1070" t="s">
        <v>109</v>
      </c>
      <c r="AB1070" t="s">
        <v>199</v>
      </c>
      <c r="AC1070" t="s">
        <v>109</v>
      </c>
    </row>
    <row r="1071" spans="1:29">
      <c r="A1071" t="s">
        <v>1487</v>
      </c>
      <c r="B1071" s="2">
        <v>46193</v>
      </c>
      <c r="C1071" t="s">
        <v>30</v>
      </c>
      <c r="D1071" t="s">
        <v>74</v>
      </c>
      <c r="E1071" t="s">
        <v>120</v>
      </c>
      <c r="F1071" t="s">
        <v>246</v>
      </c>
      <c r="G1071" t="s">
        <v>122</v>
      </c>
      <c r="H1071" t="s">
        <v>300</v>
      </c>
      <c r="I1071" t="s">
        <v>830</v>
      </c>
      <c r="J1071" t="s">
        <v>3159</v>
      </c>
      <c r="K1071" t="s">
        <v>56</v>
      </c>
      <c r="L1071" t="s">
        <v>80</v>
      </c>
      <c r="M1071" t="s">
        <v>106</v>
      </c>
      <c r="N1071" t="s">
        <v>213</v>
      </c>
      <c r="O1071" s="4">
        <v>6</v>
      </c>
      <c r="P1071" s="4">
        <v>13</v>
      </c>
      <c r="Q1071" t="s">
        <v>142</v>
      </c>
      <c r="R1071" s="2">
        <v>46192</v>
      </c>
      <c r="S1071" s="4">
        <v>11</v>
      </c>
      <c r="T1071" s="3">
        <v>439000000</v>
      </c>
      <c r="U1071" t="s">
        <v>260</v>
      </c>
      <c r="V1071" t="s">
        <v>70</v>
      </c>
      <c r="W1071" t="s">
        <v>248</v>
      </c>
      <c r="X1071" t="s">
        <v>308</v>
      </c>
      <c r="Y1071" t="s">
        <v>249</v>
      </c>
      <c r="Z1071" t="s">
        <v>3179</v>
      </c>
      <c r="AA1071" t="s">
        <v>97</v>
      </c>
      <c r="AB1071" t="s">
        <v>97</v>
      </c>
      <c r="AC1071" t="s">
        <v>97</v>
      </c>
    </row>
    <row r="1072" spans="1:29">
      <c r="A1072" t="s">
        <v>1488</v>
      </c>
      <c r="B1072" s="2">
        <v>46185</v>
      </c>
      <c r="C1072" t="s">
        <v>30</v>
      </c>
      <c r="D1072" t="s">
        <v>99</v>
      </c>
      <c r="E1072" t="s">
        <v>75</v>
      </c>
      <c r="F1072" t="s">
        <v>183</v>
      </c>
      <c r="G1072" t="s">
        <v>184</v>
      </c>
      <c r="H1072" t="s">
        <v>185</v>
      </c>
      <c r="I1072" t="s">
        <v>673</v>
      </c>
      <c r="J1072" t="s">
        <v>3146</v>
      </c>
      <c r="K1072" t="s">
        <v>37</v>
      </c>
      <c r="L1072" t="s">
        <v>169</v>
      </c>
      <c r="M1072" t="s">
        <v>81</v>
      </c>
      <c r="N1072" t="s">
        <v>57</v>
      </c>
      <c r="O1072" s="4">
        <v>3</v>
      </c>
      <c r="P1072" s="4">
        <v>6</v>
      </c>
      <c r="Q1072" t="s">
        <v>138</v>
      </c>
      <c r="R1072" s="2">
        <v>46180</v>
      </c>
      <c r="S1072" s="4">
        <v>23</v>
      </c>
      <c r="T1072" s="3">
        <v>112000000</v>
      </c>
      <c r="U1072" t="s">
        <v>42</v>
      </c>
      <c r="V1072" t="s">
        <v>43</v>
      </c>
      <c r="W1072" t="s">
        <v>203</v>
      </c>
      <c r="Y1072" t="s">
        <v>61</v>
      </c>
      <c r="Z1072" t="s">
        <v>3177</v>
      </c>
      <c r="AA1072" t="s">
        <v>86</v>
      </c>
      <c r="AB1072" t="s">
        <v>63</v>
      </c>
      <c r="AC1072" t="s">
        <v>86</v>
      </c>
    </row>
    <row r="1073" spans="1:29">
      <c r="A1073" t="s">
        <v>1489</v>
      </c>
      <c r="B1073" s="2">
        <v>46192</v>
      </c>
      <c r="C1073" t="s">
        <v>30</v>
      </c>
      <c r="D1073" t="s">
        <v>74</v>
      </c>
      <c r="E1073" t="s">
        <v>50</v>
      </c>
      <c r="F1073" t="s">
        <v>351</v>
      </c>
      <c r="G1073" t="s">
        <v>234</v>
      </c>
      <c r="H1073" t="s">
        <v>53</v>
      </c>
      <c r="I1073" t="s">
        <v>373</v>
      </c>
      <c r="J1073" t="s">
        <v>3066</v>
      </c>
      <c r="K1073" t="s">
        <v>37</v>
      </c>
      <c r="L1073" t="s">
        <v>187</v>
      </c>
      <c r="M1073" t="s">
        <v>106</v>
      </c>
      <c r="N1073" t="s">
        <v>57</v>
      </c>
      <c r="O1073" s="4">
        <v>3</v>
      </c>
      <c r="P1073" s="4">
        <v>8</v>
      </c>
      <c r="Q1073" t="s">
        <v>142</v>
      </c>
      <c r="R1073" s="2">
        <v>46183</v>
      </c>
      <c r="S1073" s="4">
        <v>20</v>
      </c>
      <c r="T1073" s="3">
        <v>72000000</v>
      </c>
      <c r="U1073" t="s">
        <v>42</v>
      </c>
      <c r="V1073" t="s">
        <v>59</v>
      </c>
      <c r="W1073" t="s">
        <v>60</v>
      </c>
      <c r="Y1073" t="s">
        <v>165</v>
      </c>
      <c r="Z1073" t="s">
        <v>3177</v>
      </c>
      <c r="AA1073" t="s">
        <v>62</v>
      </c>
      <c r="AB1073" t="s">
        <v>63</v>
      </c>
      <c r="AC1073" t="s">
        <v>62</v>
      </c>
    </row>
    <row r="1074" spans="1:29">
      <c r="A1074" t="s">
        <v>1490</v>
      </c>
      <c r="B1074" s="2">
        <v>46178</v>
      </c>
      <c r="C1074" t="s">
        <v>30</v>
      </c>
      <c r="D1074" t="s">
        <v>134</v>
      </c>
      <c r="E1074" t="s">
        <v>32</v>
      </c>
      <c r="F1074" t="s">
        <v>256</v>
      </c>
      <c r="G1074" t="s">
        <v>218</v>
      </c>
      <c r="H1074" t="s">
        <v>303</v>
      </c>
      <c r="I1074" t="s">
        <v>964</v>
      </c>
      <c r="J1074" t="s">
        <v>3167</v>
      </c>
      <c r="K1074" t="s">
        <v>37</v>
      </c>
      <c r="L1074" t="s">
        <v>187</v>
      </c>
      <c r="M1074" t="s">
        <v>93</v>
      </c>
      <c r="N1074" t="s">
        <v>57</v>
      </c>
      <c r="O1074" s="4">
        <v>3</v>
      </c>
      <c r="P1074" s="4">
        <v>4</v>
      </c>
      <c r="Q1074" t="s">
        <v>69</v>
      </c>
      <c r="R1074" s="2">
        <v>46172</v>
      </c>
      <c r="S1074" s="4">
        <v>31</v>
      </c>
      <c r="T1074" s="3">
        <v>247000000</v>
      </c>
      <c r="U1074" t="s">
        <v>42</v>
      </c>
      <c r="V1074" t="s">
        <v>59</v>
      </c>
      <c r="W1074" t="s">
        <v>71</v>
      </c>
      <c r="Y1074" t="s">
        <v>72</v>
      </c>
      <c r="Z1074" t="s">
        <v>3177</v>
      </c>
      <c r="AA1074" t="s">
        <v>46</v>
      </c>
      <c r="AB1074" t="s">
        <v>63</v>
      </c>
      <c r="AC1074" t="s">
        <v>46</v>
      </c>
    </row>
    <row r="1075" spans="1:29">
      <c r="A1075" t="s">
        <v>1491</v>
      </c>
      <c r="B1075" s="2">
        <v>46188</v>
      </c>
      <c r="C1075" t="s">
        <v>30</v>
      </c>
      <c r="D1075" t="s">
        <v>74</v>
      </c>
      <c r="E1075" t="s">
        <v>152</v>
      </c>
      <c r="F1075" t="s">
        <v>205</v>
      </c>
      <c r="G1075" t="s">
        <v>328</v>
      </c>
      <c r="H1075" t="s">
        <v>207</v>
      </c>
      <c r="I1075" t="s">
        <v>208</v>
      </c>
      <c r="J1075" t="s">
        <v>3027</v>
      </c>
      <c r="K1075" t="s">
        <v>105</v>
      </c>
      <c r="L1075" t="s">
        <v>187</v>
      </c>
      <c r="M1075" t="s">
        <v>56</v>
      </c>
      <c r="N1075" t="s">
        <v>82</v>
      </c>
      <c r="O1075" s="4">
        <v>1</v>
      </c>
      <c r="P1075" s="4">
        <v>14</v>
      </c>
      <c r="Q1075" t="s">
        <v>107</v>
      </c>
      <c r="R1075" s="2">
        <v>46187</v>
      </c>
      <c r="S1075" s="4">
        <v>16</v>
      </c>
      <c r="T1075" s="3">
        <v>271000000</v>
      </c>
      <c r="U1075" t="s">
        <v>42</v>
      </c>
      <c r="V1075" t="s">
        <v>43</v>
      </c>
      <c r="W1075" t="s">
        <v>290</v>
      </c>
      <c r="Y1075" t="s">
        <v>305</v>
      </c>
      <c r="Z1075" t="s">
        <v>3180</v>
      </c>
      <c r="AA1075" t="s">
        <v>159</v>
      </c>
      <c r="AB1075" t="s">
        <v>193</v>
      </c>
      <c r="AC1075" t="s">
        <v>159</v>
      </c>
    </row>
    <row r="1076" spans="1:29">
      <c r="A1076" t="s">
        <v>1492</v>
      </c>
      <c r="B1076" s="2">
        <v>46178</v>
      </c>
      <c r="C1076" t="s">
        <v>30</v>
      </c>
      <c r="D1076" t="s">
        <v>134</v>
      </c>
      <c r="E1076" t="s">
        <v>50</v>
      </c>
      <c r="F1076" t="s">
        <v>351</v>
      </c>
      <c r="G1076" t="s">
        <v>52</v>
      </c>
      <c r="H1076" t="s">
        <v>90</v>
      </c>
      <c r="I1076" t="s">
        <v>377</v>
      </c>
      <c r="J1076" t="s">
        <v>3068</v>
      </c>
      <c r="K1076" t="s">
        <v>37</v>
      </c>
      <c r="L1076" t="s">
        <v>187</v>
      </c>
      <c r="M1076" t="s">
        <v>39</v>
      </c>
      <c r="N1076" t="s">
        <v>40</v>
      </c>
      <c r="O1076" s="4">
        <v>2</v>
      </c>
      <c r="P1076" s="4">
        <v>7</v>
      </c>
      <c r="Q1076" t="s">
        <v>41</v>
      </c>
      <c r="R1076" s="2">
        <v>46176</v>
      </c>
      <c r="S1076" s="4">
        <v>27</v>
      </c>
      <c r="T1076" s="3">
        <v>140000000</v>
      </c>
      <c r="U1076" t="s">
        <v>42</v>
      </c>
      <c r="V1076" t="s">
        <v>43</v>
      </c>
      <c r="W1076" t="s">
        <v>239</v>
      </c>
      <c r="Y1076" t="s">
        <v>281</v>
      </c>
      <c r="Z1076" t="s">
        <v>3178</v>
      </c>
      <c r="AA1076" t="s">
        <v>62</v>
      </c>
      <c r="AB1076" t="s">
        <v>87</v>
      </c>
      <c r="AC1076" t="s">
        <v>62</v>
      </c>
    </row>
    <row r="1077" spans="1:29">
      <c r="A1077" t="s">
        <v>1493</v>
      </c>
      <c r="B1077" s="2">
        <v>46202</v>
      </c>
      <c r="C1077" t="s">
        <v>30</v>
      </c>
      <c r="D1077" t="s">
        <v>31</v>
      </c>
      <c r="E1077" t="s">
        <v>75</v>
      </c>
      <c r="F1077" t="s">
        <v>183</v>
      </c>
      <c r="G1077" t="s">
        <v>387</v>
      </c>
      <c r="H1077" t="s">
        <v>185</v>
      </c>
      <c r="I1077" t="s">
        <v>795</v>
      </c>
      <c r="J1077" t="s">
        <v>3155</v>
      </c>
      <c r="K1077" t="s">
        <v>37</v>
      </c>
      <c r="L1077" t="s">
        <v>80</v>
      </c>
      <c r="M1077" t="s">
        <v>164</v>
      </c>
      <c r="N1077" t="s">
        <v>130</v>
      </c>
      <c r="O1077" s="4">
        <v>5</v>
      </c>
      <c r="P1077" s="4">
        <v>7</v>
      </c>
      <c r="Q1077" t="s">
        <v>69</v>
      </c>
      <c r="R1077" s="2">
        <v>46201</v>
      </c>
      <c r="S1077" s="4">
        <v>2</v>
      </c>
      <c r="T1077" s="3">
        <v>168000000</v>
      </c>
      <c r="U1077" t="s">
        <v>42</v>
      </c>
      <c r="V1077" t="s">
        <v>143</v>
      </c>
      <c r="W1077" t="s">
        <v>144</v>
      </c>
      <c r="Y1077" t="s">
        <v>262</v>
      </c>
      <c r="Z1077" t="s">
        <v>3179</v>
      </c>
      <c r="AA1077" t="s">
        <v>86</v>
      </c>
      <c r="AB1077" t="s">
        <v>97</v>
      </c>
      <c r="AC1077" t="s">
        <v>86</v>
      </c>
    </row>
    <row r="1078" spans="1:29">
      <c r="A1078" t="s">
        <v>1494</v>
      </c>
      <c r="B1078" s="2">
        <v>46175</v>
      </c>
      <c r="C1078" t="s">
        <v>30</v>
      </c>
      <c r="D1078" t="s">
        <v>134</v>
      </c>
      <c r="E1078" t="s">
        <v>32</v>
      </c>
      <c r="F1078" t="s">
        <v>33</v>
      </c>
      <c r="G1078" t="s">
        <v>463</v>
      </c>
      <c r="H1078" t="s">
        <v>35</v>
      </c>
      <c r="I1078" t="s">
        <v>595</v>
      </c>
      <c r="J1078" t="s">
        <v>3128</v>
      </c>
      <c r="K1078" t="s">
        <v>105</v>
      </c>
      <c r="L1078" t="s">
        <v>80</v>
      </c>
      <c r="M1078" t="s">
        <v>129</v>
      </c>
      <c r="N1078" t="s">
        <v>213</v>
      </c>
      <c r="O1078" s="4">
        <v>6</v>
      </c>
      <c r="P1078" s="4">
        <v>7</v>
      </c>
      <c r="Q1078" t="s">
        <v>142</v>
      </c>
      <c r="R1078" s="2">
        <v>46166</v>
      </c>
      <c r="S1078" s="4">
        <v>37</v>
      </c>
      <c r="T1078" s="3">
        <v>74000000</v>
      </c>
      <c r="U1078" t="s">
        <v>214</v>
      </c>
      <c r="V1078" t="s">
        <v>143</v>
      </c>
      <c r="W1078" t="s">
        <v>215</v>
      </c>
      <c r="Y1078" t="s">
        <v>249</v>
      </c>
      <c r="Z1078" t="s">
        <v>3179</v>
      </c>
      <c r="AA1078" t="s">
        <v>46</v>
      </c>
      <c r="AB1078" t="s">
        <v>97</v>
      </c>
      <c r="AC1078" t="s">
        <v>46</v>
      </c>
    </row>
    <row r="1079" spans="1:29">
      <c r="A1079" t="s">
        <v>1495</v>
      </c>
      <c r="B1079" s="2">
        <v>46189</v>
      </c>
      <c r="C1079" t="s">
        <v>30</v>
      </c>
      <c r="D1079" t="s">
        <v>74</v>
      </c>
      <c r="E1079" t="s">
        <v>100</v>
      </c>
      <c r="F1079" t="s">
        <v>146</v>
      </c>
      <c r="G1079" t="s">
        <v>313</v>
      </c>
      <c r="H1079" t="s">
        <v>201</v>
      </c>
      <c r="I1079" t="s">
        <v>371</v>
      </c>
      <c r="J1079" t="s">
        <v>3065</v>
      </c>
      <c r="K1079" t="s">
        <v>37</v>
      </c>
      <c r="L1079" t="s">
        <v>38</v>
      </c>
      <c r="M1079" t="s">
        <v>81</v>
      </c>
      <c r="N1079" t="s">
        <v>196</v>
      </c>
      <c r="O1079" s="4">
        <v>7</v>
      </c>
      <c r="P1079" s="4">
        <v>20</v>
      </c>
      <c r="Q1079" t="s">
        <v>41</v>
      </c>
      <c r="R1079" s="2">
        <v>46181</v>
      </c>
      <c r="S1079" s="4">
        <v>22</v>
      </c>
      <c r="T1079" s="3">
        <v>263000000</v>
      </c>
      <c r="U1079" t="s">
        <v>196</v>
      </c>
      <c r="V1079" t="s">
        <v>70</v>
      </c>
      <c r="W1079" t="s">
        <v>675</v>
      </c>
      <c r="Y1079" t="s">
        <v>369</v>
      </c>
      <c r="Z1079" t="s">
        <v>3181</v>
      </c>
      <c r="AA1079" t="s">
        <v>109</v>
      </c>
      <c r="AB1079" t="s">
        <v>199</v>
      </c>
      <c r="AC1079" t="s">
        <v>109</v>
      </c>
    </row>
    <row r="1080" spans="1:29">
      <c r="A1080" t="s">
        <v>1496</v>
      </c>
      <c r="B1080" s="2">
        <v>46203</v>
      </c>
      <c r="C1080" t="s">
        <v>30</v>
      </c>
      <c r="D1080" t="s">
        <v>31</v>
      </c>
      <c r="E1080" t="s">
        <v>50</v>
      </c>
      <c r="F1080" t="s">
        <v>89</v>
      </c>
      <c r="G1080" t="s">
        <v>234</v>
      </c>
      <c r="H1080" t="s">
        <v>53</v>
      </c>
      <c r="I1080" t="s">
        <v>368</v>
      </c>
      <c r="J1080" t="s">
        <v>3064</v>
      </c>
      <c r="K1080" t="s">
        <v>56</v>
      </c>
      <c r="L1080" t="s">
        <v>55</v>
      </c>
      <c r="M1080" t="s">
        <v>164</v>
      </c>
      <c r="N1080" t="s">
        <v>57</v>
      </c>
      <c r="O1080" s="4">
        <v>3</v>
      </c>
      <c r="P1080" s="4">
        <v>5</v>
      </c>
      <c r="Q1080" t="s">
        <v>83</v>
      </c>
      <c r="R1080" s="2">
        <v>46195</v>
      </c>
      <c r="S1080" s="4">
        <v>8</v>
      </c>
      <c r="T1080" s="3">
        <v>212000000</v>
      </c>
      <c r="U1080" t="s">
        <v>42</v>
      </c>
      <c r="V1080" t="s">
        <v>43</v>
      </c>
      <c r="W1080" t="s">
        <v>60</v>
      </c>
      <c r="Y1080" t="s">
        <v>158</v>
      </c>
      <c r="Z1080" t="s">
        <v>3177</v>
      </c>
      <c r="AA1080" t="s">
        <v>62</v>
      </c>
      <c r="AB1080" t="s">
        <v>63</v>
      </c>
      <c r="AC1080" t="s">
        <v>62</v>
      </c>
    </row>
    <row r="1081" spans="1:29">
      <c r="A1081" t="s">
        <v>1497</v>
      </c>
      <c r="B1081" s="2">
        <v>46189</v>
      </c>
      <c r="C1081" t="s">
        <v>30</v>
      </c>
      <c r="D1081" t="s">
        <v>74</v>
      </c>
      <c r="E1081" t="s">
        <v>50</v>
      </c>
      <c r="F1081" t="s">
        <v>351</v>
      </c>
      <c r="G1081" t="s">
        <v>270</v>
      </c>
      <c r="H1081" t="s">
        <v>90</v>
      </c>
      <c r="I1081" t="s">
        <v>352</v>
      </c>
      <c r="J1081" t="s">
        <v>3060</v>
      </c>
      <c r="K1081" t="s">
        <v>56</v>
      </c>
      <c r="L1081" t="s">
        <v>68</v>
      </c>
      <c r="M1081" t="s">
        <v>106</v>
      </c>
      <c r="N1081" t="s">
        <v>57</v>
      </c>
      <c r="O1081" s="4">
        <v>3</v>
      </c>
      <c r="P1081" s="4">
        <v>9</v>
      </c>
      <c r="Q1081" t="s">
        <v>142</v>
      </c>
      <c r="R1081" s="2">
        <v>46184</v>
      </c>
      <c r="S1081" s="4">
        <v>19</v>
      </c>
      <c r="T1081" s="3">
        <v>96000000</v>
      </c>
      <c r="U1081" t="s">
        <v>42</v>
      </c>
      <c r="V1081" t="s">
        <v>59</v>
      </c>
      <c r="W1081" t="s">
        <v>203</v>
      </c>
      <c r="Y1081" t="s">
        <v>158</v>
      </c>
      <c r="Z1081" t="s">
        <v>3177</v>
      </c>
      <c r="AA1081" t="s">
        <v>62</v>
      </c>
      <c r="AB1081" t="s">
        <v>63</v>
      </c>
      <c r="AC1081" t="s">
        <v>62</v>
      </c>
    </row>
    <row r="1082" spans="1:29">
      <c r="A1082" t="s">
        <v>1498</v>
      </c>
      <c r="B1082" s="2">
        <v>46184</v>
      </c>
      <c r="C1082" t="s">
        <v>30</v>
      </c>
      <c r="D1082" t="s">
        <v>99</v>
      </c>
      <c r="E1082" t="s">
        <v>50</v>
      </c>
      <c r="F1082" t="s">
        <v>89</v>
      </c>
      <c r="G1082" t="s">
        <v>234</v>
      </c>
      <c r="H1082" t="s">
        <v>53</v>
      </c>
      <c r="I1082" t="s">
        <v>307</v>
      </c>
      <c r="J1082" t="s">
        <v>3047</v>
      </c>
      <c r="K1082" t="s">
        <v>37</v>
      </c>
      <c r="L1082" t="s">
        <v>169</v>
      </c>
      <c r="M1082" t="s">
        <v>129</v>
      </c>
      <c r="N1082" t="s">
        <v>82</v>
      </c>
      <c r="O1082" s="4">
        <v>1</v>
      </c>
      <c r="P1082" s="4">
        <v>12</v>
      </c>
      <c r="Q1082" t="s">
        <v>58</v>
      </c>
      <c r="R1082" s="2">
        <v>46178</v>
      </c>
      <c r="S1082" s="4">
        <v>25</v>
      </c>
      <c r="T1082" s="3">
        <v>181000000</v>
      </c>
      <c r="U1082" t="s">
        <v>42</v>
      </c>
      <c r="V1082" t="s">
        <v>43</v>
      </c>
      <c r="W1082" t="s">
        <v>290</v>
      </c>
      <c r="Y1082" t="s">
        <v>85</v>
      </c>
      <c r="Z1082" t="s">
        <v>3180</v>
      </c>
      <c r="AA1082" t="s">
        <v>62</v>
      </c>
      <c r="AB1082" t="s">
        <v>193</v>
      </c>
      <c r="AC1082" t="s">
        <v>62</v>
      </c>
    </row>
    <row r="1083" spans="1:29">
      <c r="A1083" t="s">
        <v>1499</v>
      </c>
      <c r="B1083" s="2">
        <v>46182</v>
      </c>
      <c r="C1083" t="s">
        <v>30</v>
      </c>
      <c r="D1083" t="s">
        <v>99</v>
      </c>
      <c r="E1083" t="s">
        <v>50</v>
      </c>
      <c r="F1083" t="s">
        <v>89</v>
      </c>
      <c r="G1083" t="s">
        <v>343</v>
      </c>
      <c r="H1083" t="s">
        <v>53</v>
      </c>
      <c r="I1083" t="s">
        <v>271</v>
      </c>
      <c r="J1083" t="s">
        <v>3038</v>
      </c>
      <c r="K1083" t="s">
        <v>37</v>
      </c>
      <c r="L1083" t="s">
        <v>55</v>
      </c>
      <c r="M1083" t="s">
        <v>39</v>
      </c>
      <c r="N1083" t="s">
        <v>57</v>
      </c>
      <c r="O1083" s="4">
        <v>3</v>
      </c>
      <c r="P1083" s="4">
        <v>12</v>
      </c>
      <c r="Q1083" t="s">
        <v>69</v>
      </c>
      <c r="R1083" s="2">
        <v>46179</v>
      </c>
      <c r="S1083" s="4">
        <v>24</v>
      </c>
      <c r="T1083" s="3">
        <v>237000000</v>
      </c>
      <c r="U1083" t="s">
        <v>42</v>
      </c>
      <c r="V1083" t="s">
        <v>43</v>
      </c>
      <c r="W1083" t="s">
        <v>157</v>
      </c>
      <c r="Y1083" t="s">
        <v>158</v>
      </c>
      <c r="Z1083" t="s">
        <v>3180</v>
      </c>
      <c r="AA1083" t="s">
        <v>62</v>
      </c>
      <c r="AB1083" t="s">
        <v>193</v>
      </c>
      <c r="AC1083" t="s">
        <v>62</v>
      </c>
    </row>
    <row r="1084" spans="1:29">
      <c r="A1084" t="s">
        <v>1500</v>
      </c>
      <c r="B1084" s="2">
        <v>46183</v>
      </c>
      <c r="C1084" t="s">
        <v>30</v>
      </c>
      <c r="D1084" t="s">
        <v>99</v>
      </c>
      <c r="E1084" t="s">
        <v>50</v>
      </c>
      <c r="F1084" t="s">
        <v>89</v>
      </c>
      <c r="G1084" t="s">
        <v>52</v>
      </c>
      <c r="H1084" t="s">
        <v>53</v>
      </c>
      <c r="I1084" t="s">
        <v>368</v>
      </c>
      <c r="J1084" t="s">
        <v>3064</v>
      </c>
      <c r="K1084" t="s">
        <v>37</v>
      </c>
      <c r="L1084" t="s">
        <v>38</v>
      </c>
      <c r="M1084" t="s">
        <v>129</v>
      </c>
      <c r="N1084" t="s">
        <v>196</v>
      </c>
      <c r="O1084" s="4">
        <v>7</v>
      </c>
      <c r="P1084" s="4">
        <v>9</v>
      </c>
      <c r="Q1084" t="s">
        <v>41</v>
      </c>
      <c r="R1084" s="2">
        <v>46175</v>
      </c>
      <c r="S1084" s="4">
        <v>28</v>
      </c>
      <c r="T1084" s="3">
        <v>154000000</v>
      </c>
      <c r="U1084" t="s">
        <v>196</v>
      </c>
      <c r="V1084" t="s">
        <v>70</v>
      </c>
      <c r="W1084" t="s">
        <v>209</v>
      </c>
      <c r="Y1084" t="s">
        <v>198</v>
      </c>
      <c r="Z1084" t="s">
        <v>3181</v>
      </c>
      <c r="AA1084" t="s">
        <v>62</v>
      </c>
      <c r="AB1084" t="s">
        <v>199</v>
      </c>
      <c r="AC1084" t="s">
        <v>62</v>
      </c>
    </row>
    <row r="1085" spans="1:29">
      <c r="A1085" t="s">
        <v>1501</v>
      </c>
      <c r="B1085" s="2">
        <v>46183</v>
      </c>
      <c r="C1085" t="s">
        <v>30</v>
      </c>
      <c r="D1085" t="s">
        <v>99</v>
      </c>
      <c r="E1085" t="s">
        <v>172</v>
      </c>
      <c r="F1085" t="s">
        <v>277</v>
      </c>
      <c r="G1085" t="s">
        <v>289</v>
      </c>
      <c r="H1085" t="s">
        <v>317</v>
      </c>
      <c r="I1085" t="s">
        <v>815</v>
      </c>
      <c r="J1085" t="s">
        <v>3158</v>
      </c>
      <c r="K1085" t="s">
        <v>56</v>
      </c>
      <c r="L1085" t="s">
        <v>55</v>
      </c>
      <c r="M1085" t="s">
        <v>81</v>
      </c>
      <c r="N1085" t="s">
        <v>57</v>
      </c>
      <c r="O1085" s="4">
        <v>3</v>
      </c>
      <c r="P1085" s="4">
        <v>3</v>
      </c>
      <c r="Q1085" t="s">
        <v>138</v>
      </c>
      <c r="R1085" s="2">
        <v>46174</v>
      </c>
      <c r="S1085" s="4">
        <v>29</v>
      </c>
      <c r="T1085" s="3">
        <v>365000000</v>
      </c>
      <c r="U1085" t="s">
        <v>42</v>
      </c>
      <c r="V1085" t="s">
        <v>43</v>
      </c>
      <c r="W1085" t="s">
        <v>157</v>
      </c>
      <c r="Y1085" t="s">
        <v>165</v>
      </c>
      <c r="Z1085" t="s">
        <v>3177</v>
      </c>
      <c r="AA1085" t="s">
        <v>181</v>
      </c>
      <c r="AB1085" t="s">
        <v>63</v>
      </c>
      <c r="AC1085" t="s">
        <v>181</v>
      </c>
    </row>
    <row r="1086" spans="1:29">
      <c r="A1086" t="s">
        <v>1502</v>
      </c>
      <c r="B1086" s="2">
        <v>46199</v>
      </c>
      <c r="C1086" t="s">
        <v>30</v>
      </c>
      <c r="D1086" t="s">
        <v>49</v>
      </c>
      <c r="E1086" t="s">
        <v>50</v>
      </c>
      <c r="F1086" t="s">
        <v>89</v>
      </c>
      <c r="G1086" t="s">
        <v>65</v>
      </c>
      <c r="H1086" t="s">
        <v>66</v>
      </c>
      <c r="I1086" t="s">
        <v>346</v>
      </c>
      <c r="J1086" t="s">
        <v>3058</v>
      </c>
      <c r="K1086" t="s">
        <v>105</v>
      </c>
      <c r="L1086" t="s">
        <v>80</v>
      </c>
      <c r="M1086" t="s">
        <v>129</v>
      </c>
      <c r="N1086" t="s">
        <v>57</v>
      </c>
      <c r="O1086" s="4">
        <v>3</v>
      </c>
      <c r="P1086" s="4">
        <v>13</v>
      </c>
      <c r="Q1086" t="s">
        <v>83</v>
      </c>
      <c r="R1086" s="2">
        <v>46197</v>
      </c>
      <c r="S1086" s="4">
        <v>6</v>
      </c>
      <c r="T1086" s="3">
        <v>78000000</v>
      </c>
      <c r="U1086" t="s">
        <v>42</v>
      </c>
      <c r="V1086" t="s">
        <v>59</v>
      </c>
      <c r="W1086" t="s">
        <v>203</v>
      </c>
      <c r="Y1086" t="s">
        <v>61</v>
      </c>
      <c r="Z1086" t="s">
        <v>3180</v>
      </c>
      <c r="AA1086" t="s">
        <v>62</v>
      </c>
      <c r="AB1086" t="s">
        <v>193</v>
      </c>
      <c r="AC1086" t="s">
        <v>62</v>
      </c>
    </row>
    <row r="1087" spans="1:29">
      <c r="A1087" t="s">
        <v>1503</v>
      </c>
      <c r="B1087" s="2">
        <v>46191</v>
      </c>
      <c r="C1087" t="s">
        <v>30</v>
      </c>
      <c r="D1087" t="s">
        <v>74</v>
      </c>
      <c r="E1087" t="s">
        <v>111</v>
      </c>
      <c r="F1087" t="s">
        <v>264</v>
      </c>
      <c r="G1087" t="s">
        <v>126</v>
      </c>
      <c r="H1087" t="s">
        <v>191</v>
      </c>
      <c r="I1087" t="s">
        <v>449</v>
      </c>
      <c r="J1087" t="s">
        <v>3089</v>
      </c>
      <c r="K1087" t="s">
        <v>56</v>
      </c>
      <c r="L1087" t="s">
        <v>80</v>
      </c>
      <c r="M1087" t="s">
        <v>56</v>
      </c>
      <c r="N1087" t="s">
        <v>57</v>
      </c>
      <c r="O1087" s="4">
        <v>3</v>
      </c>
      <c r="P1087" s="4">
        <v>5</v>
      </c>
      <c r="Q1087" t="s">
        <v>69</v>
      </c>
      <c r="R1087" s="2">
        <v>46189</v>
      </c>
      <c r="S1087" s="4">
        <v>14</v>
      </c>
      <c r="T1087" s="3">
        <v>220000000</v>
      </c>
      <c r="U1087" t="s">
        <v>42</v>
      </c>
      <c r="V1087" t="s">
        <v>43</v>
      </c>
      <c r="W1087" t="s">
        <v>157</v>
      </c>
      <c r="Y1087" t="s">
        <v>158</v>
      </c>
      <c r="Z1087" t="s">
        <v>3177</v>
      </c>
      <c r="AA1087" t="s">
        <v>118</v>
      </c>
      <c r="AB1087" t="s">
        <v>63</v>
      </c>
      <c r="AC1087" t="s">
        <v>118</v>
      </c>
    </row>
    <row r="1088" spans="1:29">
      <c r="A1088" t="s">
        <v>1504</v>
      </c>
      <c r="B1088" s="2">
        <v>46200</v>
      </c>
      <c r="C1088" t="s">
        <v>30</v>
      </c>
      <c r="D1088" t="s">
        <v>49</v>
      </c>
      <c r="E1088" t="s">
        <v>120</v>
      </c>
      <c r="F1088" t="s">
        <v>246</v>
      </c>
      <c r="G1088" t="s">
        <v>224</v>
      </c>
      <c r="H1088" t="s">
        <v>136</v>
      </c>
      <c r="I1088" t="s">
        <v>168</v>
      </c>
      <c r="J1088" t="s">
        <v>3022</v>
      </c>
      <c r="K1088" t="s">
        <v>105</v>
      </c>
      <c r="L1088" t="s">
        <v>169</v>
      </c>
      <c r="M1088" t="s">
        <v>39</v>
      </c>
      <c r="N1088" t="s">
        <v>82</v>
      </c>
      <c r="O1088" s="4">
        <v>1</v>
      </c>
      <c r="P1088" s="4">
        <v>4</v>
      </c>
      <c r="Q1088" t="s">
        <v>41</v>
      </c>
      <c r="R1088" s="2">
        <v>46195</v>
      </c>
      <c r="S1088" s="4">
        <v>8</v>
      </c>
      <c r="T1088" s="3">
        <v>74000000</v>
      </c>
      <c r="U1088" t="s">
        <v>42</v>
      </c>
      <c r="V1088" t="s">
        <v>43</v>
      </c>
      <c r="W1088" t="s">
        <v>359</v>
      </c>
      <c r="Y1088" t="s">
        <v>85</v>
      </c>
      <c r="Z1088" t="s">
        <v>3176</v>
      </c>
      <c r="AA1088" t="s">
        <v>97</v>
      </c>
      <c r="AB1088" t="s">
        <v>47</v>
      </c>
      <c r="AC1088" t="s">
        <v>97</v>
      </c>
    </row>
    <row r="1089" spans="1:29">
      <c r="A1089" t="s">
        <v>1505</v>
      </c>
      <c r="B1089" s="2">
        <v>46186</v>
      </c>
      <c r="C1089" t="s">
        <v>30</v>
      </c>
      <c r="D1089" t="s">
        <v>99</v>
      </c>
      <c r="E1089" t="s">
        <v>120</v>
      </c>
      <c r="F1089" t="s">
        <v>121</v>
      </c>
      <c r="G1089" t="s">
        <v>224</v>
      </c>
      <c r="H1089" t="s">
        <v>136</v>
      </c>
      <c r="I1089" t="s">
        <v>627</v>
      </c>
      <c r="J1089" t="s">
        <v>3134</v>
      </c>
      <c r="K1089" t="s">
        <v>56</v>
      </c>
      <c r="L1089" t="s">
        <v>80</v>
      </c>
      <c r="M1089" t="s">
        <v>93</v>
      </c>
      <c r="N1089" t="s">
        <v>94</v>
      </c>
      <c r="O1089" s="4">
        <v>4</v>
      </c>
      <c r="P1089" s="4">
        <v>7</v>
      </c>
      <c r="Q1089" t="s">
        <v>83</v>
      </c>
      <c r="R1089" s="2">
        <v>46184</v>
      </c>
      <c r="S1089" s="4">
        <v>19</v>
      </c>
      <c r="T1089" s="3">
        <v>303000000</v>
      </c>
      <c r="U1089" t="s">
        <v>42</v>
      </c>
      <c r="V1089" t="s">
        <v>70</v>
      </c>
      <c r="W1089" t="s">
        <v>267</v>
      </c>
      <c r="X1089" t="s">
        <v>117</v>
      </c>
      <c r="Y1089" t="s">
        <v>96</v>
      </c>
      <c r="Z1089" t="s">
        <v>3179</v>
      </c>
      <c r="AA1089" t="s">
        <v>97</v>
      </c>
      <c r="AB1089" t="s">
        <v>97</v>
      </c>
      <c r="AC1089" t="s">
        <v>97</v>
      </c>
    </row>
    <row r="1090" spans="1:29">
      <c r="A1090" t="s">
        <v>1506</v>
      </c>
      <c r="B1090" s="2">
        <v>46186</v>
      </c>
      <c r="C1090" t="s">
        <v>30</v>
      </c>
      <c r="D1090" t="s">
        <v>99</v>
      </c>
      <c r="E1090" t="s">
        <v>100</v>
      </c>
      <c r="F1090" t="s">
        <v>101</v>
      </c>
      <c r="G1090" t="s">
        <v>237</v>
      </c>
      <c r="H1090" t="s">
        <v>148</v>
      </c>
      <c r="I1090" t="s">
        <v>851</v>
      </c>
      <c r="J1090" t="s">
        <v>3163</v>
      </c>
      <c r="K1090" t="s">
        <v>37</v>
      </c>
      <c r="L1090" t="s">
        <v>38</v>
      </c>
      <c r="M1090" t="s">
        <v>81</v>
      </c>
      <c r="N1090" t="s">
        <v>213</v>
      </c>
      <c r="O1090" s="4">
        <v>6</v>
      </c>
      <c r="P1090" s="4">
        <v>20</v>
      </c>
      <c r="Q1090" t="s">
        <v>83</v>
      </c>
      <c r="R1090" s="2">
        <v>46176</v>
      </c>
      <c r="S1090" s="4">
        <v>27</v>
      </c>
      <c r="T1090" s="3">
        <v>229000000</v>
      </c>
      <c r="U1090" t="s">
        <v>42</v>
      </c>
      <c r="V1090" t="s">
        <v>70</v>
      </c>
      <c r="W1090" t="s">
        <v>248</v>
      </c>
      <c r="Y1090" t="s">
        <v>216</v>
      </c>
      <c r="Z1090" t="s">
        <v>3179</v>
      </c>
      <c r="AA1090" t="s">
        <v>109</v>
      </c>
      <c r="AB1090" t="s">
        <v>97</v>
      </c>
      <c r="AC1090" t="s">
        <v>109</v>
      </c>
    </row>
    <row r="1091" spans="1:29">
      <c r="A1091" t="s">
        <v>1507</v>
      </c>
      <c r="B1091" s="2">
        <v>46187</v>
      </c>
      <c r="C1091" t="s">
        <v>30</v>
      </c>
      <c r="D1091" t="s">
        <v>99</v>
      </c>
      <c r="E1091" t="s">
        <v>111</v>
      </c>
      <c r="F1091" t="s">
        <v>190</v>
      </c>
      <c r="G1091" t="s">
        <v>113</v>
      </c>
      <c r="H1091" t="s">
        <v>114</v>
      </c>
      <c r="I1091" t="s">
        <v>1078</v>
      </c>
      <c r="J1091" t="s">
        <v>3172</v>
      </c>
      <c r="K1091" t="s">
        <v>56</v>
      </c>
      <c r="L1091" t="s">
        <v>38</v>
      </c>
      <c r="M1091" t="s">
        <v>93</v>
      </c>
      <c r="N1091" t="s">
        <v>94</v>
      </c>
      <c r="O1091" s="4">
        <v>4</v>
      </c>
      <c r="P1091" s="4">
        <v>5</v>
      </c>
      <c r="Q1091" t="s">
        <v>107</v>
      </c>
      <c r="R1091" s="2">
        <v>46182</v>
      </c>
      <c r="S1091" s="4">
        <v>21</v>
      </c>
      <c r="T1091" s="3">
        <v>466000000</v>
      </c>
      <c r="U1091" t="s">
        <v>42</v>
      </c>
      <c r="V1091" t="s">
        <v>70</v>
      </c>
      <c r="W1091" t="s">
        <v>188</v>
      </c>
      <c r="Y1091" t="s">
        <v>228</v>
      </c>
      <c r="Z1091" t="s">
        <v>3179</v>
      </c>
      <c r="AA1091" t="s">
        <v>118</v>
      </c>
      <c r="AB1091" t="s">
        <v>97</v>
      </c>
      <c r="AC1091" t="s">
        <v>118</v>
      </c>
    </row>
    <row r="1092" spans="1:29">
      <c r="A1092" t="s">
        <v>1508</v>
      </c>
      <c r="B1092" s="2">
        <v>46189</v>
      </c>
      <c r="C1092" t="s">
        <v>30</v>
      </c>
      <c r="D1092" t="s">
        <v>74</v>
      </c>
      <c r="E1092" t="s">
        <v>75</v>
      </c>
      <c r="F1092" t="s">
        <v>76</v>
      </c>
      <c r="G1092" t="s">
        <v>77</v>
      </c>
      <c r="H1092" t="s">
        <v>78</v>
      </c>
      <c r="I1092" t="s">
        <v>163</v>
      </c>
      <c r="J1092" t="s">
        <v>3021</v>
      </c>
      <c r="K1092" t="s">
        <v>37</v>
      </c>
      <c r="L1092" t="s">
        <v>80</v>
      </c>
      <c r="M1092" t="s">
        <v>93</v>
      </c>
      <c r="N1092" t="s">
        <v>82</v>
      </c>
      <c r="O1092" s="4">
        <v>1</v>
      </c>
      <c r="P1092" s="4">
        <v>19</v>
      </c>
      <c r="Q1092" t="s">
        <v>69</v>
      </c>
      <c r="R1092" s="2">
        <v>46179</v>
      </c>
      <c r="S1092" s="4">
        <v>24</v>
      </c>
      <c r="T1092" s="3">
        <v>188000000</v>
      </c>
      <c r="U1092" t="s">
        <v>42</v>
      </c>
      <c r="V1092" t="s">
        <v>43</v>
      </c>
      <c r="W1092" t="s">
        <v>290</v>
      </c>
      <c r="Y1092" t="s">
        <v>305</v>
      </c>
      <c r="Z1092" t="s">
        <v>3180</v>
      </c>
      <c r="AA1092" t="s">
        <v>86</v>
      </c>
      <c r="AB1092" t="s">
        <v>193</v>
      </c>
      <c r="AC1092" t="s">
        <v>86</v>
      </c>
    </row>
    <row r="1093" spans="1:29">
      <c r="A1093" t="s">
        <v>1509</v>
      </c>
      <c r="B1093" s="2">
        <v>46189</v>
      </c>
      <c r="C1093" t="s">
        <v>30</v>
      </c>
      <c r="D1093" t="s">
        <v>74</v>
      </c>
      <c r="E1093" t="s">
        <v>75</v>
      </c>
      <c r="F1093" t="s">
        <v>161</v>
      </c>
      <c r="G1093" t="s">
        <v>387</v>
      </c>
      <c r="H1093" t="s">
        <v>185</v>
      </c>
      <c r="I1093" t="s">
        <v>795</v>
      </c>
      <c r="J1093" t="s">
        <v>3155</v>
      </c>
      <c r="K1093" t="s">
        <v>37</v>
      </c>
      <c r="L1093" t="s">
        <v>187</v>
      </c>
      <c r="M1093" t="s">
        <v>81</v>
      </c>
      <c r="N1093" t="s">
        <v>57</v>
      </c>
      <c r="O1093" s="4">
        <v>3</v>
      </c>
      <c r="P1093" s="4">
        <v>5</v>
      </c>
      <c r="Q1093" t="s">
        <v>69</v>
      </c>
      <c r="R1093" s="2">
        <v>46188</v>
      </c>
      <c r="S1093" s="4">
        <v>15</v>
      </c>
      <c r="T1093" s="3">
        <v>106000000</v>
      </c>
      <c r="U1093" t="s">
        <v>42</v>
      </c>
      <c r="V1093" t="s">
        <v>59</v>
      </c>
      <c r="W1093" t="s">
        <v>157</v>
      </c>
      <c r="Y1093" t="s">
        <v>165</v>
      </c>
      <c r="Z1093" t="s">
        <v>3177</v>
      </c>
      <c r="AA1093" t="s">
        <v>86</v>
      </c>
      <c r="AB1093" t="s">
        <v>63</v>
      </c>
      <c r="AC1093" t="s">
        <v>86</v>
      </c>
    </row>
    <row r="1094" spans="1:29">
      <c r="A1094" t="s">
        <v>1510</v>
      </c>
      <c r="B1094" s="2">
        <v>46201</v>
      </c>
      <c r="C1094" t="s">
        <v>30</v>
      </c>
      <c r="D1094" t="s">
        <v>49</v>
      </c>
      <c r="E1094" t="s">
        <v>120</v>
      </c>
      <c r="F1094" t="s">
        <v>167</v>
      </c>
      <c r="G1094" t="s">
        <v>227</v>
      </c>
      <c r="H1094" t="s">
        <v>136</v>
      </c>
      <c r="I1094" t="s">
        <v>137</v>
      </c>
      <c r="J1094" t="s">
        <v>3017</v>
      </c>
      <c r="K1094" t="s">
        <v>105</v>
      </c>
      <c r="L1094" t="s">
        <v>68</v>
      </c>
      <c r="M1094" t="s">
        <v>106</v>
      </c>
      <c r="N1094" t="s">
        <v>94</v>
      </c>
      <c r="O1094" s="4">
        <v>4</v>
      </c>
      <c r="P1094" s="4">
        <v>11</v>
      </c>
      <c r="Q1094" t="s">
        <v>142</v>
      </c>
      <c r="R1094" s="2">
        <v>46195</v>
      </c>
      <c r="S1094" s="4">
        <v>8</v>
      </c>
      <c r="T1094" s="3">
        <v>127000000</v>
      </c>
      <c r="U1094" t="s">
        <v>426</v>
      </c>
      <c r="V1094" t="s">
        <v>59</v>
      </c>
      <c r="W1094" t="s">
        <v>95</v>
      </c>
      <c r="X1094" t="s">
        <v>179</v>
      </c>
      <c r="Y1094" t="s">
        <v>228</v>
      </c>
      <c r="Z1094" t="s">
        <v>3179</v>
      </c>
      <c r="AA1094" t="s">
        <v>97</v>
      </c>
      <c r="AB1094" t="s">
        <v>97</v>
      </c>
      <c r="AC1094" t="s">
        <v>97</v>
      </c>
    </row>
    <row r="1095" spans="1:29">
      <c r="A1095" t="s">
        <v>1511</v>
      </c>
      <c r="B1095" s="2">
        <v>46179</v>
      </c>
      <c r="C1095" t="s">
        <v>30</v>
      </c>
      <c r="D1095" t="s">
        <v>134</v>
      </c>
      <c r="E1095" t="s">
        <v>172</v>
      </c>
      <c r="F1095" t="s">
        <v>173</v>
      </c>
      <c r="G1095" t="s">
        <v>278</v>
      </c>
      <c r="H1095" t="s">
        <v>241</v>
      </c>
      <c r="I1095" t="s">
        <v>512</v>
      </c>
      <c r="J1095" t="s">
        <v>3107</v>
      </c>
      <c r="K1095" t="s">
        <v>92</v>
      </c>
      <c r="L1095" t="s">
        <v>68</v>
      </c>
      <c r="M1095" t="s">
        <v>56</v>
      </c>
      <c r="N1095" t="s">
        <v>130</v>
      </c>
      <c r="O1095" s="4">
        <v>5</v>
      </c>
      <c r="P1095" s="4">
        <v>11</v>
      </c>
      <c r="Q1095" t="s">
        <v>83</v>
      </c>
      <c r="R1095" s="2">
        <v>46173</v>
      </c>
      <c r="S1095" s="4">
        <v>30</v>
      </c>
      <c r="T1095" s="3">
        <v>171000000</v>
      </c>
      <c r="U1095" t="s">
        <v>42</v>
      </c>
      <c r="V1095" t="s">
        <v>59</v>
      </c>
      <c r="W1095" t="s">
        <v>131</v>
      </c>
      <c r="Y1095" t="s">
        <v>254</v>
      </c>
      <c r="Z1095" t="s">
        <v>3179</v>
      </c>
      <c r="AA1095" t="s">
        <v>181</v>
      </c>
      <c r="AB1095" t="s">
        <v>97</v>
      </c>
      <c r="AC1095" t="s">
        <v>181</v>
      </c>
    </row>
    <row r="1096" spans="1:29">
      <c r="A1096" t="s">
        <v>1512</v>
      </c>
      <c r="B1096" s="2">
        <v>46189</v>
      </c>
      <c r="C1096" t="s">
        <v>30</v>
      </c>
      <c r="D1096" t="s">
        <v>74</v>
      </c>
      <c r="E1096" t="s">
        <v>152</v>
      </c>
      <c r="F1096" t="s">
        <v>153</v>
      </c>
      <c r="G1096" t="s">
        <v>328</v>
      </c>
      <c r="H1096" t="s">
        <v>283</v>
      </c>
      <c r="I1096" t="s">
        <v>474</v>
      </c>
      <c r="J1096" t="s">
        <v>3098</v>
      </c>
      <c r="K1096" t="s">
        <v>56</v>
      </c>
      <c r="L1096" t="s">
        <v>38</v>
      </c>
      <c r="M1096" t="s">
        <v>129</v>
      </c>
      <c r="N1096" t="s">
        <v>213</v>
      </c>
      <c r="O1096" s="4">
        <v>6</v>
      </c>
      <c r="P1096" s="4">
        <v>13</v>
      </c>
      <c r="Q1096" t="s">
        <v>107</v>
      </c>
      <c r="R1096" s="2">
        <v>46183</v>
      </c>
      <c r="S1096" s="4">
        <v>20</v>
      </c>
      <c r="T1096" s="3">
        <v>399000000</v>
      </c>
      <c r="U1096" t="s">
        <v>214</v>
      </c>
      <c r="V1096" t="s">
        <v>143</v>
      </c>
      <c r="W1096" t="s">
        <v>248</v>
      </c>
      <c r="Y1096" t="s">
        <v>216</v>
      </c>
      <c r="Z1096" t="s">
        <v>3179</v>
      </c>
      <c r="AA1096" t="s">
        <v>159</v>
      </c>
      <c r="AB1096" t="s">
        <v>97</v>
      </c>
      <c r="AC1096" t="s">
        <v>159</v>
      </c>
    </row>
    <row r="1097" spans="1:29">
      <c r="A1097" t="s">
        <v>1513</v>
      </c>
      <c r="B1097" s="2">
        <v>46203</v>
      </c>
      <c r="C1097" t="s">
        <v>30</v>
      </c>
      <c r="D1097" t="s">
        <v>31</v>
      </c>
      <c r="E1097" t="s">
        <v>120</v>
      </c>
      <c r="F1097" t="s">
        <v>246</v>
      </c>
      <c r="G1097" t="s">
        <v>224</v>
      </c>
      <c r="H1097" t="s">
        <v>123</v>
      </c>
      <c r="I1097" t="s">
        <v>124</v>
      </c>
      <c r="J1097" t="s">
        <v>3015</v>
      </c>
      <c r="K1097" t="s">
        <v>56</v>
      </c>
      <c r="L1097" t="s">
        <v>80</v>
      </c>
      <c r="M1097" t="s">
        <v>164</v>
      </c>
      <c r="N1097" t="s">
        <v>57</v>
      </c>
      <c r="O1097" s="4">
        <v>3</v>
      </c>
      <c r="P1097" s="4">
        <v>5</v>
      </c>
      <c r="Q1097" t="s">
        <v>58</v>
      </c>
      <c r="R1097" s="2">
        <v>46198</v>
      </c>
      <c r="S1097" s="4">
        <v>5</v>
      </c>
      <c r="T1097" s="3">
        <v>463000000</v>
      </c>
      <c r="U1097" t="s">
        <v>42</v>
      </c>
      <c r="V1097" t="s">
        <v>59</v>
      </c>
      <c r="W1097" t="s">
        <v>157</v>
      </c>
      <c r="Y1097" t="s">
        <v>158</v>
      </c>
      <c r="Z1097" t="s">
        <v>3177</v>
      </c>
      <c r="AA1097" t="s">
        <v>97</v>
      </c>
      <c r="AB1097" t="s">
        <v>63</v>
      </c>
      <c r="AC1097" t="s">
        <v>97</v>
      </c>
    </row>
    <row r="1098" spans="1:29">
      <c r="A1098" t="s">
        <v>1514</v>
      </c>
      <c r="B1098" s="2">
        <v>46192</v>
      </c>
      <c r="C1098" t="s">
        <v>30</v>
      </c>
      <c r="D1098" t="s">
        <v>74</v>
      </c>
      <c r="E1098" t="s">
        <v>50</v>
      </c>
      <c r="F1098" t="s">
        <v>51</v>
      </c>
      <c r="G1098" t="s">
        <v>343</v>
      </c>
      <c r="H1098" t="s">
        <v>90</v>
      </c>
      <c r="I1098" t="s">
        <v>352</v>
      </c>
      <c r="J1098" t="s">
        <v>3060</v>
      </c>
      <c r="K1098" t="s">
        <v>37</v>
      </c>
      <c r="L1098" t="s">
        <v>55</v>
      </c>
      <c r="M1098" t="s">
        <v>129</v>
      </c>
      <c r="N1098" t="s">
        <v>196</v>
      </c>
      <c r="O1098" s="4">
        <v>7</v>
      </c>
      <c r="P1098" s="4">
        <v>13</v>
      </c>
      <c r="Q1098" t="s">
        <v>83</v>
      </c>
      <c r="R1098" s="2">
        <v>46191</v>
      </c>
      <c r="S1098" s="4">
        <v>12</v>
      </c>
      <c r="T1098" s="3">
        <v>272000000</v>
      </c>
      <c r="U1098" t="s">
        <v>196</v>
      </c>
      <c r="V1098" t="s">
        <v>70</v>
      </c>
      <c r="W1098" t="s">
        <v>675</v>
      </c>
      <c r="Y1098" t="s">
        <v>369</v>
      </c>
      <c r="Z1098" t="s">
        <v>3181</v>
      </c>
      <c r="AA1098" t="s">
        <v>62</v>
      </c>
      <c r="AB1098" t="s">
        <v>199</v>
      </c>
      <c r="AC1098" t="s">
        <v>62</v>
      </c>
    </row>
    <row r="1099" spans="1:29">
      <c r="A1099" t="s">
        <v>1515</v>
      </c>
      <c r="B1099" s="2">
        <v>46189</v>
      </c>
      <c r="C1099" t="s">
        <v>30</v>
      </c>
      <c r="D1099" t="s">
        <v>74</v>
      </c>
      <c r="E1099" t="s">
        <v>111</v>
      </c>
      <c r="F1099" t="s">
        <v>112</v>
      </c>
      <c r="G1099" t="s">
        <v>126</v>
      </c>
      <c r="H1099" t="s">
        <v>127</v>
      </c>
      <c r="I1099" t="s">
        <v>349</v>
      </c>
      <c r="J1099" t="s">
        <v>3059</v>
      </c>
      <c r="K1099" t="s">
        <v>56</v>
      </c>
      <c r="L1099" t="s">
        <v>150</v>
      </c>
      <c r="M1099" t="s">
        <v>81</v>
      </c>
      <c r="N1099" t="s">
        <v>57</v>
      </c>
      <c r="O1099" s="4">
        <v>3</v>
      </c>
      <c r="P1099" s="4">
        <v>11</v>
      </c>
      <c r="Q1099" t="s">
        <v>142</v>
      </c>
      <c r="R1099" s="2">
        <v>46180</v>
      </c>
      <c r="S1099" s="4">
        <v>23</v>
      </c>
      <c r="T1099" s="3">
        <v>161000000</v>
      </c>
      <c r="U1099" t="s">
        <v>42</v>
      </c>
      <c r="V1099" t="s">
        <v>59</v>
      </c>
      <c r="W1099" t="s">
        <v>157</v>
      </c>
      <c r="Y1099" t="s">
        <v>72</v>
      </c>
      <c r="Z1099" t="s">
        <v>3177</v>
      </c>
      <c r="AA1099" t="s">
        <v>118</v>
      </c>
      <c r="AB1099" t="s">
        <v>63</v>
      </c>
      <c r="AC1099" t="s">
        <v>118</v>
      </c>
    </row>
    <row r="1100" spans="1:29">
      <c r="A1100" t="s">
        <v>1516</v>
      </c>
      <c r="B1100" s="2">
        <v>46178</v>
      </c>
      <c r="C1100" t="s">
        <v>30</v>
      </c>
      <c r="D1100" t="s">
        <v>134</v>
      </c>
      <c r="E1100" t="s">
        <v>100</v>
      </c>
      <c r="F1100" t="s">
        <v>101</v>
      </c>
      <c r="G1100" t="s">
        <v>237</v>
      </c>
      <c r="H1100" t="s">
        <v>201</v>
      </c>
      <c r="I1100" t="s">
        <v>371</v>
      </c>
      <c r="J1100" t="s">
        <v>3065</v>
      </c>
      <c r="K1100" t="s">
        <v>105</v>
      </c>
      <c r="L1100" t="s">
        <v>68</v>
      </c>
      <c r="M1100" t="s">
        <v>93</v>
      </c>
      <c r="N1100" t="s">
        <v>94</v>
      </c>
      <c r="O1100" s="4">
        <v>4</v>
      </c>
      <c r="P1100" s="4">
        <v>19</v>
      </c>
      <c r="Q1100" t="s">
        <v>41</v>
      </c>
      <c r="R1100" s="2">
        <v>46178</v>
      </c>
      <c r="S1100" s="4">
        <v>25</v>
      </c>
      <c r="T1100" s="3">
        <v>282000000</v>
      </c>
      <c r="U1100" t="s">
        <v>42</v>
      </c>
      <c r="V1100" t="s">
        <v>59</v>
      </c>
      <c r="W1100" t="s">
        <v>95</v>
      </c>
      <c r="Y1100" t="s">
        <v>228</v>
      </c>
      <c r="Z1100" t="s">
        <v>3179</v>
      </c>
      <c r="AA1100" t="s">
        <v>109</v>
      </c>
      <c r="AB1100" t="s">
        <v>97</v>
      </c>
      <c r="AC1100" t="s">
        <v>109</v>
      </c>
    </row>
    <row r="1101" spans="1:29">
      <c r="A1101" t="s">
        <v>1517</v>
      </c>
      <c r="B1101" s="2">
        <v>46178</v>
      </c>
      <c r="C1101" t="s">
        <v>30</v>
      </c>
      <c r="D1101" t="s">
        <v>134</v>
      </c>
      <c r="E1101" t="s">
        <v>100</v>
      </c>
      <c r="F1101" t="s">
        <v>101</v>
      </c>
      <c r="G1101" t="s">
        <v>212</v>
      </c>
      <c r="H1101" t="s">
        <v>201</v>
      </c>
      <c r="I1101" t="s">
        <v>371</v>
      </c>
      <c r="J1101" t="s">
        <v>3065</v>
      </c>
      <c r="K1101" t="s">
        <v>92</v>
      </c>
      <c r="L1101" t="s">
        <v>80</v>
      </c>
      <c r="M1101" t="s">
        <v>39</v>
      </c>
      <c r="N1101" t="s">
        <v>94</v>
      </c>
      <c r="O1101" s="4">
        <v>4</v>
      </c>
      <c r="P1101" s="4">
        <v>13</v>
      </c>
      <c r="Q1101" t="s">
        <v>58</v>
      </c>
      <c r="R1101" s="2">
        <v>46172</v>
      </c>
      <c r="S1101" s="4">
        <v>31</v>
      </c>
      <c r="T1101" s="3">
        <v>104000000</v>
      </c>
      <c r="U1101" t="s">
        <v>42</v>
      </c>
      <c r="V1101" t="s">
        <v>70</v>
      </c>
      <c r="W1101" t="s">
        <v>95</v>
      </c>
      <c r="Y1101" t="s">
        <v>228</v>
      </c>
      <c r="Z1101" t="s">
        <v>3179</v>
      </c>
      <c r="AA1101" t="s">
        <v>109</v>
      </c>
      <c r="AB1101" t="s">
        <v>97</v>
      </c>
      <c r="AC1101" t="s">
        <v>109</v>
      </c>
    </row>
    <row r="1102" spans="1:29">
      <c r="A1102" t="s">
        <v>1518</v>
      </c>
      <c r="B1102" s="2">
        <v>46202</v>
      </c>
      <c r="C1102" t="s">
        <v>30</v>
      </c>
      <c r="D1102" t="s">
        <v>31</v>
      </c>
      <c r="E1102" t="s">
        <v>100</v>
      </c>
      <c r="F1102" t="s">
        <v>140</v>
      </c>
      <c r="G1102" t="s">
        <v>212</v>
      </c>
      <c r="H1102" t="s">
        <v>148</v>
      </c>
      <c r="I1102" t="s">
        <v>315</v>
      </c>
      <c r="J1102" t="s">
        <v>3049</v>
      </c>
      <c r="K1102" t="s">
        <v>92</v>
      </c>
      <c r="L1102" t="s">
        <v>55</v>
      </c>
      <c r="M1102" t="s">
        <v>56</v>
      </c>
      <c r="N1102" t="s">
        <v>196</v>
      </c>
      <c r="O1102" s="4">
        <v>7</v>
      </c>
      <c r="P1102" s="4">
        <v>13</v>
      </c>
      <c r="Q1102" t="s">
        <v>41</v>
      </c>
      <c r="R1102" s="2">
        <v>46193</v>
      </c>
      <c r="S1102" s="4">
        <v>10</v>
      </c>
      <c r="T1102" s="3">
        <v>160000000</v>
      </c>
      <c r="U1102" t="s">
        <v>564</v>
      </c>
      <c r="V1102" t="s">
        <v>70</v>
      </c>
      <c r="W1102" t="s">
        <v>243</v>
      </c>
      <c r="Y1102" t="s">
        <v>210</v>
      </c>
      <c r="Z1102" t="s">
        <v>3181</v>
      </c>
      <c r="AA1102" t="s">
        <v>109</v>
      </c>
      <c r="AB1102" t="s">
        <v>199</v>
      </c>
      <c r="AC1102" t="s">
        <v>109</v>
      </c>
    </row>
    <row r="1103" spans="1:29">
      <c r="A1103" t="s">
        <v>1519</v>
      </c>
      <c r="B1103" s="2">
        <v>46200</v>
      </c>
      <c r="C1103" t="s">
        <v>30</v>
      </c>
      <c r="D1103" t="s">
        <v>49</v>
      </c>
      <c r="E1103" t="s">
        <v>32</v>
      </c>
      <c r="F1103" t="s">
        <v>256</v>
      </c>
      <c r="G1103" t="s">
        <v>34</v>
      </c>
      <c r="H1103" t="s">
        <v>258</v>
      </c>
      <c r="I1103" t="s">
        <v>1008</v>
      </c>
      <c r="J1103" t="s">
        <v>3170</v>
      </c>
      <c r="K1103" t="s">
        <v>56</v>
      </c>
      <c r="L1103" t="s">
        <v>187</v>
      </c>
      <c r="M1103" t="s">
        <v>39</v>
      </c>
      <c r="N1103" t="s">
        <v>130</v>
      </c>
      <c r="O1103" s="4">
        <v>5</v>
      </c>
      <c r="P1103" s="4">
        <v>3</v>
      </c>
      <c r="Q1103" t="s">
        <v>142</v>
      </c>
      <c r="R1103" s="2">
        <v>46190</v>
      </c>
      <c r="S1103" s="4">
        <v>13</v>
      </c>
      <c r="T1103" s="3">
        <v>284000000</v>
      </c>
      <c r="U1103" t="s">
        <v>42</v>
      </c>
      <c r="V1103" t="s">
        <v>143</v>
      </c>
      <c r="W1103" t="s">
        <v>252</v>
      </c>
      <c r="Y1103" t="s">
        <v>132</v>
      </c>
      <c r="Z1103" t="s">
        <v>3179</v>
      </c>
      <c r="AA1103" t="s">
        <v>46</v>
      </c>
      <c r="AB1103" t="s">
        <v>97</v>
      </c>
      <c r="AC1103" t="s">
        <v>46</v>
      </c>
    </row>
    <row r="1104" spans="1:29">
      <c r="A1104" t="s">
        <v>1520</v>
      </c>
      <c r="B1104" s="2">
        <v>46190</v>
      </c>
      <c r="C1104" t="s">
        <v>30</v>
      </c>
      <c r="D1104" t="s">
        <v>74</v>
      </c>
      <c r="E1104" t="s">
        <v>120</v>
      </c>
      <c r="F1104" t="s">
        <v>246</v>
      </c>
      <c r="G1104" t="s">
        <v>122</v>
      </c>
      <c r="H1104" t="s">
        <v>136</v>
      </c>
      <c r="I1104" t="s">
        <v>137</v>
      </c>
      <c r="J1104" t="s">
        <v>3017</v>
      </c>
      <c r="K1104" t="s">
        <v>56</v>
      </c>
      <c r="L1104" t="s">
        <v>38</v>
      </c>
      <c r="M1104" t="s">
        <v>39</v>
      </c>
      <c r="N1104" t="s">
        <v>57</v>
      </c>
      <c r="O1104" s="4">
        <v>3</v>
      </c>
      <c r="P1104" s="4">
        <v>5</v>
      </c>
      <c r="Q1104" t="s">
        <v>41</v>
      </c>
      <c r="R1104" s="2">
        <v>46185</v>
      </c>
      <c r="S1104" s="4">
        <v>18</v>
      </c>
      <c r="T1104" s="3">
        <v>270000000</v>
      </c>
      <c r="U1104" t="s">
        <v>42</v>
      </c>
      <c r="V1104" t="s">
        <v>59</v>
      </c>
      <c r="W1104" t="s">
        <v>203</v>
      </c>
      <c r="Y1104" t="s">
        <v>165</v>
      </c>
      <c r="Z1104" t="s">
        <v>3177</v>
      </c>
      <c r="AA1104" t="s">
        <v>97</v>
      </c>
      <c r="AB1104" t="s">
        <v>63</v>
      </c>
      <c r="AC1104" t="s">
        <v>97</v>
      </c>
    </row>
    <row r="1105" spans="1:29">
      <c r="A1105" t="s">
        <v>1521</v>
      </c>
      <c r="B1105" s="2">
        <v>46200</v>
      </c>
      <c r="C1105" t="s">
        <v>30</v>
      </c>
      <c r="D1105" t="s">
        <v>49</v>
      </c>
      <c r="E1105" t="s">
        <v>120</v>
      </c>
      <c r="F1105" t="s">
        <v>167</v>
      </c>
      <c r="G1105" t="s">
        <v>135</v>
      </c>
      <c r="H1105" t="s">
        <v>123</v>
      </c>
      <c r="I1105" t="s">
        <v>124</v>
      </c>
      <c r="J1105" t="s">
        <v>3015</v>
      </c>
      <c r="K1105" t="s">
        <v>37</v>
      </c>
      <c r="L1105" t="s">
        <v>80</v>
      </c>
      <c r="M1105" t="s">
        <v>129</v>
      </c>
      <c r="N1105" t="s">
        <v>57</v>
      </c>
      <c r="O1105" s="4">
        <v>3</v>
      </c>
      <c r="P1105" s="4">
        <v>12</v>
      </c>
      <c r="Q1105" t="s">
        <v>107</v>
      </c>
      <c r="R1105" s="2">
        <v>46193</v>
      </c>
      <c r="S1105" s="4">
        <v>10</v>
      </c>
      <c r="T1105" s="3">
        <v>89000000</v>
      </c>
      <c r="U1105" t="s">
        <v>260</v>
      </c>
      <c r="V1105" t="s">
        <v>59</v>
      </c>
      <c r="W1105" t="s">
        <v>157</v>
      </c>
      <c r="X1105" t="s">
        <v>179</v>
      </c>
      <c r="Y1105" t="s">
        <v>72</v>
      </c>
      <c r="Z1105" t="s">
        <v>3180</v>
      </c>
      <c r="AA1105" t="s">
        <v>97</v>
      </c>
      <c r="AB1105" t="s">
        <v>193</v>
      </c>
      <c r="AC1105" t="s">
        <v>97</v>
      </c>
    </row>
    <row r="1106" spans="1:29">
      <c r="A1106" t="s">
        <v>1522</v>
      </c>
      <c r="B1106" s="2">
        <v>46189</v>
      </c>
      <c r="C1106" t="s">
        <v>30</v>
      </c>
      <c r="D1106" t="s">
        <v>74</v>
      </c>
      <c r="E1106" t="s">
        <v>50</v>
      </c>
      <c r="F1106" t="s">
        <v>51</v>
      </c>
      <c r="G1106" t="s">
        <v>234</v>
      </c>
      <c r="H1106" t="s">
        <v>66</v>
      </c>
      <c r="I1106" t="s">
        <v>67</v>
      </c>
      <c r="J1106" t="s">
        <v>3010</v>
      </c>
      <c r="K1106" t="s">
        <v>105</v>
      </c>
      <c r="L1106" t="s">
        <v>187</v>
      </c>
      <c r="M1106" t="s">
        <v>81</v>
      </c>
      <c r="N1106" t="s">
        <v>40</v>
      </c>
      <c r="O1106" s="4">
        <v>2</v>
      </c>
      <c r="P1106" s="4">
        <v>12</v>
      </c>
      <c r="Q1106" t="s">
        <v>83</v>
      </c>
      <c r="R1106" s="2">
        <v>46183</v>
      </c>
      <c r="S1106" s="4">
        <v>20</v>
      </c>
      <c r="T1106" s="3">
        <v>338000000</v>
      </c>
      <c r="U1106" t="s">
        <v>42</v>
      </c>
      <c r="V1106" t="s">
        <v>43</v>
      </c>
      <c r="W1106" t="s">
        <v>44</v>
      </c>
      <c r="Y1106" t="s">
        <v>45</v>
      </c>
      <c r="Z1106" t="s">
        <v>3180</v>
      </c>
      <c r="AA1106" t="s">
        <v>62</v>
      </c>
      <c r="AB1106" t="s">
        <v>193</v>
      </c>
      <c r="AC1106" t="s">
        <v>62</v>
      </c>
    </row>
    <row r="1107" spans="1:29">
      <c r="A1107" t="s">
        <v>1523</v>
      </c>
      <c r="B1107" s="2">
        <v>46185</v>
      </c>
      <c r="C1107" t="s">
        <v>30</v>
      </c>
      <c r="D1107" t="s">
        <v>99</v>
      </c>
      <c r="E1107" t="s">
        <v>50</v>
      </c>
      <c r="F1107" t="s">
        <v>351</v>
      </c>
      <c r="G1107" t="s">
        <v>343</v>
      </c>
      <c r="H1107" t="s">
        <v>53</v>
      </c>
      <c r="I1107" t="s">
        <v>235</v>
      </c>
      <c r="J1107" t="s">
        <v>3032</v>
      </c>
      <c r="K1107" t="s">
        <v>37</v>
      </c>
      <c r="L1107" t="s">
        <v>169</v>
      </c>
      <c r="M1107" t="s">
        <v>39</v>
      </c>
      <c r="N1107" t="s">
        <v>94</v>
      </c>
      <c r="O1107" s="4">
        <v>4</v>
      </c>
      <c r="P1107" s="4">
        <v>11</v>
      </c>
      <c r="Q1107" t="s">
        <v>142</v>
      </c>
      <c r="R1107" s="2">
        <v>46182</v>
      </c>
      <c r="S1107" s="4">
        <v>21</v>
      </c>
      <c r="T1107" s="3">
        <v>136000000</v>
      </c>
      <c r="U1107" t="s">
        <v>42</v>
      </c>
      <c r="V1107" t="s">
        <v>59</v>
      </c>
      <c r="W1107" t="s">
        <v>95</v>
      </c>
      <c r="X1107" t="s">
        <v>253</v>
      </c>
      <c r="Y1107" t="s">
        <v>108</v>
      </c>
      <c r="Z1107" t="s">
        <v>3179</v>
      </c>
      <c r="AA1107" t="s">
        <v>62</v>
      </c>
      <c r="AB1107" t="s">
        <v>97</v>
      </c>
      <c r="AC1107" t="s">
        <v>62</v>
      </c>
    </row>
    <row r="1108" spans="1:29">
      <c r="A1108" t="s">
        <v>1524</v>
      </c>
      <c r="B1108" s="2">
        <v>46201</v>
      </c>
      <c r="C1108" t="s">
        <v>30</v>
      </c>
      <c r="D1108" t="s">
        <v>49</v>
      </c>
      <c r="E1108" t="s">
        <v>75</v>
      </c>
      <c r="F1108" t="s">
        <v>183</v>
      </c>
      <c r="G1108" t="s">
        <v>162</v>
      </c>
      <c r="H1108" t="s">
        <v>185</v>
      </c>
      <c r="I1108" t="s">
        <v>186</v>
      </c>
      <c r="J1108" t="s">
        <v>3024</v>
      </c>
      <c r="K1108" t="s">
        <v>56</v>
      </c>
      <c r="L1108" t="s">
        <v>187</v>
      </c>
      <c r="M1108" t="s">
        <v>81</v>
      </c>
      <c r="N1108" t="s">
        <v>57</v>
      </c>
      <c r="O1108" s="4">
        <v>3</v>
      </c>
      <c r="P1108" s="4">
        <v>4</v>
      </c>
      <c r="Q1108" t="s">
        <v>142</v>
      </c>
      <c r="R1108" s="2">
        <v>46198</v>
      </c>
      <c r="S1108" s="4">
        <v>5</v>
      </c>
      <c r="T1108" s="3">
        <v>198000000</v>
      </c>
      <c r="U1108" t="s">
        <v>42</v>
      </c>
      <c r="V1108" t="s">
        <v>43</v>
      </c>
      <c r="W1108" t="s">
        <v>60</v>
      </c>
      <c r="Y1108" t="s">
        <v>165</v>
      </c>
      <c r="Z1108" t="s">
        <v>3177</v>
      </c>
      <c r="AA1108" t="s">
        <v>86</v>
      </c>
      <c r="AB1108" t="s">
        <v>63</v>
      </c>
      <c r="AC1108" t="s">
        <v>86</v>
      </c>
    </row>
    <row r="1109" spans="1:29">
      <c r="A1109" t="s">
        <v>1525</v>
      </c>
      <c r="B1109" s="2">
        <v>46185</v>
      </c>
      <c r="C1109" t="s">
        <v>30</v>
      </c>
      <c r="D1109" t="s">
        <v>99</v>
      </c>
      <c r="E1109" t="s">
        <v>32</v>
      </c>
      <c r="F1109" t="s">
        <v>256</v>
      </c>
      <c r="G1109" t="s">
        <v>361</v>
      </c>
      <c r="H1109" t="s">
        <v>35</v>
      </c>
      <c r="I1109" t="s">
        <v>595</v>
      </c>
      <c r="J1109" t="s">
        <v>3128</v>
      </c>
      <c r="K1109" t="s">
        <v>92</v>
      </c>
      <c r="L1109" t="s">
        <v>150</v>
      </c>
      <c r="M1109" t="s">
        <v>93</v>
      </c>
      <c r="N1109" t="s">
        <v>40</v>
      </c>
      <c r="O1109" s="4">
        <v>2</v>
      </c>
      <c r="P1109" s="4">
        <v>4</v>
      </c>
      <c r="Q1109" t="s">
        <v>58</v>
      </c>
      <c r="R1109" s="2">
        <v>46181</v>
      </c>
      <c r="S1109" s="4">
        <v>22</v>
      </c>
      <c r="T1109" s="3">
        <v>107000000</v>
      </c>
      <c r="U1109" t="s">
        <v>42</v>
      </c>
      <c r="V1109" t="s">
        <v>59</v>
      </c>
      <c r="W1109" t="s">
        <v>44</v>
      </c>
      <c r="Y1109" t="s">
        <v>281</v>
      </c>
      <c r="Z1109" t="s">
        <v>3176</v>
      </c>
      <c r="AA1109" t="s">
        <v>46</v>
      </c>
      <c r="AB1109" t="s">
        <v>47</v>
      </c>
      <c r="AC1109" t="s">
        <v>46</v>
      </c>
    </row>
    <row r="1110" spans="1:29">
      <c r="A1110" t="s">
        <v>1526</v>
      </c>
      <c r="B1110" s="2">
        <v>46203</v>
      </c>
      <c r="C1110" t="s">
        <v>30</v>
      </c>
      <c r="D1110" t="s">
        <v>31</v>
      </c>
      <c r="E1110" t="s">
        <v>172</v>
      </c>
      <c r="F1110" t="s">
        <v>277</v>
      </c>
      <c r="G1110" t="s">
        <v>174</v>
      </c>
      <c r="H1110" t="s">
        <v>175</v>
      </c>
      <c r="I1110" t="s">
        <v>358</v>
      </c>
      <c r="J1110" t="s">
        <v>3062</v>
      </c>
      <c r="K1110" t="s">
        <v>56</v>
      </c>
      <c r="L1110" t="s">
        <v>80</v>
      </c>
      <c r="M1110" t="s">
        <v>93</v>
      </c>
      <c r="N1110" t="s">
        <v>130</v>
      </c>
      <c r="O1110" s="4">
        <v>5</v>
      </c>
      <c r="P1110" s="4">
        <v>6</v>
      </c>
      <c r="Q1110" t="s">
        <v>83</v>
      </c>
      <c r="R1110" s="2">
        <v>46202</v>
      </c>
      <c r="S1110" s="4">
        <v>1</v>
      </c>
      <c r="T1110" s="3">
        <v>384000000</v>
      </c>
      <c r="U1110" t="s">
        <v>42</v>
      </c>
      <c r="V1110" t="s">
        <v>70</v>
      </c>
      <c r="W1110" t="s">
        <v>252</v>
      </c>
      <c r="Y1110" t="s">
        <v>132</v>
      </c>
      <c r="Z1110" t="s">
        <v>3179</v>
      </c>
      <c r="AA1110" t="s">
        <v>181</v>
      </c>
      <c r="AB1110" t="s">
        <v>97</v>
      </c>
      <c r="AC1110" t="s">
        <v>181</v>
      </c>
    </row>
    <row r="1111" spans="1:29">
      <c r="A1111" t="s">
        <v>1527</v>
      </c>
      <c r="B1111" s="2">
        <v>46202</v>
      </c>
      <c r="C1111" t="s">
        <v>30</v>
      </c>
      <c r="D1111" t="s">
        <v>31</v>
      </c>
      <c r="E1111" t="s">
        <v>172</v>
      </c>
      <c r="F1111" t="s">
        <v>277</v>
      </c>
      <c r="G1111" t="s">
        <v>289</v>
      </c>
      <c r="H1111" t="s">
        <v>317</v>
      </c>
      <c r="I1111" t="s">
        <v>318</v>
      </c>
      <c r="J1111" t="s">
        <v>3050</v>
      </c>
      <c r="K1111" t="s">
        <v>56</v>
      </c>
      <c r="L1111" t="s">
        <v>187</v>
      </c>
      <c r="M1111" t="s">
        <v>81</v>
      </c>
      <c r="N1111" t="s">
        <v>94</v>
      </c>
      <c r="O1111" s="4">
        <v>4</v>
      </c>
      <c r="P1111" s="4">
        <v>4</v>
      </c>
      <c r="Q1111" t="s">
        <v>41</v>
      </c>
      <c r="R1111" s="2">
        <v>46192</v>
      </c>
      <c r="S1111" s="4">
        <v>11</v>
      </c>
      <c r="T1111" s="3">
        <v>466000000</v>
      </c>
      <c r="U1111" t="s">
        <v>42</v>
      </c>
      <c r="V1111" t="s">
        <v>59</v>
      </c>
      <c r="W1111" t="s">
        <v>95</v>
      </c>
      <c r="X1111" t="s">
        <v>253</v>
      </c>
      <c r="Y1111" t="s">
        <v>108</v>
      </c>
      <c r="Z1111" t="s">
        <v>3179</v>
      </c>
      <c r="AA1111" t="s">
        <v>181</v>
      </c>
      <c r="AB1111" t="s">
        <v>97</v>
      </c>
      <c r="AC1111" t="s">
        <v>181</v>
      </c>
    </row>
    <row r="1112" spans="1:29">
      <c r="A1112" t="s">
        <v>1528</v>
      </c>
      <c r="B1112" s="2">
        <v>46175</v>
      </c>
      <c r="C1112" t="s">
        <v>30</v>
      </c>
      <c r="D1112" t="s">
        <v>134</v>
      </c>
      <c r="E1112" t="s">
        <v>50</v>
      </c>
      <c r="F1112" t="s">
        <v>351</v>
      </c>
      <c r="G1112" t="s">
        <v>234</v>
      </c>
      <c r="H1112" t="s">
        <v>66</v>
      </c>
      <c r="I1112" t="s">
        <v>341</v>
      </c>
      <c r="J1112" t="s">
        <v>3056</v>
      </c>
      <c r="K1112" t="s">
        <v>56</v>
      </c>
      <c r="L1112" t="s">
        <v>187</v>
      </c>
      <c r="M1112" t="s">
        <v>81</v>
      </c>
      <c r="N1112" t="s">
        <v>213</v>
      </c>
      <c r="O1112" s="4">
        <v>6</v>
      </c>
      <c r="P1112" s="4">
        <v>14</v>
      </c>
      <c r="Q1112" t="s">
        <v>58</v>
      </c>
      <c r="R1112" s="2">
        <v>46166</v>
      </c>
      <c r="S1112" s="4">
        <v>37</v>
      </c>
      <c r="T1112" s="3">
        <v>232000000</v>
      </c>
      <c r="U1112" t="s">
        <v>214</v>
      </c>
      <c r="V1112" t="s">
        <v>143</v>
      </c>
      <c r="W1112" t="s">
        <v>215</v>
      </c>
      <c r="Y1112" t="s">
        <v>249</v>
      </c>
      <c r="Z1112" t="s">
        <v>3179</v>
      </c>
      <c r="AA1112" t="s">
        <v>62</v>
      </c>
      <c r="AB1112" t="s">
        <v>97</v>
      </c>
      <c r="AC1112" t="s">
        <v>62</v>
      </c>
    </row>
    <row r="1113" spans="1:29">
      <c r="A1113" t="s">
        <v>1529</v>
      </c>
      <c r="B1113" s="2">
        <v>46176</v>
      </c>
      <c r="C1113" t="s">
        <v>30</v>
      </c>
      <c r="D1113" t="s">
        <v>134</v>
      </c>
      <c r="E1113" t="s">
        <v>32</v>
      </c>
      <c r="F1113" t="s">
        <v>256</v>
      </c>
      <c r="G1113" t="s">
        <v>361</v>
      </c>
      <c r="H1113" t="s">
        <v>258</v>
      </c>
      <c r="I1113" t="s">
        <v>297</v>
      </c>
      <c r="J1113" t="s">
        <v>3044</v>
      </c>
      <c r="K1113" t="s">
        <v>37</v>
      </c>
      <c r="L1113" t="s">
        <v>68</v>
      </c>
      <c r="M1113" t="s">
        <v>129</v>
      </c>
      <c r="N1113" t="s">
        <v>82</v>
      </c>
      <c r="O1113" s="4">
        <v>1</v>
      </c>
      <c r="P1113" s="4">
        <v>2</v>
      </c>
      <c r="Q1113" t="s">
        <v>41</v>
      </c>
      <c r="R1113" s="2">
        <v>46172</v>
      </c>
      <c r="S1113" s="4">
        <v>31</v>
      </c>
      <c r="T1113" s="3">
        <v>249000000</v>
      </c>
      <c r="U1113" t="s">
        <v>42</v>
      </c>
      <c r="V1113" t="s">
        <v>43</v>
      </c>
      <c r="W1113" t="s">
        <v>359</v>
      </c>
      <c r="Y1113" t="s">
        <v>305</v>
      </c>
      <c r="Z1113" t="s">
        <v>3176</v>
      </c>
      <c r="AA1113" t="s">
        <v>46</v>
      </c>
      <c r="AB1113" t="s">
        <v>47</v>
      </c>
      <c r="AC1113" t="s">
        <v>46</v>
      </c>
    </row>
    <row r="1114" spans="1:29">
      <c r="A1114" t="s">
        <v>1530</v>
      </c>
      <c r="B1114" s="2">
        <v>46178</v>
      </c>
      <c r="C1114" t="s">
        <v>30</v>
      </c>
      <c r="D1114" t="s">
        <v>134</v>
      </c>
      <c r="E1114" t="s">
        <v>120</v>
      </c>
      <c r="F1114" t="s">
        <v>246</v>
      </c>
      <c r="G1114" t="s">
        <v>122</v>
      </c>
      <c r="H1114" t="s">
        <v>300</v>
      </c>
      <c r="I1114" t="s">
        <v>421</v>
      </c>
      <c r="J1114" t="s">
        <v>3080</v>
      </c>
      <c r="K1114" t="s">
        <v>92</v>
      </c>
      <c r="L1114" t="s">
        <v>187</v>
      </c>
      <c r="M1114" t="s">
        <v>106</v>
      </c>
      <c r="N1114" t="s">
        <v>57</v>
      </c>
      <c r="O1114" s="4">
        <v>3</v>
      </c>
      <c r="P1114" s="4">
        <v>7</v>
      </c>
      <c r="Q1114" t="s">
        <v>142</v>
      </c>
      <c r="R1114" s="2">
        <v>46172</v>
      </c>
      <c r="S1114" s="4">
        <v>31</v>
      </c>
      <c r="T1114" s="3">
        <v>80000000</v>
      </c>
      <c r="U1114" t="s">
        <v>42</v>
      </c>
      <c r="V1114" t="s">
        <v>59</v>
      </c>
      <c r="W1114" t="s">
        <v>157</v>
      </c>
      <c r="Y1114" t="s">
        <v>165</v>
      </c>
      <c r="Z1114" t="s">
        <v>3177</v>
      </c>
      <c r="AA1114" t="s">
        <v>97</v>
      </c>
      <c r="AB1114" t="s">
        <v>63</v>
      </c>
      <c r="AC1114" t="s">
        <v>97</v>
      </c>
    </row>
    <row r="1115" spans="1:29">
      <c r="A1115" t="s">
        <v>1531</v>
      </c>
      <c r="B1115" s="2">
        <v>46186</v>
      </c>
      <c r="C1115" t="s">
        <v>30</v>
      </c>
      <c r="D1115" t="s">
        <v>99</v>
      </c>
      <c r="E1115" t="s">
        <v>75</v>
      </c>
      <c r="F1115" t="s">
        <v>76</v>
      </c>
      <c r="G1115" t="s">
        <v>387</v>
      </c>
      <c r="H1115" t="s">
        <v>388</v>
      </c>
      <c r="I1115" t="s">
        <v>409</v>
      </c>
      <c r="J1115" t="s">
        <v>3076</v>
      </c>
      <c r="K1115" t="s">
        <v>37</v>
      </c>
      <c r="L1115" t="s">
        <v>55</v>
      </c>
      <c r="M1115" t="s">
        <v>39</v>
      </c>
      <c r="N1115" t="s">
        <v>40</v>
      </c>
      <c r="O1115" s="4">
        <v>2</v>
      </c>
      <c r="P1115" s="4">
        <v>5</v>
      </c>
      <c r="Q1115" t="s">
        <v>41</v>
      </c>
      <c r="R1115" s="2">
        <v>46179</v>
      </c>
      <c r="S1115" s="4">
        <v>24</v>
      </c>
      <c r="T1115" s="3">
        <v>167000000</v>
      </c>
      <c r="U1115" t="s">
        <v>42</v>
      </c>
      <c r="V1115" t="s">
        <v>43</v>
      </c>
      <c r="W1115" t="s">
        <v>44</v>
      </c>
      <c r="Y1115" t="s">
        <v>309</v>
      </c>
      <c r="Z1115" t="s">
        <v>3178</v>
      </c>
      <c r="AA1115" t="s">
        <v>86</v>
      </c>
      <c r="AB1115" t="s">
        <v>87</v>
      </c>
      <c r="AC1115" t="s">
        <v>86</v>
      </c>
    </row>
    <row r="1116" spans="1:29">
      <c r="A1116" t="s">
        <v>1532</v>
      </c>
      <c r="B1116" s="2">
        <v>46190</v>
      </c>
      <c r="C1116" t="s">
        <v>30</v>
      </c>
      <c r="D1116" t="s">
        <v>74</v>
      </c>
      <c r="E1116" t="s">
        <v>111</v>
      </c>
      <c r="F1116" t="s">
        <v>264</v>
      </c>
      <c r="G1116" t="s">
        <v>113</v>
      </c>
      <c r="H1116" t="s">
        <v>127</v>
      </c>
      <c r="I1116" t="s">
        <v>461</v>
      </c>
      <c r="J1116" t="s">
        <v>3094</v>
      </c>
      <c r="K1116" t="s">
        <v>37</v>
      </c>
      <c r="L1116" t="s">
        <v>169</v>
      </c>
      <c r="M1116" t="s">
        <v>81</v>
      </c>
      <c r="N1116" t="s">
        <v>94</v>
      </c>
      <c r="O1116" s="4">
        <v>4</v>
      </c>
      <c r="P1116" s="4">
        <v>9</v>
      </c>
      <c r="Q1116" t="s">
        <v>41</v>
      </c>
      <c r="R1116" s="2">
        <v>46188</v>
      </c>
      <c r="S1116" s="4">
        <v>15</v>
      </c>
      <c r="T1116" s="3">
        <v>161000000</v>
      </c>
      <c r="U1116" t="s">
        <v>42</v>
      </c>
      <c r="V1116" t="s">
        <v>59</v>
      </c>
      <c r="W1116" t="s">
        <v>267</v>
      </c>
      <c r="Y1116" t="s">
        <v>96</v>
      </c>
      <c r="Z1116" t="s">
        <v>3179</v>
      </c>
      <c r="AA1116" t="s">
        <v>118</v>
      </c>
      <c r="AB1116" t="s">
        <v>97</v>
      </c>
      <c r="AC1116" t="s">
        <v>118</v>
      </c>
    </row>
    <row r="1117" spans="1:29">
      <c r="A1117" t="s">
        <v>1533</v>
      </c>
      <c r="B1117" s="2">
        <v>46192</v>
      </c>
      <c r="C1117" t="s">
        <v>30</v>
      </c>
      <c r="D1117" t="s">
        <v>74</v>
      </c>
      <c r="E1117" t="s">
        <v>120</v>
      </c>
      <c r="F1117" t="s">
        <v>121</v>
      </c>
      <c r="G1117" t="s">
        <v>135</v>
      </c>
      <c r="H1117" t="s">
        <v>123</v>
      </c>
      <c r="I1117" t="s">
        <v>838</v>
      </c>
      <c r="J1117" t="s">
        <v>3160</v>
      </c>
      <c r="K1117" t="s">
        <v>56</v>
      </c>
      <c r="L1117" t="s">
        <v>55</v>
      </c>
      <c r="M1117" t="s">
        <v>56</v>
      </c>
      <c r="N1117" t="s">
        <v>130</v>
      </c>
      <c r="O1117" s="4">
        <v>5</v>
      </c>
      <c r="P1117" s="4">
        <v>14</v>
      </c>
      <c r="Q1117" t="s">
        <v>107</v>
      </c>
      <c r="R1117" s="2">
        <v>46192</v>
      </c>
      <c r="S1117" s="4">
        <v>11</v>
      </c>
      <c r="T1117" s="3">
        <v>253000000</v>
      </c>
      <c r="U1117" t="s">
        <v>42</v>
      </c>
      <c r="V1117" t="s">
        <v>143</v>
      </c>
      <c r="W1117" t="s">
        <v>144</v>
      </c>
      <c r="X1117" t="s">
        <v>253</v>
      </c>
      <c r="Y1117" t="s">
        <v>254</v>
      </c>
      <c r="Z1117" t="s">
        <v>3179</v>
      </c>
      <c r="AA1117" t="s">
        <v>97</v>
      </c>
      <c r="AB1117" t="s">
        <v>97</v>
      </c>
      <c r="AC1117" t="s">
        <v>97</v>
      </c>
    </row>
    <row r="1118" spans="1:29">
      <c r="A1118" t="s">
        <v>1534</v>
      </c>
      <c r="B1118" s="2">
        <v>46197</v>
      </c>
      <c r="C1118" t="s">
        <v>30</v>
      </c>
      <c r="D1118" t="s">
        <v>49</v>
      </c>
      <c r="E1118" t="s">
        <v>152</v>
      </c>
      <c r="F1118" t="s">
        <v>205</v>
      </c>
      <c r="G1118" t="s">
        <v>206</v>
      </c>
      <c r="H1118" t="s">
        <v>207</v>
      </c>
      <c r="I1118" t="s">
        <v>222</v>
      </c>
      <c r="J1118" t="s">
        <v>3029</v>
      </c>
      <c r="K1118" t="s">
        <v>37</v>
      </c>
      <c r="L1118" t="s">
        <v>38</v>
      </c>
      <c r="M1118" t="s">
        <v>56</v>
      </c>
      <c r="N1118" t="s">
        <v>82</v>
      </c>
      <c r="O1118" s="4">
        <v>1</v>
      </c>
      <c r="P1118" s="4">
        <v>15</v>
      </c>
      <c r="Q1118" t="s">
        <v>138</v>
      </c>
      <c r="R1118" s="2">
        <v>46197</v>
      </c>
      <c r="S1118" s="4">
        <v>6</v>
      </c>
      <c r="T1118" s="3">
        <v>220000000</v>
      </c>
      <c r="U1118" t="s">
        <v>42</v>
      </c>
      <c r="V1118" t="s">
        <v>43</v>
      </c>
      <c r="W1118" t="s">
        <v>84</v>
      </c>
      <c r="Y1118" t="s">
        <v>330</v>
      </c>
      <c r="Z1118" t="s">
        <v>3180</v>
      </c>
      <c r="AA1118" t="s">
        <v>159</v>
      </c>
      <c r="AB1118" t="s">
        <v>193</v>
      </c>
      <c r="AC1118" t="s">
        <v>159</v>
      </c>
    </row>
    <row r="1119" spans="1:29">
      <c r="A1119" t="s">
        <v>1535</v>
      </c>
      <c r="B1119" s="2">
        <v>46179</v>
      </c>
      <c r="C1119" t="s">
        <v>30</v>
      </c>
      <c r="D1119" t="s">
        <v>134</v>
      </c>
      <c r="E1119" t="s">
        <v>32</v>
      </c>
      <c r="F1119" t="s">
        <v>273</v>
      </c>
      <c r="G1119" t="s">
        <v>34</v>
      </c>
      <c r="H1119" t="s">
        <v>258</v>
      </c>
      <c r="I1119" t="s">
        <v>651</v>
      </c>
      <c r="J1119" t="s">
        <v>3141</v>
      </c>
      <c r="K1119" t="s">
        <v>105</v>
      </c>
      <c r="L1119" t="s">
        <v>55</v>
      </c>
      <c r="M1119" t="s">
        <v>39</v>
      </c>
      <c r="N1119" t="s">
        <v>94</v>
      </c>
      <c r="O1119" s="4">
        <v>4</v>
      </c>
      <c r="P1119" s="4">
        <v>2</v>
      </c>
      <c r="Q1119" t="s">
        <v>138</v>
      </c>
      <c r="R1119" s="2">
        <v>46170</v>
      </c>
      <c r="S1119" s="4">
        <v>33</v>
      </c>
      <c r="T1119" s="3">
        <v>187000000</v>
      </c>
      <c r="U1119" t="s">
        <v>42</v>
      </c>
      <c r="V1119" t="s">
        <v>59</v>
      </c>
      <c r="W1119" t="s">
        <v>170</v>
      </c>
      <c r="Y1119" t="s">
        <v>228</v>
      </c>
      <c r="Z1119" t="s">
        <v>3179</v>
      </c>
      <c r="AA1119" t="s">
        <v>46</v>
      </c>
      <c r="AB1119" t="s">
        <v>97</v>
      </c>
      <c r="AC1119" t="s">
        <v>46</v>
      </c>
    </row>
    <row r="1120" spans="1:29">
      <c r="A1120" t="s">
        <v>1536</v>
      </c>
      <c r="B1120" s="2">
        <v>46201</v>
      </c>
      <c r="C1120" t="s">
        <v>30</v>
      </c>
      <c r="D1120" t="s">
        <v>49</v>
      </c>
      <c r="E1120" t="s">
        <v>172</v>
      </c>
      <c r="F1120" t="s">
        <v>195</v>
      </c>
      <c r="G1120" t="s">
        <v>174</v>
      </c>
      <c r="H1120" t="s">
        <v>241</v>
      </c>
      <c r="I1120" t="s">
        <v>632</v>
      </c>
      <c r="J1120" t="s">
        <v>3136</v>
      </c>
      <c r="K1120" t="s">
        <v>56</v>
      </c>
      <c r="L1120" t="s">
        <v>38</v>
      </c>
      <c r="M1120" t="s">
        <v>56</v>
      </c>
      <c r="N1120" t="s">
        <v>57</v>
      </c>
      <c r="O1120" s="4">
        <v>3</v>
      </c>
      <c r="P1120" s="4">
        <v>7</v>
      </c>
      <c r="Q1120" t="s">
        <v>142</v>
      </c>
      <c r="R1120" s="2">
        <v>46192</v>
      </c>
      <c r="S1120" s="4">
        <v>11</v>
      </c>
      <c r="T1120" s="3">
        <v>229000000</v>
      </c>
      <c r="U1120" t="s">
        <v>42</v>
      </c>
      <c r="V1120" t="s">
        <v>59</v>
      </c>
      <c r="W1120" t="s">
        <v>203</v>
      </c>
      <c r="Y1120" t="s">
        <v>72</v>
      </c>
      <c r="Z1120" t="s">
        <v>3177</v>
      </c>
      <c r="AA1120" t="s">
        <v>181</v>
      </c>
      <c r="AB1120" t="s">
        <v>63</v>
      </c>
      <c r="AC1120" t="s">
        <v>181</v>
      </c>
    </row>
    <row r="1121" spans="1:29">
      <c r="A1121" t="s">
        <v>1537</v>
      </c>
      <c r="B1121" s="2">
        <v>46193</v>
      </c>
      <c r="C1121" t="s">
        <v>30</v>
      </c>
      <c r="D1121" t="s">
        <v>74</v>
      </c>
      <c r="E1121" t="s">
        <v>75</v>
      </c>
      <c r="F1121" t="s">
        <v>76</v>
      </c>
      <c r="G1121" t="s">
        <v>387</v>
      </c>
      <c r="H1121" t="s">
        <v>185</v>
      </c>
      <c r="I1121" t="s">
        <v>673</v>
      </c>
      <c r="J1121" t="s">
        <v>3146</v>
      </c>
      <c r="K1121" t="s">
        <v>116</v>
      </c>
      <c r="L1121" t="s">
        <v>38</v>
      </c>
      <c r="M1121" t="s">
        <v>164</v>
      </c>
      <c r="N1121" t="s">
        <v>57</v>
      </c>
      <c r="O1121" s="4">
        <v>3</v>
      </c>
      <c r="P1121" s="4">
        <v>8</v>
      </c>
      <c r="Q1121" t="s">
        <v>69</v>
      </c>
      <c r="R1121" s="2">
        <v>46186</v>
      </c>
      <c r="S1121" s="4">
        <v>17</v>
      </c>
      <c r="T1121" s="3">
        <v>58000000</v>
      </c>
      <c r="U1121" t="s">
        <v>42</v>
      </c>
      <c r="V1121" t="s">
        <v>43</v>
      </c>
      <c r="W1121" t="s">
        <v>71</v>
      </c>
      <c r="Y1121" t="s">
        <v>72</v>
      </c>
      <c r="Z1121" t="s">
        <v>3177</v>
      </c>
      <c r="AA1121" t="s">
        <v>86</v>
      </c>
      <c r="AB1121" t="s">
        <v>63</v>
      </c>
      <c r="AC1121" t="s">
        <v>86</v>
      </c>
    </row>
    <row r="1122" spans="1:29">
      <c r="A1122" t="s">
        <v>1538</v>
      </c>
      <c r="B1122" s="2">
        <v>46201</v>
      </c>
      <c r="C1122" t="s">
        <v>30</v>
      </c>
      <c r="D1122" t="s">
        <v>49</v>
      </c>
      <c r="E1122" t="s">
        <v>100</v>
      </c>
      <c r="F1122" t="s">
        <v>146</v>
      </c>
      <c r="G1122" t="s">
        <v>313</v>
      </c>
      <c r="H1122" t="s">
        <v>103</v>
      </c>
      <c r="I1122" t="s">
        <v>447</v>
      </c>
      <c r="J1122" t="s">
        <v>3088</v>
      </c>
      <c r="K1122" t="s">
        <v>56</v>
      </c>
      <c r="L1122" t="s">
        <v>169</v>
      </c>
      <c r="M1122" t="s">
        <v>56</v>
      </c>
      <c r="N1122" t="s">
        <v>130</v>
      </c>
      <c r="O1122" s="4">
        <v>5</v>
      </c>
      <c r="P1122" s="4">
        <v>18</v>
      </c>
      <c r="Q1122" t="s">
        <v>83</v>
      </c>
      <c r="R1122" s="2">
        <v>46199</v>
      </c>
      <c r="S1122" s="4">
        <v>4</v>
      </c>
      <c r="T1122" s="3">
        <v>227000000</v>
      </c>
      <c r="U1122" t="s">
        <v>42</v>
      </c>
      <c r="V1122" t="s">
        <v>70</v>
      </c>
      <c r="W1122" t="s">
        <v>144</v>
      </c>
      <c r="Y1122" t="s">
        <v>334</v>
      </c>
      <c r="Z1122" t="s">
        <v>3179</v>
      </c>
      <c r="AA1122" t="s">
        <v>109</v>
      </c>
      <c r="AB1122" t="s">
        <v>97</v>
      </c>
      <c r="AC1122" t="s">
        <v>109</v>
      </c>
    </row>
    <row r="1123" spans="1:29">
      <c r="A1123" t="s">
        <v>1539</v>
      </c>
      <c r="B1123" s="2">
        <v>46180</v>
      </c>
      <c r="C1123" t="s">
        <v>30</v>
      </c>
      <c r="D1123" t="s">
        <v>134</v>
      </c>
      <c r="E1123" t="s">
        <v>152</v>
      </c>
      <c r="F1123" t="s">
        <v>221</v>
      </c>
      <c r="G1123" t="s">
        <v>294</v>
      </c>
      <c r="H1123" t="s">
        <v>283</v>
      </c>
      <c r="I1123" t="s">
        <v>284</v>
      </c>
      <c r="J1123" t="s">
        <v>3041</v>
      </c>
      <c r="K1123" t="s">
        <v>105</v>
      </c>
      <c r="L1123" t="s">
        <v>187</v>
      </c>
      <c r="M1123" t="s">
        <v>106</v>
      </c>
      <c r="N1123" t="s">
        <v>82</v>
      </c>
      <c r="O1123" s="4">
        <v>1</v>
      </c>
      <c r="P1123" s="4">
        <v>16</v>
      </c>
      <c r="Q1123" t="s">
        <v>69</v>
      </c>
      <c r="R1123" s="2">
        <v>46173</v>
      </c>
      <c r="S1123" s="4">
        <v>30</v>
      </c>
      <c r="T1123" s="3">
        <v>262000000</v>
      </c>
      <c r="U1123" t="s">
        <v>260</v>
      </c>
      <c r="V1123" t="s">
        <v>43</v>
      </c>
      <c r="W1123" t="s">
        <v>84</v>
      </c>
      <c r="X1123" t="s">
        <v>179</v>
      </c>
      <c r="Y1123" t="s">
        <v>330</v>
      </c>
      <c r="Z1123" t="s">
        <v>3180</v>
      </c>
      <c r="AA1123" t="s">
        <v>159</v>
      </c>
      <c r="AB1123" t="s">
        <v>193</v>
      </c>
      <c r="AC1123" t="s">
        <v>159</v>
      </c>
    </row>
    <row r="1124" spans="1:29">
      <c r="A1124" t="s">
        <v>1540</v>
      </c>
      <c r="B1124" s="2">
        <v>46184</v>
      </c>
      <c r="C1124" t="s">
        <v>30</v>
      </c>
      <c r="D1124" t="s">
        <v>99</v>
      </c>
      <c r="E1124" t="s">
        <v>120</v>
      </c>
      <c r="F1124" t="s">
        <v>121</v>
      </c>
      <c r="G1124" t="s">
        <v>135</v>
      </c>
      <c r="H1124" t="s">
        <v>123</v>
      </c>
      <c r="I1124" t="s">
        <v>397</v>
      </c>
      <c r="J1124" t="s">
        <v>3073</v>
      </c>
      <c r="K1124" t="s">
        <v>37</v>
      </c>
      <c r="L1124" t="s">
        <v>68</v>
      </c>
      <c r="M1124" t="s">
        <v>93</v>
      </c>
      <c r="N1124" t="s">
        <v>94</v>
      </c>
      <c r="O1124" s="4">
        <v>4</v>
      </c>
      <c r="P1124" s="4">
        <v>12</v>
      </c>
      <c r="Q1124" t="s">
        <v>41</v>
      </c>
      <c r="R1124" s="2">
        <v>46175</v>
      </c>
      <c r="S1124" s="4">
        <v>28</v>
      </c>
      <c r="T1124" s="3">
        <v>72000000</v>
      </c>
      <c r="U1124" t="s">
        <v>42</v>
      </c>
      <c r="V1124" t="s">
        <v>59</v>
      </c>
      <c r="W1124" t="s">
        <v>188</v>
      </c>
      <c r="Y1124" t="s">
        <v>108</v>
      </c>
      <c r="Z1124" t="s">
        <v>3179</v>
      </c>
      <c r="AA1124" t="s">
        <v>97</v>
      </c>
      <c r="AB1124" t="s">
        <v>97</v>
      </c>
      <c r="AC1124" t="s">
        <v>97</v>
      </c>
    </row>
    <row r="1125" spans="1:29">
      <c r="A1125" t="s">
        <v>1541</v>
      </c>
      <c r="B1125" s="2">
        <v>46178</v>
      </c>
      <c r="C1125" t="s">
        <v>30</v>
      </c>
      <c r="D1125" t="s">
        <v>134</v>
      </c>
      <c r="E1125" t="s">
        <v>152</v>
      </c>
      <c r="F1125" t="s">
        <v>221</v>
      </c>
      <c r="G1125" t="s">
        <v>154</v>
      </c>
      <c r="H1125" t="s">
        <v>283</v>
      </c>
      <c r="I1125" t="s">
        <v>663</v>
      </c>
      <c r="J1125" t="s">
        <v>3145</v>
      </c>
      <c r="K1125" t="s">
        <v>116</v>
      </c>
      <c r="L1125" t="s">
        <v>80</v>
      </c>
      <c r="M1125" t="s">
        <v>81</v>
      </c>
      <c r="N1125" t="s">
        <v>57</v>
      </c>
      <c r="O1125" s="4">
        <v>3</v>
      </c>
      <c r="P1125" s="4">
        <v>11</v>
      </c>
      <c r="Q1125" t="s">
        <v>69</v>
      </c>
      <c r="R1125" s="2">
        <v>46169</v>
      </c>
      <c r="S1125" s="4">
        <v>34</v>
      </c>
      <c r="T1125" s="3">
        <v>130000000</v>
      </c>
      <c r="U1125" t="s">
        <v>42</v>
      </c>
      <c r="V1125" t="s">
        <v>59</v>
      </c>
      <c r="W1125" t="s">
        <v>203</v>
      </c>
      <c r="Y1125" t="s">
        <v>158</v>
      </c>
      <c r="Z1125" t="s">
        <v>3177</v>
      </c>
      <c r="AA1125" t="s">
        <v>159</v>
      </c>
      <c r="AB1125" t="s">
        <v>63</v>
      </c>
      <c r="AC1125" t="s">
        <v>159</v>
      </c>
    </row>
    <row r="1126" spans="1:29">
      <c r="A1126" t="s">
        <v>1542</v>
      </c>
      <c r="B1126" s="2">
        <v>46200</v>
      </c>
      <c r="C1126" t="s">
        <v>30</v>
      </c>
      <c r="D1126" t="s">
        <v>49</v>
      </c>
      <c r="E1126" t="s">
        <v>50</v>
      </c>
      <c r="F1126" t="s">
        <v>51</v>
      </c>
      <c r="G1126" t="s">
        <v>52</v>
      </c>
      <c r="H1126" t="s">
        <v>66</v>
      </c>
      <c r="I1126" t="s">
        <v>902</v>
      </c>
      <c r="J1126" t="s">
        <v>3165</v>
      </c>
      <c r="K1126" t="s">
        <v>56</v>
      </c>
      <c r="L1126" t="s">
        <v>150</v>
      </c>
      <c r="M1126" t="s">
        <v>93</v>
      </c>
      <c r="N1126" t="s">
        <v>94</v>
      </c>
      <c r="O1126" s="4">
        <v>4</v>
      </c>
      <c r="P1126" s="4">
        <v>11</v>
      </c>
      <c r="Q1126" t="s">
        <v>58</v>
      </c>
      <c r="R1126" s="2">
        <v>46193</v>
      </c>
      <c r="S1126" s="4">
        <v>10</v>
      </c>
      <c r="T1126" s="3">
        <v>115000000</v>
      </c>
      <c r="U1126" t="s">
        <v>42</v>
      </c>
      <c r="V1126" t="s">
        <v>59</v>
      </c>
      <c r="W1126" t="s">
        <v>188</v>
      </c>
      <c r="Y1126" t="s">
        <v>228</v>
      </c>
      <c r="Z1126" t="s">
        <v>3179</v>
      </c>
      <c r="AA1126" t="s">
        <v>62</v>
      </c>
      <c r="AB1126" t="s">
        <v>97</v>
      </c>
      <c r="AC1126" t="s">
        <v>62</v>
      </c>
    </row>
    <row r="1127" spans="1:29">
      <c r="A1127" t="s">
        <v>1543</v>
      </c>
      <c r="B1127" s="2">
        <v>46195</v>
      </c>
      <c r="C1127" t="s">
        <v>30</v>
      </c>
      <c r="D1127" t="s">
        <v>49</v>
      </c>
      <c r="E1127" t="s">
        <v>75</v>
      </c>
      <c r="F1127" t="s">
        <v>76</v>
      </c>
      <c r="G1127" t="s">
        <v>387</v>
      </c>
      <c r="H1127" t="s">
        <v>388</v>
      </c>
      <c r="I1127" t="s">
        <v>540</v>
      </c>
      <c r="J1127" t="s">
        <v>3114</v>
      </c>
      <c r="K1127" t="s">
        <v>37</v>
      </c>
      <c r="L1127" t="s">
        <v>80</v>
      </c>
      <c r="M1127" t="s">
        <v>56</v>
      </c>
      <c r="N1127" t="s">
        <v>130</v>
      </c>
      <c r="O1127" s="4">
        <v>5</v>
      </c>
      <c r="P1127" s="4">
        <v>11</v>
      </c>
      <c r="Q1127" t="s">
        <v>58</v>
      </c>
      <c r="R1127" s="2">
        <v>46185</v>
      </c>
      <c r="S1127" s="4">
        <v>18</v>
      </c>
      <c r="T1127" s="3">
        <v>119000000</v>
      </c>
      <c r="U1127" t="s">
        <v>42</v>
      </c>
      <c r="V1127" t="s">
        <v>70</v>
      </c>
      <c r="W1127" t="s">
        <v>252</v>
      </c>
      <c r="Y1127" t="s">
        <v>334</v>
      </c>
      <c r="Z1127" t="s">
        <v>3179</v>
      </c>
      <c r="AA1127" t="s">
        <v>86</v>
      </c>
      <c r="AB1127" t="s">
        <v>97</v>
      </c>
      <c r="AC1127" t="s">
        <v>86</v>
      </c>
    </row>
    <row r="1128" spans="1:29">
      <c r="A1128" t="s">
        <v>1544</v>
      </c>
      <c r="B1128" s="2">
        <v>46192</v>
      </c>
      <c r="C1128" t="s">
        <v>30</v>
      </c>
      <c r="D1128" t="s">
        <v>74</v>
      </c>
      <c r="E1128" t="s">
        <v>100</v>
      </c>
      <c r="F1128" t="s">
        <v>146</v>
      </c>
      <c r="G1128" t="s">
        <v>147</v>
      </c>
      <c r="H1128" t="s">
        <v>201</v>
      </c>
      <c r="I1128" t="s">
        <v>202</v>
      </c>
      <c r="J1128" t="s">
        <v>3026</v>
      </c>
      <c r="K1128" t="s">
        <v>105</v>
      </c>
      <c r="L1128" t="s">
        <v>38</v>
      </c>
      <c r="M1128" t="s">
        <v>164</v>
      </c>
      <c r="N1128" t="s">
        <v>57</v>
      </c>
      <c r="O1128" s="4">
        <v>3</v>
      </c>
      <c r="P1128" s="4">
        <v>11</v>
      </c>
      <c r="Q1128" t="s">
        <v>107</v>
      </c>
      <c r="R1128" s="2">
        <v>46185</v>
      </c>
      <c r="S1128" s="4">
        <v>18</v>
      </c>
      <c r="T1128" s="3">
        <v>215000000</v>
      </c>
      <c r="U1128" t="s">
        <v>260</v>
      </c>
      <c r="V1128" t="s">
        <v>59</v>
      </c>
      <c r="W1128" t="s">
        <v>71</v>
      </c>
      <c r="X1128" t="s">
        <v>520</v>
      </c>
      <c r="Y1128" t="s">
        <v>158</v>
      </c>
      <c r="Z1128" t="s">
        <v>3177</v>
      </c>
      <c r="AA1128" t="s">
        <v>109</v>
      </c>
      <c r="AB1128" t="s">
        <v>63</v>
      </c>
      <c r="AC1128" t="s">
        <v>109</v>
      </c>
    </row>
    <row r="1129" spans="1:29">
      <c r="A1129" t="s">
        <v>1545</v>
      </c>
      <c r="B1129" s="2">
        <v>46183</v>
      </c>
      <c r="C1129" t="s">
        <v>30</v>
      </c>
      <c r="D1129" t="s">
        <v>99</v>
      </c>
      <c r="E1129" t="s">
        <v>32</v>
      </c>
      <c r="F1129" t="s">
        <v>33</v>
      </c>
      <c r="G1129" t="s">
        <v>218</v>
      </c>
      <c r="H1129" t="s">
        <v>35</v>
      </c>
      <c r="I1129" t="s">
        <v>36</v>
      </c>
      <c r="J1129" t="s">
        <v>3008</v>
      </c>
      <c r="K1129" t="s">
        <v>56</v>
      </c>
      <c r="L1129" t="s">
        <v>80</v>
      </c>
      <c r="M1129" t="s">
        <v>129</v>
      </c>
      <c r="N1129" t="s">
        <v>94</v>
      </c>
      <c r="O1129" s="4">
        <v>4</v>
      </c>
      <c r="P1129" s="4">
        <v>4</v>
      </c>
      <c r="Q1129" t="s">
        <v>138</v>
      </c>
      <c r="R1129" s="2">
        <v>46179</v>
      </c>
      <c r="S1129" s="4">
        <v>24</v>
      </c>
      <c r="T1129" s="3">
        <v>277000000</v>
      </c>
      <c r="U1129" t="s">
        <v>42</v>
      </c>
      <c r="V1129" t="s">
        <v>143</v>
      </c>
      <c r="W1129" t="s">
        <v>170</v>
      </c>
      <c r="Y1129" t="s">
        <v>268</v>
      </c>
      <c r="Z1129" t="s">
        <v>3179</v>
      </c>
      <c r="AA1129" t="s">
        <v>46</v>
      </c>
      <c r="AB1129" t="s">
        <v>97</v>
      </c>
      <c r="AC1129" t="s">
        <v>46</v>
      </c>
    </row>
    <row r="1130" spans="1:29">
      <c r="A1130" t="s">
        <v>1546</v>
      </c>
      <c r="B1130" s="2">
        <v>46201</v>
      </c>
      <c r="C1130" t="s">
        <v>30</v>
      </c>
      <c r="D1130" t="s">
        <v>49</v>
      </c>
      <c r="E1130" t="s">
        <v>50</v>
      </c>
      <c r="F1130" t="s">
        <v>351</v>
      </c>
      <c r="G1130" t="s">
        <v>270</v>
      </c>
      <c r="H1130" t="s">
        <v>90</v>
      </c>
      <c r="I1130" t="s">
        <v>585</v>
      </c>
      <c r="J1130" t="s">
        <v>3126</v>
      </c>
      <c r="K1130" t="s">
        <v>105</v>
      </c>
      <c r="L1130" t="s">
        <v>80</v>
      </c>
      <c r="M1130" t="s">
        <v>81</v>
      </c>
      <c r="N1130" t="s">
        <v>196</v>
      </c>
      <c r="O1130" s="4">
        <v>7</v>
      </c>
      <c r="P1130" s="4">
        <v>16</v>
      </c>
      <c r="Q1130" t="s">
        <v>83</v>
      </c>
      <c r="R1130" s="2">
        <v>46195</v>
      </c>
      <c r="S1130" s="4">
        <v>8</v>
      </c>
      <c r="T1130" s="3">
        <v>299000000</v>
      </c>
      <c r="U1130" t="s">
        <v>564</v>
      </c>
      <c r="V1130" t="s">
        <v>70</v>
      </c>
      <c r="W1130" t="s">
        <v>243</v>
      </c>
      <c r="Y1130" t="s">
        <v>369</v>
      </c>
      <c r="Z1130" t="s">
        <v>3181</v>
      </c>
      <c r="AA1130" t="s">
        <v>62</v>
      </c>
      <c r="AB1130" t="s">
        <v>199</v>
      </c>
      <c r="AC1130" t="s">
        <v>62</v>
      </c>
    </row>
    <row r="1131" spans="1:29">
      <c r="A1131" t="s">
        <v>1547</v>
      </c>
      <c r="B1131" s="2">
        <v>46193</v>
      </c>
      <c r="C1131" t="s">
        <v>30</v>
      </c>
      <c r="D1131" t="s">
        <v>74</v>
      </c>
      <c r="E1131" t="s">
        <v>100</v>
      </c>
      <c r="F1131" t="s">
        <v>146</v>
      </c>
      <c r="G1131" t="s">
        <v>147</v>
      </c>
      <c r="H1131" t="s">
        <v>103</v>
      </c>
      <c r="I1131" t="s">
        <v>436</v>
      </c>
      <c r="J1131" t="s">
        <v>3084</v>
      </c>
      <c r="K1131" t="s">
        <v>56</v>
      </c>
      <c r="L1131" t="s">
        <v>150</v>
      </c>
      <c r="M1131" t="s">
        <v>129</v>
      </c>
      <c r="N1131" t="s">
        <v>82</v>
      </c>
      <c r="O1131" s="4">
        <v>1</v>
      </c>
      <c r="P1131" s="4">
        <v>9</v>
      </c>
      <c r="Q1131" t="s">
        <v>69</v>
      </c>
      <c r="R1131" s="2">
        <v>46189</v>
      </c>
      <c r="S1131" s="4">
        <v>14</v>
      </c>
      <c r="T1131" s="3">
        <v>429000000</v>
      </c>
      <c r="U1131" t="s">
        <v>42</v>
      </c>
      <c r="V1131" t="s">
        <v>43</v>
      </c>
      <c r="W1131" t="s">
        <v>359</v>
      </c>
      <c r="Y1131" t="s">
        <v>291</v>
      </c>
      <c r="Z1131" t="s">
        <v>3178</v>
      </c>
      <c r="AA1131" t="s">
        <v>109</v>
      </c>
      <c r="AB1131" t="s">
        <v>87</v>
      </c>
      <c r="AC1131" t="s">
        <v>109</v>
      </c>
    </row>
    <row r="1132" spans="1:29">
      <c r="A1132" t="s">
        <v>1548</v>
      </c>
      <c r="B1132" s="2">
        <v>46197</v>
      </c>
      <c r="C1132" t="s">
        <v>30</v>
      </c>
      <c r="D1132" t="s">
        <v>49</v>
      </c>
      <c r="E1132" t="s">
        <v>120</v>
      </c>
      <c r="F1132" t="s">
        <v>167</v>
      </c>
      <c r="G1132" t="s">
        <v>227</v>
      </c>
      <c r="H1132" t="s">
        <v>300</v>
      </c>
      <c r="I1132" t="s">
        <v>830</v>
      </c>
      <c r="J1132" t="s">
        <v>3159</v>
      </c>
      <c r="K1132" t="s">
        <v>56</v>
      </c>
      <c r="L1132" t="s">
        <v>187</v>
      </c>
      <c r="M1132" t="s">
        <v>81</v>
      </c>
      <c r="N1132" t="s">
        <v>130</v>
      </c>
      <c r="O1132" s="4">
        <v>5</v>
      </c>
      <c r="P1132" s="4">
        <v>8</v>
      </c>
      <c r="Q1132" t="s">
        <v>107</v>
      </c>
      <c r="R1132" s="2">
        <v>46197</v>
      </c>
      <c r="S1132" s="4">
        <v>6</v>
      </c>
      <c r="T1132" s="3">
        <v>325000000</v>
      </c>
      <c r="U1132" t="s">
        <v>42</v>
      </c>
      <c r="V1132" t="s">
        <v>143</v>
      </c>
      <c r="W1132" t="s">
        <v>144</v>
      </c>
      <c r="Y1132" t="s">
        <v>334</v>
      </c>
      <c r="Z1132" t="s">
        <v>3179</v>
      </c>
      <c r="AA1132" t="s">
        <v>97</v>
      </c>
      <c r="AB1132" t="s">
        <v>97</v>
      </c>
      <c r="AC1132" t="s">
        <v>97</v>
      </c>
    </row>
    <row r="1133" spans="1:29">
      <c r="A1133" t="s">
        <v>1549</v>
      </c>
      <c r="B1133" s="2">
        <v>46185</v>
      </c>
      <c r="C1133" t="s">
        <v>30</v>
      </c>
      <c r="D1133" t="s">
        <v>99</v>
      </c>
      <c r="E1133" t="s">
        <v>152</v>
      </c>
      <c r="F1133" t="s">
        <v>221</v>
      </c>
      <c r="G1133" t="s">
        <v>328</v>
      </c>
      <c r="H1133" t="s">
        <v>155</v>
      </c>
      <c r="I1133" t="s">
        <v>537</v>
      </c>
      <c r="J1133" t="s">
        <v>3113</v>
      </c>
      <c r="K1133" t="s">
        <v>92</v>
      </c>
      <c r="L1133" t="s">
        <v>68</v>
      </c>
      <c r="M1133" t="s">
        <v>39</v>
      </c>
      <c r="N1133" t="s">
        <v>40</v>
      </c>
      <c r="O1133" s="4">
        <v>2</v>
      </c>
      <c r="P1133" s="4">
        <v>16</v>
      </c>
      <c r="Q1133" t="s">
        <v>142</v>
      </c>
      <c r="R1133" s="2">
        <v>46175</v>
      </c>
      <c r="S1133" s="4">
        <v>28</v>
      </c>
      <c r="T1133" s="3">
        <v>42000000</v>
      </c>
      <c r="U1133" t="s">
        <v>42</v>
      </c>
      <c r="V1133" t="s">
        <v>43</v>
      </c>
      <c r="W1133" t="s">
        <v>44</v>
      </c>
      <c r="Y1133" t="s">
        <v>281</v>
      </c>
      <c r="Z1133" t="s">
        <v>3180</v>
      </c>
      <c r="AA1133" t="s">
        <v>159</v>
      </c>
      <c r="AB1133" t="s">
        <v>193</v>
      </c>
      <c r="AC1133" t="s">
        <v>159</v>
      </c>
    </row>
    <row r="1134" spans="1:29">
      <c r="A1134" t="s">
        <v>1550</v>
      </c>
      <c r="B1134" s="2">
        <v>46178</v>
      </c>
      <c r="C1134" t="s">
        <v>30</v>
      </c>
      <c r="D1134" t="s">
        <v>134</v>
      </c>
      <c r="E1134" t="s">
        <v>75</v>
      </c>
      <c r="F1134" t="s">
        <v>183</v>
      </c>
      <c r="G1134" t="s">
        <v>77</v>
      </c>
      <c r="H1134" t="s">
        <v>185</v>
      </c>
      <c r="I1134" t="s">
        <v>721</v>
      </c>
      <c r="J1134" t="s">
        <v>3147</v>
      </c>
      <c r="K1134" t="s">
        <v>92</v>
      </c>
      <c r="L1134" t="s">
        <v>187</v>
      </c>
      <c r="M1134" t="s">
        <v>129</v>
      </c>
      <c r="N1134" t="s">
        <v>57</v>
      </c>
      <c r="O1134" s="4">
        <v>3</v>
      </c>
      <c r="P1134" s="4">
        <v>8</v>
      </c>
      <c r="Q1134" t="s">
        <v>83</v>
      </c>
      <c r="R1134" s="2">
        <v>46171</v>
      </c>
      <c r="S1134" s="4">
        <v>32</v>
      </c>
      <c r="T1134" s="3">
        <v>108000000</v>
      </c>
      <c r="U1134" t="s">
        <v>42</v>
      </c>
      <c r="V1134" t="s">
        <v>59</v>
      </c>
      <c r="W1134" t="s">
        <v>203</v>
      </c>
      <c r="Y1134" t="s">
        <v>72</v>
      </c>
      <c r="Z1134" t="s">
        <v>3177</v>
      </c>
      <c r="AA1134" t="s">
        <v>86</v>
      </c>
      <c r="AB1134" t="s">
        <v>63</v>
      </c>
      <c r="AC1134" t="s">
        <v>86</v>
      </c>
    </row>
    <row r="1135" spans="1:29">
      <c r="A1135" t="s">
        <v>1551</v>
      </c>
      <c r="B1135" s="2">
        <v>46200</v>
      </c>
      <c r="C1135" t="s">
        <v>30</v>
      </c>
      <c r="D1135" t="s">
        <v>49</v>
      </c>
      <c r="E1135" t="s">
        <v>50</v>
      </c>
      <c r="F1135" t="s">
        <v>89</v>
      </c>
      <c r="G1135" t="s">
        <v>234</v>
      </c>
      <c r="H1135" t="s">
        <v>66</v>
      </c>
      <c r="I1135" t="s">
        <v>341</v>
      </c>
      <c r="J1135" t="s">
        <v>3056</v>
      </c>
      <c r="K1135" t="s">
        <v>92</v>
      </c>
      <c r="L1135" t="s">
        <v>187</v>
      </c>
      <c r="M1135" t="s">
        <v>93</v>
      </c>
      <c r="N1135" t="s">
        <v>57</v>
      </c>
      <c r="O1135" s="4">
        <v>3</v>
      </c>
      <c r="P1135" s="4">
        <v>7</v>
      </c>
      <c r="Q1135" t="s">
        <v>41</v>
      </c>
      <c r="R1135" s="2">
        <v>46196</v>
      </c>
      <c r="S1135" s="4">
        <v>7</v>
      </c>
      <c r="T1135" s="3">
        <v>149000000</v>
      </c>
      <c r="U1135" t="s">
        <v>177</v>
      </c>
      <c r="V1135" t="s">
        <v>59</v>
      </c>
      <c r="W1135" t="s">
        <v>71</v>
      </c>
      <c r="X1135" t="s">
        <v>520</v>
      </c>
      <c r="Y1135" t="s">
        <v>158</v>
      </c>
      <c r="Z1135" t="s">
        <v>3177</v>
      </c>
      <c r="AA1135" t="s">
        <v>62</v>
      </c>
      <c r="AB1135" t="s">
        <v>63</v>
      </c>
      <c r="AC1135" t="s">
        <v>62</v>
      </c>
    </row>
    <row r="1136" spans="1:29">
      <c r="A1136" t="s">
        <v>1552</v>
      </c>
      <c r="B1136" s="2">
        <v>46176</v>
      </c>
      <c r="C1136" t="s">
        <v>30</v>
      </c>
      <c r="D1136" t="s">
        <v>134</v>
      </c>
      <c r="E1136" t="s">
        <v>152</v>
      </c>
      <c r="F1136" t="s">
        <v>221</v>
      </c>
      <c r="G1136" t="s">
        <v>206</v>
      </c>
      <c r="H1136" t="s">
        <v>155</v>
      </c>
      <c r="I1136" t="s">
        <v>537</v>
      </c>
      <c r="J1136" t="s">
        <v>3113</v>
      </c>
      <c r="K1136" t="s">
        <v>56</v>
      </c>
      <c r="L1136" t="s">
        <v>150</v>
      </c>
      <c r="M1136" t="s">
        <v>56</v>
      </c>
      <c r="N1136" t="s">
        <v>94</v>
      </c>
      <c r="O1136" s="4">
        <v>4</v>
      </c>
      <c r="P1136" s="4">
        <v>17</v>
      </c>
      <c r="Q1136" t="s">
        <v>107</v>
      </c>
      <c r="R1136" s="2">
        <v>46169</v>
      </c>
      <c r="S1136" s="4">
        <v>34</v>
      </c>
      <c r="T1136" s="3">
        <v>262000000</v>
      </c>
      <c r="U1136" t="s">
        <v>42</v>
      </c>
      <c r="V1136" t="s">
        <v>59</v>
      </c>
      <c r="W1136" t="s">
        <v>170</v>
      </c>
      <c r="Y1136" t="s">
        <v>228</v>
      </c>
      <c r="Z1136" t="s">
        <v>3179</v>
      </c>
      <c r="AA1136" t="s">
        <v>159</v>
      </c>
      <c r="AB1136" t="s">
        <v>97</v>
      </c>
      <c r="AC1136" t="s">
        <v>159</v>
      </c>
    </row>
    <row r="1137" spans="1:29">
      <c r="A1137" t="s">
        <v>1553</v>
      </c>
      <c r="B1137" s="2">
        <v>46185</v>
      </c>
      <c r="C1137" t="s">
        <v>30</v>
      </c>
      <c r="D1137" t="s">
        <v>99</v>
      </c>
      <c r="E1137" t="s">
        <v>152</v>
      </c>
      <c r="F1137" t="s">
        <v>205</v>
      </c>
      <c r="G1137" t="s">
        <v>206</v>
      </c>
      <c r="H1137" t="s">
        <v>283</v>
      </c>
      <c r="I1137" t="s">
        <v>393</v>
      </c>
      <c r="J1137" t="s">
        <v>3072</v>
      </c>
      <c r="K1137" t="s">
        <v>92</v>
      </c>
      <c r="L1137" t="s">
        <v>38</v>
      </c>
      <c r="M1137" t="s">
        <v>39</v>
      </c>
      <c r="N1137" t="s">
        <v>94</v>
      </c>
      <c r="O1137" s="4">
        <v>4</v>
      </c>
      <c r="P1137" s="4">
        <v>9</v>
      </c>
      <c r="Q1137" t="s">
        <v>138</v>
      </c>
      <c r="R1137" s="2">
        <v>46179</v>
      </c>
      <c r="S1137" s="4">
        <v>24</v>
      </c>
      <c r="T1137" s="3">
        <v>117000000</v>
      </c>
      <c r="U1137" t="s">
        <v>260</v>
      </c>
      <c r="V1137" t="s">
        <v>59</v>
      </c>
      <c r="W1137" t="s">
        <v>95</v>
      </c>
      <c r="X1137" t="s">
        <v>520</v>
      </c>
      <c r="Y1137" t="s">
        <v>228</v>
      </c>
      <c r="Z1137" t="s">
        <v>3179</v>
      </c>
      <c r="AA1137" t="s">
        <v>159</v>
      </c>
      <c r="AB1137" t="s">
        <v>97</v>
      </c>
      <c r="AC1137" t="s">
        <v>159</v>
      </c>
    </row>
    <row r="1138" spans="1:29">
      <c r="A1138" t="s">
        <v>1554</v>
      </c>
      <c r="B1138" s="2">
        <v>46181</v>
      </c>
      <c r="C1138" t="s">
        <v>30</v>
      </c>
      <c r="D1138" t="s">
        <v>99</v>
      </c>
      <c r="E1138" t="s">
        <v>152</v>
      </c>
      <c r="F1138" t="s">
        <v>221</v>
      </c>
      <c r="G1138" t="s">
        <v>286</v>
      </c>
      <c r="H1138" t="s">
        <v>155</v>
      </c>
      <c r="I1138" t="s">
        <v>156</v>
      </c>
      <c r="J1138" t="s">
        <v>3020</v>
      </c>
      <c r="K1138" t="s">
        <v>92</v>
      </c>
      <c r="L1138" t="s">
        <v>38</v>
      </c>
      <c r="M1138" t="s">
        <v>164</v>
      </c>
      <c r="N1138" t="s">
        <v>40</v>
      </c>
      <c r="O1138" s="4">
        <v>2</v>
      </c>
      <c r="P1138" s="4">
        <v>15</v>
      </c>
      <c r="Q1138" t="s">
        <v>58</v>
      </c>
      <c r="R1138" s="2">
        <v>46172</v>
      </c>
      <c r="S1138" s="4">
        <v>31</v>
      </c>
      <c r="T1138" s="3">
        <v>61000000</v>
      </c>
      <c r="U1138" t="s">
        <v>42</v>
      </c>
      <c r="V1138" t="s">
        <v>43</v>
      </c>
      <c r="W1138" t="s">
        <v>44</v>
      </c>
      <c r="Y1138" t="s">
        <v>309</v>
      </c>
      <c r="Z1138" t="s">
        <v>3180</v>
      </c>
      <c r="AA1138" t="s">
        <v>159</v>
      </c>
      <c r="AB1138" t="s">
        <v>193</v>
      </c>
      <c r="AC1138" t="s">
        <v>159</v>
      </c>
    </row>
    <row r="1139" spans="1:29">
      <c r="A1139" t="s">
        <v>1555</v>
      </c>
      <c r="B1139" s="2">
        <v>46199</v>
      </c>
      <c r="C1139" t="s">
        <v>30</v>
      </c>
      <c r="D1139" t="s">
        <v>49</v>
      </c>
      <c r="E1139" t="s">
        <v>152</v>
      </c>
      <c r="F1139" t="s">
        <v>205</v>
      </c>
      <c r="G1139" t="s">
        <v>154</v>
      </c>
      <c r="H1139" t="s">
        <v>207</v>
      </c>
      <c r="I1139" t="s">
        <v>222</v>
      </c>
      <c r="J1139" t="s">
        <v>3029</v>
      </c>
      <c r="K1139" t="s">
        <v>37</v>
      </c>
      <c r="L1139" t="s">
        <v>187</v>
      </c>
      <c r="M1139" t="s">
        <v>39</v>
      </c>
      <c r="N1139" t="s">
        <v>213</v>
      </c>
      <c r="O1139" s="4">
        <v>6</v>
      </c>
      <c r="P1139" s="4">
        <v>17</v>
      </c>
      <c r="Q1139" t="s">
        <v>107</v>
      </c>
      <c r="R1139" s="2">
        <v>46196</v>
      </c>
      <c r="S1139" s="4">
        <v>7</v>
      </c>
      <c r="T1139" s="3">
        <v>228000000</v>
      </c>
      <c r="U1139" t="s">
        <v>42</v>
      </c>
      <c r="V1139" t="s">
        <v>70</v>
      </c>
      <c r="W1139" t="s">
        <v>215</v>
      </c>
      <c r="Y1139" t="s">
        <v>249</v>
      </c>
      <c r="Z1139" t="s">
        <v>3179</v>
      </c>
      <c r="AA1139" t="s">
        <v>159</v>
      </c>
      <c r="AB1139" t="s">
        <v>97</v>
      </c>
      <c r="AC1139" t="s">
        <v>159</v>
      </c>
    </row>
    <row r="1140" spans="1:29">
      <c r="A1140" t="s">
        <v>1556</v>
      </c>
      <c r="B1140" s="2">
        <v>46189</v>
      </c>
      <c r="C1140" t="s">
        <v>30</v>
      </c>
      <c r="D1140" t="s">
        <v>74</v>
      </c>
      <c r="E1140" t="s">
        <v>100</v>
      </c>
      <c r="F1140" t="s">
        <v>101</v>
      </c>
      <c r="G1140" t="s">
        <v>237</v>
      </c>
      <c r="H1140" t="s">
        <v>201</v>
      </c>
      <c r="I1140" t="s">
        <v>238</v>
      </c>
      <c r="J1140" t="s">
        <v>3033</v>
      </c>
      <c r="K1140" t="s">
        <v>37</v>
      </c>
      <c r="L1140" t="s">
        <v>55</v>
      </c>
      <c r="M1140" t="s">
        <v>56</v>
      </c>
      <c r="N1140" t="s">
        <v>40</v>
      </c>
      <c r="O1140" s="4">
        <v>2</v>
      </c>
      <c r="P1140" s="4">
        <v>11</v>
      </c>
      <c r="Q1140" t="s">
        <v>138</v>
      </c>
      <c r="R1140" s="2">
        <v>46184</v>
      </c>
      <c r="S1140" s="4">
        <v>19</v>
      </c>
      <c r="T1140" s="3">
        <v>190000000</v>
      </c>
      <c r="U1140" t="s">
        <v>42</v>
      </c>
      <c r="V1140" t="s">
        <v>43</v>
      </c>
      <c r="W1140" t="s">
        <v>44</v>
      </c>
      <c r="Y1140" t="s">
        <v>281</v>
      </c>
      <c r="Z1140" t="s">
        <v>3178</v>
      </c>
      <c r="AA1140" t="s">
        <v>109</v>
      </c>
      <c r="AB1140" t="s">
        <v>87</v>
      </c>
      <c r="AC1140" t="s">
        <v>109</v>
      </c>
    </row>
    <row r="1141" spans="1:29">
      <c r="A1141" t="s">
        <v>1557</v>
      </c>
      <c r="B1141" s="2">
        <v>46202</v>
      </c>
      <c r="C1141" t="s">
        <v>30</v>
      </c>
      <c r="D1141" t="s">
        <v>31</v>
      </c>
      <c r="E1141" t="s">
        <v>75</v>
      </c>
      <c r="F1141" t="s">
        <v>161</v>
      </c>
      <c r="G1141" t="s">
        <v>230</v>
      </c>
      <c r="H1141" t="s">
        <v>78</v>
      </c>
      <c r="I1141" t="s">
        <v>494</v>
      </c>
      <c r="J1141" t="s">
        <v>3104</v>
      </c>
      <c r="K1141" t="s">
        <v>92</v>
      </c>
      <c r="L1141" t="s">
        <v>68</v>
      </c>
      <c r="M1141" t="s">
        <v>129</v>
      </c>
      <c r="N1141" t="s">
        <v>57</v>
      </c>
      <c r="O1141" s="4">
        <v>3</v>
      </c>
      <c r="P1141" s="4">
        <v>6</v>
      </c>
      <c r="Q1141" t="s">
        <v>107</v>
      </c>
      <c r="R1141" s="2">
        <v>46202</v>
      </c>
      <c r="S1141" s="4">
        <v>1</v>
      </c>
      <c r="T1141" s="3">
        <v>207000000</v>
      </c>
      <c r="U1141" t="s">
        <v>42</v>
      </c>
      <c r="V1141" t="s">
        <v>43</v>
      </c>
      <c r="W1141" t="s">
        <v>60</v>
      </c>
      <c r="Y1141" t="s">
        <v>165</v>
      </c>
      <c r="Z1141" t="s">
        <v>3177</v>
      </c>
      <c r="AA1141" t="s">
        <v>86</v>
      </c>
      <c r="AB1141" t="s">
        <v>63</v>
      </c>
      <c r="AC1141" t="s">
        <v>86</v>
      </c>
    </row>
    <row r="1142" spans="1:29">
      <c r="A1142" t="s">
        <v>1558</v>
      </c>
      <c r="B1142" s="2">
        <v>46195</v>
      </c>
      <c r="C1142" t="s">
        <v>30</v>
      </c>
      <c r="D1142" t="s">
        <v>49</v>
      </c>
      <c r="E1142" t="s">
        <v>100</v>
      </c>
      <c r="F1142" t="s">
        <v>101</v>
      </c>
      <c r="G1142" t="s">
        <v>212</v>
      </c>
      <c r="H1142" t="s">
        <v>103</v>
      </c>
      <c r="I1142" t="s">
        <v>994</v>
      </c>
      <c r="J1142" t="s">
        <v>3169</v>
      </c>
      <c r="K1142" t="s">
        <v>56</v>
      </c>
      <c r="L1142" t="s">
        <v>38</v>
      </c>
      <c r="M1142" t="s">
        <v>164</v>
      </c>
      <c r="N1142" t="s">
        <v>40</v>
      </c>
      <c r="O1142" s="4">
        <v>2</v>
      </c>
      <c r="P1142" s="4">
        <v>7</v>
      </c>
      <c r="Q1142" t="s">
        <v>83</v>
      </c>
      <c r="R1142" s="2">
        <v>46186</v>
      </c>
      <c r="S1142" s="4">
        <v>17</v>
      </c>
      <c r="T1142" s="3">
        <v>359000000</v>
      </c>
      <c r="U1142" t="s">
        <v>42</v>
      </c>
      <c r="V1142" t="s">
        <v>43</v>
      </c>
      <c r="W1142" t="s">
        <v>239</v>
      </c>
      <c r="Y1142" t="s">
        <v>180</v>
      </c>
      <c r="Z1142" t="s">
        <v>3178</v>
      </c>
      <c r="AA1142" t="s">
        <v>109</v>
      </c>
      <c r="AB1142" t="s">
        <v>87</v>
      </c>
      <c r="AC1142" t="s">
        <v>109</v>
      </c>
    </row>
    <row r="1143" spans="1:29">
      <c r="A1143" t="s">
        <v>1559</v>
      </c>
      <c r="B1143" s="2">
        <v>46188</v>
      </c>
      <c r="C1143" t="s">
        <v>30</v>
      </c>
      <c r="D1143" t="s">
        <v>74</v>
      </c>
      <c r="E1143" t="s">
        <v>100</v>
      </c>
      <c r="F1143" t="s">
        <v>101</v>
      </c>
      <c r="G1143" t="s">
        <v>102</v>
      </c>
      <c r="H1143" t="s">
        <v>201</v>
      </c>
      <c r="I1143" t="s">
        <v>371</v>
      </c>
      <c r="J1143" t="s">
        <v>3065</v>
      </c>
      <c r="K1143" t="s">
        <v>56</v>
      </c>
      <c r="L1143" t="s">
        <v>55</v>
      </c>
      <c r="M1143" t="s">
        <v>56</v>
      </c>
      <c r="N1143" t="s">
        <v>57</v>
      </c>
      <c r="O1143" s="4">
        <v>3</v>
      </c>
      <c r="P1143" s="4">
        <v>6</v>
      </c>
      <c r="Q1143" t="s">
        <v>41</v>
      </c>
      <c r="R1143" s="2">
        <v>46181</v>
      </c>
      <c r="S1143" s="4">
        <v>22</v>
      </c>
      <c r="T1143" s="3">
        <v>249000000</v>
      </c>
      <c r="U1143" t="s">
        <v>42</v>
      </c>
      <c r="V1143" t="s">
        <v>59</v>
      </c>
      <c r="W1143" t="s">
        <v>71</v>
      </c>
      <c r="Y1143" t="s">
        <v>72</v>
      </c>
      <c r="Z1143" t="s">
        <v>3177</v>
      </c>
      <c r="AA1143" t="s">
        <v>109</v>
      </c>
      <c r="AB1143" t="s">
        <v>63</v>
      </c>
      <c r="AC1143" t="s">
        <v>109</v>
      </c>
    </row>
    <row r="1144" spans="1:29">
      <c r="A1144" t="s">
        <v>1560</v>
      </c>
      <c r="B1144" s="2">
        <v>46193</v>
      </c>
      <c r="C1144" t="s">
        <v>30</v>
      </c>
      <c r="D1144" t="s">
        <v>74</v>
      </c>
      <c r="E1144" t="s">
        <v>120</v>
      </c>
      <c r="F1144" t="s">
        <v>121</v>
      </c>
      <c r="G1144" t="s">
        <v>224</v>
      </c>
      <c r="H1144" t="s">
        <v>300</v>
      </c>
      <c r="I1144" t="s">
        <v>400</v>
      </c>
      <c r="J1144" t="s">
        <v>3074</v>
      </c>
      <c r="K1144" t="s">
        <v>56</v>
      </c>
      <c r="L1144" t="s">
        <v>169</v>
      </c>
      <c r="M1144" t="s">
        <v>81</v>
      </c>
      <c r="N1144" t="s">
        <v>57</v>
      </c>
      <c r="O1144" s="4">
        <v>3</v>
      </c>
      <c r="P1144" s="4">
        <v>7</v>
      </c>
      <c r="Q1144" t="s">
        <v>41</v>
      </c>
      <c r="R1144" s="2">
        <v>46193</v>
      </c>
      <c r="S1144" s="4">
        <v>10</v>
      </c>
      <c r="T1144" s="3">
        <v>259000000</v>
      </c>
      <c r="U1144" t="s">
        <v>42</v>
      </c>
      <c r="V1144" t="s">
        <v>43</v>
      </c>
      <c r="W1144" t="s">
        <v>203</v>
      </c>
      <c r="Y1144" t="s">
        <v>158</v>
      </c>
      <c r="Z1144" t="s">
        <v>3177</v>
      </c>
      <c r="AA1144" t="s">
        <v>97</v>
      </c>
      <c r="AB1144" t="s">
        <v>63</v>
      </c>
      <c r="AC1144" t="s">
        <v>97</v>
      </c>
    </row>
    <row r="1145" spans="1:29">
      <c r="A1145" t="s">
        <v>1561</v>
      </c>
      <c r="B1145" s="2">
        <v>46176</v>
      </c>
      <c r="C1145" t="s">
        <v>30</v>
      </c>
      <c r="D1145" t="s">
        <v>134</v>
      </c>
      <c r="E1145" t="s">
        <v>100</v>
      </c>
      <c r="F1145" t="s">
        <v>146</v>
      </c>
      <c r="G1145" t="s">
        <v>147</v>
      </c>
      <c r="H1145" t="s">
        <v>103</v>
      </c>
      <c r="I1145" t="s">
        <v>447</v>
      </c>
      <c r="J1145" t="s">
        <v>3088</v>
      </c>
      <c r="K1145" t="s">
        <v>37</v>
      </c>
      <c r="L1145" t="s">
        <v>187</v>
      </c>
      <c r="M1145" t="s">
        <v>164</v>
      </c>
      <c r="N1145" t="s">
        <v>213</v>
      </c>
      <c r="O1145" s="4">
        <v>6</v>
      </c>
      <c r="P1145" s="4">
        <v>13</v>
      </c>
      <c r="Q1145" t="s">
        <v>83</v>
      </c>
      <c r="R1145" s="2">
        <v>46168</v>
      </c>
      <c r="S1145" s="4">
        <v>35</v>
      </c>
      <c r="T1145" s="3">
        <v>231000000</v>
      </c>
      <c r="U1145" t="s">
        <v>214</v>
      </c>
      <c r="V1145" t="s">
        <v>70</v>
      </c>
      <c r="W1145" t="s">
        <v>215</v>
      </c>
      <c r="Y1145" t="s">
        <v>432</v>
      </c>
      <c r="Z1145" t="s">
        <v>3179</v>
      </c>
      <c r="AA1145" t="s">
        <v>109</v>
      </c>
      <c r="AB1145" t="s">
        <v>97</v>
      </c>
      <c r="AC1145" t="s">
        <v>109</v>
      </c>
    </row>
    <row r="1146" spans="1:29">
      <c r="A1146" t="s">
        <v>1562</v>
      </c>
      <c r="B1146" s="2">
        <v>46195</v>
      </c>
      <c r="C1146" t="s">
        <v>30</v>
      </c>
      <c r="D1146" t="s">
        <v>49</v>
      </c>
      <c r="E1146" t="s">
        <v>120</v>
      </c>
      <c r="F1146" t="s">
        <v>246</v>
      </c>
      <c r="G1146" t="s">
        <v>420</v>
      </c>
      <c r="H1146" t="s">
        <v>300</v>
      </c>
      <c r="I1146" t="s">
        <v>445</v>
      </c>
      <c r="J1146" t="s">
        <v>3087</v>
      </c>
      <c r="K1146" t="s">
        <v>37</v>
      </c>
      <c r="L1146" t="s">
        <v>187</v>
      </c>
      <c r="M1146" t="s">
        <v>39</v>
      </c>
      <c r="N1146" t="s">
        <v>82</v>
      </c>
      <c r="O1146" s="4">
        <v>1</v>
      </c>
      <c r="P1146" s="4">
        <v>6</v>
      </c>
      <c r="Q1146" t="s">
        <v>83</v>
      </c>
      <c r="R1146" s="2">
        <v>46187</v>
      </c>
      <c r="S1146" s="4">
        <v>16</v>
      </c>
      <c r="T1146" s="3">
        <v>123000000</v>
      </c>
      <c r="U1146" t="s">
        <v>42</v>
      </c>
      <c r="V1146" t="s">
        <v>43</v>
      </c>
      <c r="W1146" t="s">
        <v>84</v>
      </c>
      <c r="Y1146" t="s">
        <v>85</v>
      </c>
      <c r="Z1146" t="s">
        <v>3178</v>
      </c>
      <c r="AA1146" t="s">
        <v>97</v>
      </c>
      <c r="AB1146" t="s">
        <v>87</v>
      </c>
      <c r="AC1146" t="s">
        <v>97</v>
      </c>
    </row>
    <row r="1147" spans="1:29">
      <c r="A1147" t="s">
        <v>1563</v>
      </c>
      <c r="B1147" s="2">
        <v>46181</v>
      </c>
      <c r="C1147" t="s">
        <v>30</v>
      </c>
      <c r="D1147" t="s">
        <v>99</v>
      </c>
      <c r="E1147" t="s">
        <v>172</v>
      </c>
      <c r="F1147" t="s">
        <v>195</v>
      </c>
      <c r="G1147" t="s">
        <v>278</v>
      </c>
      <c r="H1147" t="s">
        <v>175</v>
      </c>
      <c r="I1147" t="s">
        <v>333</v>
      </c>
      <c r="J1147" t="s">
        <v>3054</v>
      </c>
      <c r="K1147" t="s">
        <v>105</v>
      </c>
      <c r="L1147" t="s">
        <v>80</v>
      </c>
      <c r="M1147" t="s">
        <v>164</v>
      </c>
      <c r="N1147" t="s">
        <v>94</v>
      </c>
      <c r="O1147" s="4">
        <v>4</v>
      </c>
      <c r="P1147" s="4">
        <v>4</v>
      </c>
      <c r="Q1147" t="s">
        <v>69</v>
      </c>
      <c r="R1147" s="2">
        <v>46175</v>
      </c>
      <c r="S1147" s="4">
        <v>28</v>
      </c>
      <c r="T1147" s="3">
        <v>348000000</v>
      </c>
      <c r="U1147" t="s">
        <v>42</v>
      </c>
      <c r="V1147" t="s">
        <v>59</v>
      </c>
      <c r="W1147" t="s">
        <v>188</v>
      </c>
      <c r="Y1147" t="s">
        <v>228</v>
      </c>
      <c r="Z1147" t="s">
        <v>3179</v>
      </c>
      <c r="AA1147" t="s">
        <v>181</v>
      </c>
      <c r="AB1147" t="s">
        <v>97</v>
      </c>
      <c r="AC1147" t="s">
        <v>181</v>
      </c>
    </row>
    <row r="1148" spans="1:29">
      <c r="A1148" t="s">
        <v>1564</v>
      </c>
      <c r="B1148" s="2">
        <v>46199</v>
      </c>
      <c r="C1148" t="s">
        <v>30</v>
      </c>
      <c r="D1148" t="s">
        <v>49</v>
      </c>
      <c r="E1148" t="s">
        <v>111</v>
      </c>
      <c r="F1148" t="s">
        <v>190</v>
      </c>
      <c r="G1148" t="s">
        <v>265</v>
      </c>
      <c r="H1148" t="s">
        <v>127</v>
      </c>
      <c r="I1148" t="s">
        <v>654</v>
      </c>
      <c r="J1148" t="s">
        <v>3142</v>
      </c>
      <c r="K1148" t="s">
        <v>56</v>
      </c>
      <c r="L1148" t="s">
        <v>38</v>
      </c>
      <c r="M1148" t="s">
        <v>129</v>
      </c>
      <c r="N1148" t="s">
        <v>57</v>
      </c>
      <c r="O1148" s="4">
        <v>3</v>
      </c>
      <c r="P1148" s="4">
        <v>12</v>
      </c>
      <c r="Q1148" t="s">
        <v>69</v>
      </c>
      <c r="R1148" s="2">
        <v>46199</v>
      </c>
      <c r="S1148" s="4">
        <v>4</v>
      </c>
      <c r="T1148" s="3">
        <v>265000000</v>
      </c>
      <c r="U1148" t="s">
        <v>42</v>
      </c>
      <c r="V1148" t="s">
        <v>59</v>
      </c>
      <c r="W1148" t="s">
        <v>203</v>
      </c>
      <c r="Y1148" t="s">
        <v>158</v>
      </c>
      <c r="Z1148" t="s">
        <v>3180</v>
      </c>
      <c r="AA1148" t="s">
        <v>118</v>
      </c>
      <c r="AB1148" t="s">
        <v>193</v>
      </c>
      <c r="AC1148" t="s">
        <v>118</v>
      </c>
    </row>
    <row r="1149" spans="1:29">
      <c r="A1149" t="s">
        <v>1565</v>
      </c>
      <c r="B1149" s="2">
        <v>46184</v>
      </c>
      <c r="C1149" t="s">
        <v>30</v>
      </c>
      <c r="D1149" t="s">
        <v>99</v>
      </c>
      <c r="E1149" t="s">
        <v>32</v>
      </c>
      <c r="F1149" t="s">
        <v>33</v>
      </c>
      <c r="G1149" t="s">
        <v>218</v>
      </c>
      <c r="H1149" t="s">
        <v>258</v>
      </c>
      <c r="I1149" t="s">
        <v>568</v>
      </c>
      <c r="J1149" t="s">
        <v>3121</v>
      </c>
      <c r="K1149" t="s">
        <v>56</v>
      </c>
      <c r="L1149" t="s">
        <v>150</v>
      </c>
      <c r="M1149" t="s">
        <v>106</v>
      </c>
      <c r="N1149" t="s">
        <v>82</v>
      </c>
      <c r="O1149" s="4">
        <v>1</v>
      </c>
      <c r="P1149" s="4">
        <v>1</v>
      </c>
      <c r="Q1149" t="s">
        <v>69</v>
      </c>
      <c r="R1149" s="2">
        <v>46178</v>
      </c>
      <c r="S1149" s="4">
        <v>25</v>
      </c>
      <c r="T1149" s="3">
        <v>323000000</v>
      </c>
      <c r="U1149" t="s">
        <v>42</v>
      </c>
      <c r="V1149" t="s">
        <v>43</v>
      </c>
      <c r="W1149" t="s">
        <v>359</v>
      </c>
      <c r="Y1149" t="s">
        <v>330</v>
      </c>
      <c r="Z1149" t="s">
        <v>3176</v>
      </c>
      <c r="AA1149" t="s">
        <v>46</v>
      </c>
      <c r="AB1149" t="s">
        <v>47</v>
      </c>
      <c r="AC1149" t="s">
        <v>46</v>
      </c>
    </row>
    <row r="1150" spans="1:29">
      <c r="A1150" t="s">
        <v>1566</v>
      </c>
      <c r="B1150" s="2">
        <v>46198</v>
      </c>
      <c r="C1150" t="s">
        <v>30</v>
      </c>
      <c r="D1150" t="s">
        <v>49</v>
      </c>
      <c r="E1150" t="s">
        <v>32</v>
      </c>
      <c r="F1150" t="s">
        <v>33</v>
      </c>
      <c r="G1150" t="s">
        <v>218</v>
      </c>
      <c r="H1150" t="s">
        <v>303</v>
      </c>
      <c r="I1150" t="s">
        <v>487</v>
      </c>
      <c r="J1150" t="s">
        <v>3102</v>
      </c>
      <c r="K1150" t="s">
        <v>56</v>
      </c>
      <c r="L1150" t="s">
        <v>80</v>
      </c>
      <c r="M1150" t="s">
        <v>81</v>
      </c>
      <c r="N1150" t="s">
        <v>57</v>
      </c>
      <c r="O1150" s="4">
        <v>3</v>
      </c>
      <c r="P1150" s="4">
        <v>5</v>
      </c>
      <c r="Q1150" t="s">
        <v>58</v>
      </c>
      <c r="R1150" s="2">
        <v>46191</v>
      </c>
      <c r="S1150" s="4">
        <v>12</v>
      </c>
      <c r="T1150" s="3">
        <v>98000000</v>
      </c>
      <c r="U1150" t="s">
        <v>42</v>
      </c>
      <c r="V1150" t="s">
        <v>43</v>
      </c>
      <c r="W1150" t="s">
        <v>203</v>
      </c>
      <c r="Y1150" t="s">
        <v>165</v>
      </c>
      <c r="Z1150" t="s">
        <v>3177</v>
      </c>
      <c r="AA1150" t="s">
        <v>46</v>
      </c>
      <c r="AB1150" t="s">
        <v>63</v>
      </c>
      <c r="AC1150" t="s">
        <v>46</v>
      </c>
    </row>
    <row r="1151" spans="1:29">
      <c r="A1151" t="s">
        <v>1567</v>
      </c>
      <c r="B1151" s="2">
        <v>46199</v>
      </c>
      <c r="C1151" t="s">
        <v>30</v>
      </c>
      <c r="D1151" t="s">
        <v>49</v>
      </c>
      <c r="E1151" t="s">
        <v>75</v>
      </c>
      <c r="F1151" t="s">
        <v>183</v>
      </c>
      <c r="G1151" t="s">
        <v>162</v>
      </c>
      <c r="H1151" t="s">
        <v>185</v>
      </c>
      <c r="I1151" t="s">
        <v>186</v>
      </c>
      <c r="J1151" t="s">
        <v>3024</v>
      </c>
      <c r="K1151" t="s">
        <v>56</v>
      </c>
      <c r="L1151" t="s">
        <v>68</v>
      </c>
      <c r="M1151" t="s">
        <v>39</v>
      </c>
      <c r="N1151" t="s">
        <v>196</v>
      </c>
      <c r="O1151" s="4">
        <v>7</v>
      </c>
      <c r="P1151" s="4">
        <v>14</v>
      </c>
      <c r="Q1151" t="s">
        <v>142</v>
      </c>
      <c r="R1151" s="2">
        <v>46193</v>
      </c>
      <c r="S1151" s="4">
        <v>10</v>
      </c>
      <c r="T1151" s="3">
        <v>354000000</v>
      </c>
      <c r="U1151" t="s">
        <v>196</v>
      </c>
      <c r="V1151" t="s">
        <v>70</v>
      </c>
      <c r="W1151" t="s">
        <v>209</v>
      </c>
      <c r="Y1151" t="s">
        <v>210</v>
      </c>
      <c r="Z1151" t="s">
        <v>3181</v>
      </c>
      <c r="AA1151" t="s">
        <v>86</v>
      </c>
      <c r="AB1151" t="s">
        <v>199</v>
      </c>
      <c r="AC1151" t="s">
        <v>86</v>
      </c>
    </row>
    <row r="1152" spans="1:29">
      <c r="A1152" t="s">
        <v>1568</v>
      </c>
      <c r="B1152" s="2">
        <v>46185</v>
      </c>
      <c r="C1152" t="s">
        <v>30</v>
      </c>
      <c r="D1152" t="s">
        <v>99</v>
      </c>
      <c r="E1152" t="s">
        <v>120</v>
      </c>
      <c r="F1152" t="s">
        <v>246</v>
      </c>
      <c r="G1152" t="s">
        <v>227</v>
      </c>
      <c r="H1152" t="s">
        <v>123</v>
      </c>
      <c r="I1152" t="s">
        <v>336</v>
      </c>
      <c r="J1152" t="s">
        <v>3055</v>
      </c>
      <c r="K1152" t="s">
        <v>105</v>
      </c>
      <c r="L1152" t="s">
        <v>187</v>
      </c>
      <c r="M1152" t="s">
        <v>106</v>
      </c>
      <c r="N1152" t="s">
        <v>40</v>
      </c>
      <c r="O1152" s="4">
        <v>2</v>
      </c>
      <c r="P1152" s="4">
        <v>8</v>
      </c>
      <c r="Q1152" t="s">
        <v>142</v>
      </c>
      <c r="R1152" s="2">
        <v>46183</v>
      </c>
      <c r="S1152" s="4">
        <v>20</v>
      </c>
      <c r="T1152" s="3">
        <v>113000000</v>
      </c>
      <c r="U1152" t="s">
        <v>42</v>
      </c>
      <c r="V1152" t="s">
        <v>59</v>
      </c>
      <c r="W1152" t="s">
        <v>239</v>
      </c>
      <c r="Y1152" t="s">
        <v>180</v>
      </c>
      <c r="Z1152" t="s">
        <v>3178</v>
      </c>
      <c r="AA1152" t="s">
        <v>97</v>
      </c>
      <c r="AB1152" t="s">
        <v>87</v>
      </c>
      <c r="AC1152" t="s">
        <v>97</v>
      </c>
    </row>
    <row r="1153" spans="1:29">
      <c r="A1153" t="s">
        <v>1569</v>
      </c>
      <c r="B1153" s="2">
        <v>46181</v>
      </c>
      <c r="C1153" t="s">
        <v>30</v>
      </c>
      <c r="D1153" t="s">
        <v>99</v>
      </c>
      <c r="E1153" t="s">
        <v>152</v>
      </c>
      <c r="F1153" t="s">
        <v>205</v>
      </c>
      <c r="G1153" t="s">
        <v>154</v>
      </c>
      <c r="H1153" t="s">
        <v>207</v>
      </c>
      <c r="I1153" t="s">
        <v>208</v>
      </c>
      <c r="J1153" t="s">
        <v>3027</v>
      </c>
      <c r="K1153" t="s">
        <v>105</v>
      </c>
      <c r="L1153" t="s">
        <v>68</v>
      </c>
      <c r="M1153" t="s">
        <v>106</v>
      </c>
      <c r="N1153" t="s">
        <v>57</v>
      </c>
      <c r="O1153" s="4">
        <v>3</v>
      </c>
      <c r="P1153" s="4">
        <v>6</v>
      </c>
      <c r="Q1153" t="s">
        <v>69</v>
      </c>
      <c r="R1153" s="2">
        <v>46181</v>
      </c>
      <c r="S1153" s="4">
        <v>22</v>
      </c>
      <c r="T1153" s="3">
        <v>176000000</v>
      </c>
      <c r="U1153" t="s">
        <v>42</v>
      </c>
      <c r="V1153" t="s">
        <v>59</v>
      </c>
      <c r="W1153" t="s">
        <v>157</v>
      </c>
      <c r="Y1153" t="s">
        <v>165</v>
      </c>
      <c r="Z1153" t="s">
        <v>3177</v>
      </c>
      <c r="AA1153" t="s">
        <v>159</v>
      </c>
      <c r="AB1153" t="s">
        <v>63</v>
      </c>
      <c r="AC1153" t="s">
        <v>159</v>
      </c>
    </row>
    <row r="1154" spans="1:29">
      <c r="A1154" t="s">
        <v>1570</v>
      </c>
      <c r="B1154" s="2">
        <v>46182</v>
      </c>
      <c r="C1154" t="s">
        <v>30</v>
      </c>
      <c r="D1154" t="s">
        <v>99</v>
      </c>
      <c r="E1154" t="s">
        <v>120</v>
      </c>
      <c r="F1154" t="s">
        <v>167</v>
      </c>
      <c r="G1154" t="s">
        <v>122</v>
      </c>
      <c r="H1154" t="s">
        <v>300</v>
      </c>
      <c r="I1154" t="s">
        <v>527</v>
      </c>
      <c r="J1154" t="s">
        <v>3110</v>
      </c>
      <c r="K1154" t="s">
        <v>105</v>
      </c>
      <c r="L1154" t="s">
        <v>150</v>
      </c>
      <c r="M1154" t="s">
        <v>39</v>
      </c>
      <c r="N1154" t="s">
        <v>57</v>
      </c>
      <c r="O1154" s="4">
        <v>3</v>
      </c>
      <c r="P1154" s="4">
        <v>4</v>
      </c>
      <c r="Q1154" t="s">
        <v>41</v>
      </c>
      <c r="R1154" s="2">
        <v>46181</v>
      </c>
      <c r="S1154" s="4">
        <v>22</v>
      </c>
      <c r="T1154" s="3">
        <v>81000000</v>
      </c>
      <c r="U1154" t="s">
        <v>42</v>
      </c>
      <c r="V1154" t="s">
        <v>43</v>
      </c>
      <c r="W1154" t="s">
        <v>71</v>
      </c>
      <c r="Y1154" t="s">
        <v>61</v>
      </c>
      <c r="Z1154" t="s">
        <v>3177</v>
      </c>
      <c r="AA1154" t="s">
        <v>97</v>
      </c>
      <c r="AB1154" t="s">
        <v>63</v>
      </c>
      <c r="AC1154" t="s">
        <v>97</v>
      </c>
    </row>
    <row r="1155" spans="1:29">
      <c r="A1155" t="s">
        <v>1571</v>
      </c>
      <c r="B1155" s="2">
        <v>46194</v>
      </c>
      <c r="C1155" t="s">
        <v>30</v>
      </c>
      <c r="D1155" t="s">
        <v>74</v>
      </c>
      <c r="E1155" t="s">
        <v>120</v>
      </c>
      <c r="F1155" t="s">
        <v>121</v>
      </c>
      <c r="G1155" t="s">
        <v>224</v>
      </c>
      <c r="H1155" t="s">
        <v>136</v>
      </c>
      <c r="I1155" t="s">
        <v>247</v>
      </c>
      <c r="J1155" t="s">
        <v>3035</v>
      </c>
      <c r="K1155" t="s">
        <v>116</v>
      </c>
      <c r="L1155" t="s">
        <v>80</v>
      </c>
      <c r="M1155" t="s">
        <v>93</v>
      </c>
      <c r="N1155" t="s">
        <v>130</v>
      </c>
      <c r="O1155" s="4">
        <v>5</v>
      </c>
      <c r="P1155" s="4">
        <v>13</v>
      </c>
      <c r="Q1155" t="s">
        <v>142</v>
      </c>
      <c r="R1155" s="2">
        <v>46194</v>
      </c>
      <c r="S1155" s="4">
        <v>9</v>
      </c>
      <c r="T1155" s="3">
        <v>165000000</v>
      </c>
      <c r="U1155" t="s">
        <v>42</v>
      </c>
      <c r="V1155" t="s">
        <v>70</v>
      </c>
      <c r="W1155" t="s">
        <v>355</v>
      </c>
      <c r="Y1155" t="s">
        <v>132</v>
      </c>
      <c r="Z1155" t="s">
        <v>3179</v>
      </c>
      <c r="AA1155" t="s">
        <v>97</v>
      </c>
      <c r="AB1155" t="s">
        <v>97</v>
      </c>
      <c r="AC1155" t="s">
        <v>97</v>
      </c>
    </row>
    <row r="1156" spans="1:29">
      <c r="A1156" t="s">
        <v>1572</v>
      </c>
      <c r="B1156" s="2">
        <v>46184</v>
      </c>
      <c r="C1156" t="s">
        <v>30</v>
      </c>
      <c r="D1156" t="s">
        <v>99</v>
      </c>
      <c r="E1156" t="s">
        <v>172</v>
      </c>
      <c r="F1156" t="s">
        <v>277</v>
      </c>
      <c r="G1156" t="s">
        <v>289</v>
      </c>
      <c r="H1156" t="s">
        <v>317</v>
      </c>
      <c r="I1156" t="s">
        <v>1124</v>
      </c>
      <c r="J1156" t="s">
        <v>3173</v>
      </c>
      <c r="K1156" t="s">
        <v>56</v>
      </c>
      <c r="L1156" t="s">
        <v>68</v>
      </c>
      <c r="M1156" t="s">
        <v>56</v>
      </c>
      <c r="N1156" t="s">
        <v>94</v>
      </c>
      <c r="O1156" s="4">
        <v>4</v>
      </c>
      <c r="P1156" s="4">
        <v>9</v>
      </c>
      <c r="Q1156" t="s">
        <v>41</v>
      </c>
      <c r="R1156" s="2">
        <v>46178</v>
      </c>
      <c r="S1156" s="4">
        <v>25</v>
      </c>
      <c r="T1156" s="3">
        <v>141000000</v>
      </c>
      <c r="U1156" t="s">
        <v>42</v>
      </c>
      <c r="V1156" t="s">
        <v>143</v>
      </c>
      <c r="W1156" t="s">
        <v>188</v>
      </c>
      <c r="Y1156" t="s">
        <v>96</v>
      </c>
      <c r="Z1156" t="s">
        <v>3179</v>
      </c>
      <c r="AA1156" t="s">
        <v>181</v>
      </c>
      <c r="AB1156" t="s">
        <v>97</v>
      </c>
      <c r="AC1156" t="s">
        <v>181</v>
      </c>
    </row>
    <row r="1157" spans="1:29">
      <c r="A1157" t="s">
        <v>1573</v>
      </c>
      <c r="B1157" s="2">
        <v>46179</v>
      </c>
      <c r="C1157" t="s">
        <v>30</v>
      </c>
      <c r="D1157" t="s">
        <v>134</v>
      </c>
      <c r="E1157" t="s">
        <v>100</v>
      </c>
      <c r="F1157" t="s">
        <v>140</v>
      </c>
      <c r="G1157" t="s">
        <v>102</v>
      </c>
      <c r="H1157" t="s">
        <v>201</v>
      </c>
      <c r="I1157" t="s">
        <v>238</v>
      </c>
      <c r="J1157" t="s">
        <v>3033</v>
      </c>
      <c r="K1157" t="s">
        <v>56</v>
      </c>
      <c r="L1157" t="s">
        <v>169</v>
      </c>
      <c r="M1157" t="s">
        <v>56</v>
      </c>
      <c r="N1157" t="s">
        <v>196</v>
      </c>
      <c r="O1157" s="4">
        <v>7</v>
      </c>
      <c r="P1157" s="4">
        <v>15</v>
      </c>
      <c r="Q1157" t="s">
        <v>41</v>
      </c>
      <c r="R1157" s="2">
        <v>46173</v>
      </c>
      <c r="S1157" s="4">
        <v>30</v>
      </c>
      <c r="T1157" s="3">
        <v>468000000</v>
      </c>
      <c r="U1157" t="s">
        <v>196</v>
      </c>
      <c r="V1157" t="s">
        <v>70</v>
      </c>
      <c r="W1157" t="s">
        <v>197</v>
      </c>
      <c r="Y1157" t="s">
        <v>210</v>
      </c>
      <c r="Z1157" t="s">
        <v>3181</v>
      </c>
      <c r="AA1157" t="s">
        <v>109</v>
      </c>
      <c r="AB1157" t="s">
        <v>199</v>
      </c>
      <c r="AC1157" t="s">
        <v>109</v>
      </c>
    </row>
    <row r="1158" spans="1:29">
      <c r="A1158" t="s">
        <v>1574</v>
      </c>
      <c r="B1158" s="2">
        <v>46190</v>
      </c>
      <c r="C1158" t="s">
        <v>30</v>
      </c>
      <c r="D1158" t="s">
        <v>74</v>
      </c>
      <c r="E1158" t="s">
        <v>50</v>
      </c>
      <c r="F1158" t="s">
        <v>51</v>
      </c>
      <c r="G1158" t="s">
        <v>270</v>
      </c>
      <c r="H1158" t="s">
        <v>53</v>
      </c>
      <c r="I1158" t="s">
        <v>54</v>
      </c>
      <c r="J1158" t="s">
        <v>3009</v>
      </c>
      <c r="K1158" t="s">
        <v>37</v>
      </c>
      <c r="L1158" t="s">
        <v>150</v>
      </c>
      <c r="M1158" t="s">
        <v>164</v>
      </c>
      <c r="N1158" t="s">
        <v>196</v>
      </c>
      <c r="O1158" s="4">
        <v>7</v>
      </c>
      <c r="P1158" s="4">
        <v>9</v>
      </c>
      <c r="Q1158" t="s">
        <v>41</v>
      </c>
      <c r="R1158" s="2">
        <v>46188</v>
      </c>
      <c r="S1158" s="4">
        <v>15</v>
      </c>
      <c r="T1158" s="3">
        <v>133000000</v>
      </c>
      <c r="U1158" t="s">
        <v>196</v>
      </c>
      <c r="V1158" t="s">
        <v>70</v>
      </c>
      <c r="W1158" t="s">
        <v>675</v>
      </c>
      <c r="Y1158" t="s">
        <v>244</v>
      </c>
      <c r="Z1158" t="s">
        <v>3181</v>
      </c>
      <c r="AA1158" t="s">
        <v>62</v>
      </c>
      <c r="AB1158" t="s">
        <v>199</v>
      </c>
      <c r="AC1158" t="s">
        <v>62</v>
      </c>
    </row>
    <row r="1159" spans="1:29">
      <c r="A1159" t="s">
        <v>1575</v>
      </c>
      <c r="B1159" s="2">
        <v>46196</v>
      </c>
      <c r="C1159" t="s">
        <v>30</v>
      </c>
      <c r="D1159" t="s">
        <v>49</v>
      </c>
      <c r="E1159" t="s">
        <v>32</v>
      </c>
      <c r="F1159" t="s">
        <v>256</v>
      </c>
      <c r="G1159" t="s">
        <v>257</v>
      </c>
      <c r="H1159" t="s">
        <v>35</v>
      </c>
      <c r="I1159" t="s">
        <v>595</v>
      </c>
      <c r="J1159" t="s">
        <v>3128</v>
      </c>
      <c r="K1159" t="s">
        <v>92</v>
      </c>
      <c r="L1159" t="s">
        <v>38</v>
      </c>
      <c r="M1159" t="s">
        <v>106</v>
      </c>
      <c r="N1159" t="s">
        <v>40</v>
      </c>
      <c r="O1159" s="4">
        <v>2</v>
      </c>
      <c r="P1159" s="4">
        <v>4</v>
      </c>
      <c r="Q1159" t="s">
        <v>107</v>
      </c>
      <c r="R1159" s="2">
        <v>46193</v>
      </c>
      <c r="S1159" s="4">
        <v>10</v>
      </c>
      <c r="T1159" s="3">
        <v>108000000</v>
      </c>
      <c r="U1159" t="s">
        <v>42</v>
      </c>
      <c r="V1159" t="s">
        <v>43</v>
      </c>
      <c r="W1159" t="s">
        <v>178</v>
      </c>
      <c r="Y1159" t="s">
        <v>309</v>
      </c>
      <c r="Z1159" t="s">
        <v>3176</v>
      </c>
      <c r="AA1159" t="s">
        <v>46</v>
      </c>
      <c r="AB1159" t="s">
        <v>47</v>
      </c>
      <c r="AC1159" t="s">
        <v>46</v>
      </c>
    </row>
    <row r="1160" spans="1:29">
      <c r="A1160" t="s">
        <v>1576</v>
      </c>
      <c r="B1160" s="2">
        <v>46187</v>
      </c>
      <c r="C1160" t="s">
        <v>30</v>
      </c>
      <c r="D1160" t="s">
        <v>99</v>
      </c>
      <c r="E1160" t="s">
        <v>32</v>
      </c>
      <c r="F1160" t="s">
        <v>33</v>
      </c>
      <c r="G1160" t="s">
        <v>463</v>
      </c>
      <c r="H1160" t="s">
        <v>258</v>
      </c>
      <c r="I1160" t="s">
        <v>259</v>
      </c>
      <c r="J1160" t="s">
        <v>3036</v>
      </c>
      <c r="K1160" t="s">
        <v>56</v>
      </c>
      <c r="L1160" t="s">
        <v>150</v>
      </c>
      <c r="M1160" t="s">
        <v>129</v>
      </c>
      <c r="N1160" t="s">
        <v>40</v>
      </c>
      <c r="O1160" s="4">
        <v>2</v>
      </c>
      <c r="P1160" s="4">
        <v>5</v>
      </c>
      <c r="Q1160" t="s">
        <v>41</v>
      </c>
      <c r="R1160" s="2">
        <v>46184</v>
      </c>
      <c r="S1160" s="4">
        <v>19</v>
      </c>
      <c r="T1160" s="3">
        <v>384000000</v>
      </c>
      <c r="U1160" t="s">
        <v>42</v>
      </c>
      <c r="V1160" t="s">
        <v>43</v>
      </c>
      <c r="W1160" t="s">
        <v>239</v>
      </c>
      <c r="Y1160" t="s">
        <v>45</v>
      </c>
      <c r="Z1160" t="s">
        <v>3178</v>
      </c>
      <c r="AA1160" t="s">
        <v>46</v>
      </c>
      <c r="AB1160" t="s">
        <v>87</v>
      </c>
      <c r="AC1160" t="s">
        <v>46</v>
      </c>
    </row>
    <row r="1161" spans="1:29">
      <c r="A1161" t="s">
        <v>1577</v>
      </c>
      <c r="B1161" s="2">
        <v>46176</v>
      </c>
      <c r="C1161" t="s">
        <v>30</v>
      </c>
      <c r="D1161" t="s">
        <v>134</v>
      </c>
      <c r="E1161" t="s">
        <v>120</v>
      </c>
      <c r="F1161" t="s">
        <v>121</v>
      </c>
      <c r="G1161" t="s">
        <v>420</v>
      </c>
      <c r="H1161" t="s">
        <v>300</v>
      </c>
      <c r="I1161" t="s">
        <v>301</v>
      </c>
      <c r="J1161" t="s">
        <v>3045</v>
      </c>
      <c r="K1161" t="s">
        <v>92</v>
      </c>
      <c r="L1161" t="s">
        <v>169</v>
      </c>
      <c r="M1161" t="s">
        <v>129</v>
      </c>
      <c r="N1161" t="s">
        <v>57</v>
      </c>
      <c r="O1161" s="4">
        <v>3</v>
      </c>
      <c r="P1161" s="4">
        <v>8</v>
      </c>
      <c r="Q1161" t="s">
        <v>83</v>
      </c>
      <c r="R1161" s="2">
        <v>46166</v>
      </c>
      <c r="S1161" s="4">
        <v>37</v>
      </c>
      <c r="T1161" s="3">
        <v>161000000</v>
      </c>
      <c r="U1161" t="s">
        <v>42</v>
      </c>
      <c r="V1161" t="s">
        <v>59</v>
      </c>
      <c r="W1161" t="s">
        <v>203</v>
      </c>
      <c r="Y1161" t="s">
        <v>61</v>
      </c>
      <c r="Z1161" t="s">
        <v>3177</v>
      </c>
      <c r="AA1161" t="s">
        <v>97</v>
      </c>
      <c r="AB1161" t="s">
        <v>63</v>
      </c>
      <c r="AC1161" t="s">
        <v>97</v>
      </c>
    </row>
    <row r="1162" spans="1:29">
      <c r="A1162" t="s">
        <v>1578</v>
      </c>
      <c r="B1162" s="2">
        <v>46184</v>
      </c>
      <c r="C1162" t="s">
        <v>30</v>
      </c>
      <c r="D1162" t="s">
        <v>99</v>
      </c>
      <c r="E1162" t="s">
        <v>32</v>
      </c>
      <c r="F1162" t="s">
        <v>256</v>
      </c>
      <c r="G1162" t="s">
        <v>34</v>
      </c>
      <c r="H1162" t="s">
        <v>303</v>
      </c>
      <c r="I1162" t="s">
        <v>964</v>
      </c>
      <c r="J1162" t="s">
        <v>3167</v>
      </c>
      <c r="K1162" t="s">
        <v>37</v>
      </c>
      <c r="L1162" t="s">
        <v>38</v>
      </c>
      <c r="M1162" t="s">
        <v>129</v>
      </c>
      <c r="N1162" t="s">
        <v>82</v>
      </c>
      <c r="O1162" s="4">
        <v>1</v>
      </c>
      <c r="P1162" s="4">
        <v>2</v>
      </c>
      <c r="Q1162" t="s">
        <v>58</v>
      </c>
      <c r="R1162" s="2">
        <v>46178</v>
      </c>
      <c r="S1162" s="4">
        <v>25</v>
      </c>
      <c r="T1162" s="3">
        <v>222000000</v>
      </c>
      <c r="U1162" t="s">
        <v>42</v>
      </c>
      <c r="V1162" t="s">
        <v>59</v>
      </c>
      <c r="W1162" t="s">
        <v>84</v>
      </c>
      <c r="Y1162" t="s">
        <v>85</v>
      </c>
      <c r="Z1162" t="s">
        <v>3176</v>
      </c>
      <c r="AA1162" t="s">
        <v>46</v>
      </c>
      <c r="AB1162" t="s">
        <v>47</v>
      </c>
      <c r="AC1162" t="s">
        <v>46</v>
      </c>
    </row>
    <row r="1163" spans="1:29">
      <c r="A1163" t="s">
        <v>1579</v>
      </c>
      <c r="B1163" s="2">
        <v>46175</v>
      </c>
      <c r="C1163" t="s">
        <v>30</v>
      </c>
      <c r="D1163" t="s">
        <v>134</v>
      </c>
      <c r="E1163" t="s">
        <v>111</v>
      </c>
      <c r="F1163" t="s">
        <v>190</v>
      </c>
      <c r="G1163" t="s">
        <v>265</v>
      </c>
      <c r="H1163" t="s">
        <v>191</v>
      </c>
      <c r="I1163" t="s">
        <v>192</v>
      </c>
      <c r="J1163" t="s">
        <v>3025</v>
      </c>
      <c r="K1163" t="s">
        <v>92</v>
      </c>
      <c r="L1163" t="s">
        <v>68</v>
      </c>
      <c r="M1163" t="s">
        <v>164</v>
      </c>
      <c r="N1163" t="s">
        <v>94</v>
      </c>
      <c r="O1163" s="4">
        <v>4</v>
      </c>
      <c r="P1163" s="4">
        <v>7</v>
      </c>
      <c r="Q1163" t="s">
        <v>83</v>
      </c>
      <c r="R1163" s="2">
        <v>46167</v>
      </c>
      <c r="S1163" s="4">
        <v>36</v>
      </c>
      <c r="T1163" s="3">
        <v>176000000</v>
      </c>
      <c r="U1163" t="s">
        <v>42</v>
      </c>
      <c r="V1163" t="s">
        <v>70</v>
      </c>
      <c r="W1163" t="s">
        <v>267</v>
      </c>
      <c r="Y1163" t="s">
        <v>96</v>
      </c>
      <c r="Z1163" t="s">
        <v>3179</v>
      </c>
      <c r="AA1163" t="s">
        <v>118</v>
      </c>
      <c r="AB1163" t="s">
        <v>97</v>
      </c>
      <c r="AC1163" t="s">
        <v>118</v>
      </c>
    </row>
    <row r="1164" spans="1:29">
      <c r="A1164" t="s">
        <v>1580</v>
      </c>
      <c r="B1164" s="2">
        <v>46195</v>
      </c>
      <c r="C1164" t="s">
        <v>30</v>
      </c>
      <c r="D1164" t="s">
        <v>49</v>
      </c>
      <c r="E1164" t="s">
        <v>172</v>
      </c>
      <c r="F1164" t="s">
        <v>277</v>
      </c>
      <c r="G1164" t="s">
        <v>174</v>
      </c>
      <c r="H1164" t="s">
        <v>317</v>
      </c>
      <c r="I1164" t="s">
        <v>407</v>
      </c>
      <c r="J1164" t="s">
        <v>3075</v>
      </c>
      <c r="K1164" t="s">
        <v>37</v>
      </c>
      <c r="L1164" t="s">
        <v>38</v>
      </c>
      <c r="M1164" t="s">
        <v>56</v>
      </c>
      <c r="N1164" t="s">
        <v>94</v>
      </c>
      <c r="O1164" s="4">
        <v>4</v>
      </c>
      <c r="P1164" s="4">
        <v>8</v>
      </c>
      <c r="Q1164" t="s">
        <v>107</v>
      </c>
      <c r="R1164" s="2">
        <v>46192</v>
      </c>
      <c r="S1164" s="4">
        <v>11</v>
      </c>
      <c r="T1164" s="3">
        <v>268000000</v>
      </c>
      <c r="U1164" t="s">
        <v>426</v>
      </c>
      <c r="V1164" t="s">
        <v>70</v>
      </c>
      <c r="W1164" t="s">
        <v>170</v>
      </c>
      <c r="X1164" t="s">
        <v>422</v>
      </c>
      <c r="Y1164" t="s">
        <v>228</v>
      </c>
      <c r="Z1164" t="s">
        <v>3179</v>
      </c>
      <c r="AA1164" t="s">
        <v>181</v>
      </c>
      <c r="AB1164" t="s">
        <v>97</v>
      </c>
      <c r="AC1164" t="s">
        <v>181</v>
      </c>
    </row>
    <row r="1165" spans="1:29">
      <c r="A1165" t="s">
        <v>1581</v>
      </c>
      <c r="B1165" s="2">
        <v>46191</v>
      </c>
      <c r="C1165" t="s">
        <v>30</v>
      </c>
      <c r="D1165" t="s">
        <v>74</v>
      </c>
      <c r="E1165" t="s">
        <v>172</v>
      </c>
      <c r="F1165" t="s">
        <v>173</v>
      </c>
      <c r="G1165" t="s">
        <v>289</v>
      </c>
      <c r="H1165" t="s">
        <v>241</v>
      </c>
      <c r="I1165" t="s">
        <v>441</v>
      </c>
      <c r="J1165" t="s">
        <v>3085</v>
      </c>
      <c r="K1165" t="s">
        <v>37</v>
      </c>
      <c r="L1165" t="s">
        <v>55</v>
      </c>
      <c r="M1165" t="s">
        <v>129</v>
      </c>
      <c r="N1165" t="s">
        <v>213</v>
      </c>
      <c r="O1165" s="4">
        <v>6</v>
      </c>
      <c r="P1165" s="4">
        <v>10</v>
      </c>
      <c r="Q1165" t="s">
        <v>69</v>
      </c>
      <c r="R1165" s="2">
        <v>46190</v>
      </c>
      <c r="S1165" s="4">
        <v>13</v>
      </c>
      <c r="T1165" s="3">
        <v>118000000</v>
      </c>
      <c r="U1165" t="s">
        <v>214</v>
      </c>
      <c r="V1165" t="s">
        <v>70</v>
      </c>
      <c r="W1165" t="s">
        <v>215</v>
      </c>
      <c r="Y1165" t="s">
        <v>249</v>
      </c>
      <c r="Z1165" t="s">
        <v>3179</v>
      </c>
      <c r="AA1165" t="s">
        <v>181</v>
      </c>
      <c r="AB1165" t="s">
        <v>97</v>
      </c>
      <c r="AC1165" t="s">
        <v>181</v>
      </c>
    </row>
    <row r="1166" spans="1:29">
      <c r="A1166" t="s">
        <v>1582</v>
      </c>
      <c r="B1166" s="2">
        <v>46176</v>
      </c>
      <c r="C1166" t="s">
        <v>30</v>
      </c>
      <c r="D1166" t="s">
        <v>134</v>
      </c>
      <c r="E1166" t="s">
        <v>120</v>
      </c>
      <c r="F1166" t="s">
        <v>167</v>
      </c>
      <c r="G1166" t="s">
        <v>135</v>
      </c>
      <c r="H1166" t="s">
        <v>300</v>
      </c>
      <c r="I1166" t="s">
        <v>445</v>
      </c>
      <c r="J1166" t="s">
        <v>3087</v>
      </c>
      <c r="K1166" t="s">
        <v>92</v>
      </c>
      <c r="L1166" t="s">
        <v>150</v>
      </c>
      <c r="M1166" t="s">
        <v>129</v>
      </c>
      <c r="N1166" t="s">
        <v>57</v>
      </c>
      <c r="O1166" s="4">
        <v>3</v>
      </c>
      <c r="P1166" s="4">
        <v>12</v>
      </c>
      <c r="Q1166" t="s">
        <v>83</v>
      </c>
      <c r="R1166" s="2">
        <v>46175</v>
      </c>
      <c r="S1166" s="4">
        <v>28</v>
      </c>
      <c r="T1166" s="3">
        <v>60000000</v>
      </c>
      <c r="U1166" t="s">
        <v>260</v>
      </c>
      <c r="V1166" t="s">
        <v>59</v>
      </c>
      <c r="W1166" t="s">
        <v>157</v>
      </c>
      <c r="X1166" t="s">
        <v>261</v>
      </c>
      <c r="Y1166" t="s">
        <v>72</v>
      </c>
      <c r="Z1166" t="s">
        <v>3180</v>
      </c>
      <c r="AA1166" t="s">
        <v>97</v>
      </c>
      <c r="AB1166" t="s">
        <v>193</v>
      </c>
      <c r="AC1166" t="s">
        <v>97</v>
      </c>
    </row>
    <row r="1167" spans="1:29">
      <c r="A1167" t="s">
        <v>1583</v>
      </c>
      <c r="B1167" s="2">
        <v>46193</v>
      </c>
      <c r="C1167" t="s">
        <v>30</v>
      </c>
      <c r="D1167" t="s">
        <v>74</v>
      </c>
      <c r="E1167" t="s">
        <v>32</v>
      </c>
      <c r="F1167" t="s">
        <v>273</v>
      </c>
      <c r="G1167" t="s">
        <v>463</v>
      </c>
      <c r="H1167" t="s">
        <v>35</v>
      </c>
      <c r="I1167" t="s">
        <v>320</v>
      </c>
      <c r="J1167" t="s">
        <v>3051</v>
      </c>
      <c r="K1167" t="s">
        <v>105</v>
      </c>
      <c r="L1167" t="s">
        <v>38</v>
      </c>
      <c r="M1167" t="s">
        <v>129</v>
      </c>
      <c r="N1167" t="s">
        <v>196</v>
      </c>
      <c r="O1167" s="4">
        <v>7</v>
      </c>
      <c r="P1167" s="4">
        <v>9</v>
      </c>
      <c r="Q1167" t="s">
        <v>41</v>
      </c>
      <c r="R1167" s="2">
        <v>46193</v>
      </c>
      <c r="S1167" s="4">
        <v>10</v>
      </c>
      <c r="T1167" s="3">
        <v>168000000</v>
      </c>
      <c r="U1167" t="s">
        <v>196</v>
      </c>
      <c r="V1167" t="s">
        <v>70</v>
      </c>
      <c r="W1167" t="s">
        <v>675</v>
      </c>
      <c r="Y1167" t="s">
        <v>210</v>
      </c>
      <c r="Z1167" t="s">
        <v>3181</v>
      </c>
      <c r="AA1167" t="s">
        <v>46</v>
      </c>
      <c r="AB1167" t="s">
        <v>199</v>
      </c>
      <c r="AC1167" t="s">
        <v>46</v>
      </c>
    </row>
    <row r="1168" spans="1:29">
      <c r="A1168" t="s">
        <v>1584</v>
      </c>
      <c r="B1168" s="2">
        <v>46194</v>
      </c>
      <c r="C1168" t="s">
        <v>30</v>
      </c>
      <c r="D1168" t="s">
        <v>74</v>
      </c>
      <c r="E1168" t="s">
        <v>152</v>
      </c>
      <c r="F1168" t="s">
        <v>205</v>
      </c>
      <c r="G1168" t="s">
        <v>294</v>
      </c>
      <c r="H1168" t="s">
        <v>207</v>
      </c>
      <c r="I1168" t="s">
        <v>547</v>
      </c>
      <c r="J1168" t="s">
        <v>3116</v>
      </c>
      <c r="K1168" t="s">
        <v>37</v>
      </c>
      <c r="L1168" t="s">
        <v>187</v>
      </c>
      <c r="M1168" t="s">
        <v>93</v>
      </c>
      <c r="N1168" t="s">
        <v>94</v>
      </c>
      <c r="O1168" s="4">
        <v>4</v>
      </c>
      <c r="P1168" s="4">
        <v>10</v>
      </c>
      <c r="Q1168" t="s">
        <v>138</v>
      </c>
      <c r="R1168" s="2">
        <v>46192</v>
      </c>
      <c r="S1168" s="4">
        <v>11</v>
      </c>
      <c r="T1168" s="3">
        <v>270000000</v>
      </c>
      <c r="U1168" t="s">
        <v>42</v>
      </c>
      <c r="V1168" t="s">
        <v>59</v>
      </c>
      <c r="W1168" t="s">
        <v>170</v>
      </c>
      <c r="Y1168" t="s">
        <v>228</v>
      </c>
      <c r="Z1168" t="s">
        <v>3179</v>
      </c>
      <c r="AA1168" t="s">
        <v>159</v>
      </c>
      <c r="AB1168" t="s">
        <v>97</v>
      </c>
      <c r="AC1168" t="s">
        <v>159</v>
      </c>
    </row>
    <row r="1169" spans="1:29">
      <c r="A1169" t="s">
        <v>1585</v>
      </c>
      <c r="B1169" s="2">
        <v>46199</v>
      </c>
      <c r="C1169" t="s">
        <v>30</v>
      </c>
      <c r="D1169" t="s">
        <v>49</v>
      </c>
      <c r="E1169" t="s">
        <v>120</v>
      </c>
      <c r="F1169" t="s">
        <v>246</v>
      </c>
      <c r="G1169" t="s">
        <v>224</v>
      </c>
      <c r="H1169" t="s">
        <v>300</v>
      </c>
      <c r="I1169" t="s">
        <v>830</v>
      </c>
      <c r="J1169" t="s">
        <v>3159</v>
      </c>
      <c r="K1169" t="s">
        <v>92</v>
      </c>
      <c r="L1169" t="s">
        <v>150</v>
      </c>
      <c r="M1169" t="s">
        <v>106</v>
      </c>
      <c r="N1169" t="s">
        <v>94</v>
      </c>
      <c r="O1169" s="4">
        <v>4</v>
      </c>
      <c r="P1169" s="4">
        <v>9</v>
      </c>
      <c r="Q1169" t="s">
        <v>58</v>
      </c>
      <c r="R1169" s="2">
        <v>46196</v>
      </c>
      <c r="S1169" s="4">
        <v>7</v>
      </c>
      <c r="T1169" s="3">
        <v>232000000</v>
      </c>
      <c r="U1169" t="s">
        <v>42</v>
      </c>
      <c r="V1169" t="s">
        <v>59</v>
      </c>
      <c r="W1169" t="s">
        <v>170</v>
      </c>
      <c r="Y1169" t="s">
        <v>268</v>
      </c>
      <c r="Z1169" t="s">
        <v>3179</v>
      </c>
      <c r="AA1169" t="s">
        <v>97</v>
      </c>
      <c r="AB1169" t="s">
        <v>97</v>
      </c>
      <c r="AC1169" t="s">
        <v>97</v>
      </c>
    </row>
    <row r="1170" spans="1:29">
      <c r="A1170" t="s">
        <v>1586</v>
      </c>
      <c r="B1170" s="2">
        <v>46197</v>
      </c>
      <c r="C1170" t="s">
        <v>30</v>
      </c>
      <c r="D1170" t="s">
        <v>49</v>
      </c>
      <c r="E1170" t="s">
        <v>172</v>
      </c>
      <c r="F1170" t="s">
        <v>277</v>
      </c>
      <c r="G1170" t="s">
        <v>174</v>
      </c>
      <c r="H1170" t="s">
        <v>241</v>
      </c>
      <c r="I1170" t="s">
        <v>457</v>
      </c>
      <c r="J1170" t="s">
        <v>3092</v>
      </c>
      <c r="K1170" t="s">
        <v>116</v>
      </c>
      <c r="L1170" t="s">
        <v>68</v>
      </c>
      <c r="M1170" t="s">
        <v>106</v>
      </c>
      <c r="N1170" t="s">
        <v>57</v>
      </c>
      <c r="O1170" s="4">
        <v>3</v>
      </c>
      <c r="P1170" s="4">
        <v>9</v>
      </c>
      <c r="Q1170" t="s">
        <v>138</v>
      </c>
      <c r="R1170" s="2">
        <v>46189</v>
      </c>
      <c r="S1170" s="4">
        <v>14</v>
      </c>
      <c r="T1170" s="3">
        <v>103000000</v>
      </c>
      <c r="U1170" t="s">
        <v>42</v>
      </c>
      <c r="V1170" t="s">
        <v>59</v>
      </c>
      <c r="W1170" t="s">
        <v>157</v>
      </c>
      <c r="Y1170" t="s">
        <v>61</v>
      </c>
      <c r="Z1170" t="s">
        <v>3177</v>
      </c>
      <c r="AA1170" t="s">
        <v>181</v>
      </c>
      <c r="AB1170" t="s">
        <v>63</v>
      </c>
      <c r="AC1170" t="s">
        <v>181</v>
      </c>
    </row>
    <row r="1171" spans="1:29">
      <c r="A1171" t="s">
        <v>1587</v>
      </c>
      <c r="B1171" s="2">
        <v>46192</v>
      </c>
      <c r="C1171" t="s">
        <v>30</v>
      </c>
      <c r="D1171" t="s">
        <v>74</v>
      </c>
      <c r="E1171" t="s">
        <v>32</v>
      </c>
      <c r="F1171" t="s">
        <v>273</v>
      </c>
      <c r="G1171" t="s">
        <v>361</v>
      </c>
      <c r="H1171" t="s">
        <v>303</v>
      </c>
      <c r="I1171" t="s">
        <v>464</v>
      </c>
      <c r="J1171" t="s">
        <v>3095</v>
      </c>
      <c r="K1171" t="s">
        <v>92</v>
      </c>
      <c r="L1171" t="s">
        <v>150</v>
      </c>
      <c r="M1171" t="s">
        <v>106</v>
      </c>
      <c r="N1171" t="s">
        <v>40</v>
      </c>
      <c r="O1171" s="4">
        <v>2</v>
      </c>
      <c r="P1171" s="4">
        <v>2</v>
      </c>
      <c r="Q1171" t="s">
        <v>138</v>
      </c>
      <c r="R1171" s="2">
        <v>46187</v>
      </c>
      <c r="S1171" s="4">
        <v>16</v>
      </c>
      <c r="T1171" s="3">
        <v>195000000</v>
      </c>
      <c r="U1171" t="s">
        <v>42</v>
      </c>
      <c r="V1171" t="s">
        <v>59</v>
      </c>
      <c r="W1171" t="s">
        <v>178</v>
      </c>
      <c r="Y1171" t="s">
        <v>309</v>
      </c>
      <c r="Z1171" t="s">
        <v>3176</v>
      </c>
      <c r="AA1171" t="s">
        <v>46</v>
      </c>
      <c r="AB1171" t="s">
        <v>47</v>
      </c>
      <c r="AC1171" t="s">
        <v>46</v>
      </c>
    </row>
    <row r="1172" spans="1:29">
      <c r="A1172" t="s">
        <v>1588</v>
      </c>
      <c r="B1172" s="2">
        <v>46201</v>
      </c>
      <c r="C1172" t="s">
        <v>30</v>
      </c>
      <c r="D1172" t="s">
        <v>49</v>
      </c>
      <c r="E1172" t="s">
        <v>100</v>
      </c>
      <c r="F1172" t="s">
        <v>140</v>
      </c>
      <c r="G1172" t="s">
        <v>237</v>
      </c>
      <c r="H1172" t="s">
        <v>103</v>
      </c>
      <c r="I1172" t="s">
        <v>436</v>
      </c>
      <c r="J1172" t="s">
        <v>3084</v>
      </c>
      <c r="K1172" t="s">
        <v>37</v>
      </c>
      <c r="L1172" t="s">
        <v>38</v>
      </c>
      <c r="M1172" t="s">
        <v>106</v>
      </c>
      <c r="N1172" t="s">
        <v>94</v>
      </c>
      <c r="O1172" s="4">
        <v>4</v>
      </c>
      <c r="P1172" s="4">
        <v>22</v>
      </c>
      <c r="Q1172" t="s">
        <v>142</v>
      </c>
      <c r="R1172" s="2">
        <v>46194</v>
      </c>
      <c r="S1172" s="4">
        <v>9</v>
      </c>
      <c r="T1172" s="3">
        <v>100000000</v>
      </c>
      <c r="U1172" t="s">
        <v>42</v>
      </c>
      <c r="V1172" t="s">
        <v>70</v>
      </c>
      <c r="W1172" t="s">
        <v>95</v>
      </c>
      <c r="Y1172" t="s">
        <v>268</v>
      </c>
      <c r="Z1172" t="s">
        <v>3179</v>
      </c>
      <c r="AA1172" t="s">
        <v>109</v>
      </c>
      <c r="AB1172" t="s">
        <v>97</v>
      </c>
      <c r="AC1172" t="s">
        <v>109</v>
      </c>
    </row>
    <row r="1173" spans="1:29">
      <c r="A1173" t="s">
        <v>1589</v>
      </c>
      <c r="B1173" s="2">
        <v>46193</v>
      </c>
      <c r="C1173" t="s">
        <v>30</v>
      </c>
      <c r="D1173" t="s">
        <v>74</v>
      </c>
      <c r="E1173" t="s">
        <v>75</v>
      </c>
      <c r="F1173" t="s">
        <v>161</v>
      </c>
      <c r="G1173" t="s">
        <v>162</v>
      </c>
      <c r="H1173" t="s">
        <v>185</v>
      </c>
      <c r="I1173" t="s">
        <v>354</v>
      </c>
      <c r="J1173" t="s">
        <v>3061</v>
      </c>
      <c r="K1173" t="s">
        <v>105</v>
      </c>
      <c r="L1173" t="s">
        <v>187</v>
      </c>
      <c r="M1173" t="s">
        <v>164</v>
      </c>
      <c r="N1173" t="s">
        <v>57</v>
      </c>
      <c r="O1173" s="4">
        <v>3</v>
      </c>
      <c r="P1173" s="4">
        <v>8</v>
      </c>
      <c r="Q1173" t="s">
        <v>69</v>
      </c>
      <c r="R1173" s="2">
        <v>46184</v>
      </c>
      <c r="S1173" s="4">
        <v>19</v>
      </c>
      <c r="T1173" s="3">
        <v>283000000</v>
      </c>
      <c r="U1173" t="s">
        <v>42</v>
      </c>
      <c r="V1173" t="s">
        <v>59</v>
      </c>
      <c r="W1173" t="s">
        <v>203</v>
      </c>
      <c r="Y1173" t="s">
        <v>72</v>
      </c>
      <c r="Z1173" t="s">
        <v>3177</v>
      </c>
      <c r="AA1173" t="s">
        <v>86</v>
      </c>
      <c r="AB1173" t="s">
        <v>63</v>
      </c>
      <c r="AC1173" t="s">
        <v>86</v>
      </c>
    </row>
    <row r="1174" spans="1:29">
      <c r="A1174" t="s">
        <v>1590</v>
      </c>
      <c r="B1174" s="2">
        <v>46196</v>
      </c>
      <c r="C1174" t="s">
        <v>30</v>
      </c>
      <c r="D1174" t="s">
        <v>49</v>
      </c>
      <c r="E1174" t="s">
        <v>111</v>
      </c>
      <c r="F1174" t="s">
        <v>264</v>
      </c>
      <c r="G1174" t="s">
        <v>251</v>
      </c>
      <c r="H1174" t="s">
        <v>114</v>
      </c>
      <c r="I1174" t="s">
        <v>988</v>
      </c>
      <c r="J1174" t="s">
        <v>3168</v>
      </c>
      <c r="K1174" t="s">
        <v>116</v>
      </c>
      <c r="L1174" t="s">
        <v>150</v>
      </c>
      <c r="M1174" t="s">
        <v>129</v>
      </c>
      <c r="N1174" t="s">
        <v>57</v>
      </c>
      <c r="O1174" s="4">
        <v>3</v>
      </c>
      <c r="P1174" s="4">
        <v>5</v>
      </c>
      <c r="Q1174" t="s">
        <v>107</v>
      </c>
      <c r="R1174" s="2">
        <v>46189</v>
      </c>
      <c r="S1174" s="4">
        <v>14</v>
      </c>
      <c r="T1174" s="3">
        <v>167000000</v>
      </c>
      <c r="U1174" t="s">
        <v>42</v>
      </c>
      <c r="V1174" t="s">
        <v>43</v>
      </c>
      <c r="W1174" t="s">
        <v>203</v>
      </c>
      <c r="Y1174" t="s">
        <v>72</v>
      </c>
      <c r="Z1174" t="s">
        <v>3177</v>
      </c>
      <c r="AA1174" t="s">
        <v>118</v>
      </c>
      <c r="AB1174" t="s">
        <v>63</v>
      </c>
      <c r="AC1174" t="s">
        <v>118</v>
      </c>
    </row>
    <row r="1175" spans="1:29">
      <c r="A1175" t="s">
        <v>1591</v>
      </c>
      <c r="B1175" s="2">
        <v>46185</v>
      </c>
      <c r="C1175" t="s">
        <v>30</v>
      </c>
      <c r="D1175" t="s">
        <v>99</v>
      </c>
      <c r="E1175" t="s">
        <v>32</v>
      </c>
      <c r="F1175" t="s">
        <v>256</v>
      </c>
      <c r="G1175" t="s">
        <v>361</v>
      </c>
      <c r="H1175" t="s">
        <v>35</v>
      </c>
      <c r="I1175" t="s">
        <v>595</v>
      </c>
      <c r="J1175" t="s">
        <v>3128</v>
      </c>
      <c r="K1175" t="s">
        <v>37</v>
      </c>
      <c r="L1175" t="s">
        <v>187</v>
      </c>
      <c r="M1175" t="s">
        <v>39</v>
      </c>
      <c r="N1175" t="s">
        <v>82</v>
      </c>
      <c r="O1175" s="4">
        <v>1</v>
      </c>
      <c r="P1175" s="4">
        <v>4</v>
      </c>
      <c r="Q1175" t="s">
        <v>107</v>
      </c>
      <c r="R1175" s="2">
        <v>46176</v>
      </c>
      <c r="S1175" s="4">
        <v>27</v>
      </c>
      <c r="T1175" s="3">
        <v>148000000</v>
      </c>
      <c r="U1175" t="s">
        <v>42</v>
      </c>
      <c r="V1175" t="s">
        <v>59</v>
      </c>
      <c r="W1175" t="s">
        <v>359</v>
      </c>
      <c r="Y1175" t="s">
        <v>330</v>
      </c>
      <c r="Z1175" t="s">
        <v>3176</v>
      </c>
      <c r="AA1175" t="s">
        <v>46</v>
      </c>
      <c r="AB1175" t="s">
        <v>47</v>
      </c>
      <c r="AC1175" t="s">
        <v>46</v>
      </c>
    </row>
    <row r="1176" spans="1:29">
      <c r="A1176" t="s">
        <v>1592</v>
      </c>
      <c r="B1176" s="2">
        <v>46189</v>
      </c>
      <c r="C1176" t="s">
        <v>30</v>
      </c>
      <c r="D1176" t="s">
        <v>74</v>
      </c>
      <c r="E1176" t="s">
        <v>172</v>
      </c>
      <c r="F1176" t="s">
        <v>173</v>
      </c>
      <c r="G1176" t="s">
        <v>476</v>
      </c>
      <c r="H1176" t="s">
        <v>175</v>
      </c>
      <c r="I1176" t="s">
        <v>333</v>
      </c>
      <c r="J1176" t="s">
        <v>3054</v>
      </c>
      <c r="K1176" t="s">
        <v>56</v>
      </c>
      <c r="L1176" t="s">
        <v>55</v>
      </c>
      <c r="M1176" t="s">
        <v>93</v>
      </c>
      <c r="N1176" t="s">
        <v>130</v>
      </c>
      <c r="O1176" s="4">
        <v>5</v>
      </c>
      <c r="P1176" s="4">
        <v>7</v>
      </c>
      <c r="Q1176" t="s">
        <v>107</v>
      </c>
      <c r="R1176" s="2">
        <v>46181</v>
      </c>
      <c r="S1176" s="4">
        <v>22</v>
      </c>
      <c r="T1176" s="3">
        <v>351000000</v>
      </c>
      <c r="U1176" t="s">
        <v>42</v>
      </c>
      <c r="V1176" t="s">
        <v>70</v>
      </c>
      <c r="W1176" t="s">
        <v>131</v>
      </c>
      <c r="X1176" t="s">
        <v>117</v>
      </c>
      <c r="Y1176" t="s">
        <v>334</v>
      </c>
      <c r="Z1176" t="s">
        <v>3179</v>
      </c>
      <c r="AA1176" t="s">
        <v>181</v>
      </c>
      <c r="AB1176" t="s">
        <v>97</v>
      </c>
      <c r="AC1176" t="s">
        <v>181</v>
      </c>
    </row>
    <row r="1177" spans="1:29">
      <c r="A1177" t="s">
        <v>1593</v>
      </c>
      <c r="B1177" s="2">
        <v>46194</v>
      </c>
      <c r="C1177" t="s">
        <v>30</v>
      </c>
      <c r="D1177" t="s">
        <v>74</v>
      </c>
      <c r="E1177" t="s">
        <v>152</v>
      </c>
      <c r="F1177" t="s">
        <v>205</v>
      </c>
      <c r="G1177" t="s">
        <v>286</v>
      </c>
      <c r="H1177" t="s">
        <v>283</v>
      </c>
      <c r="I1177" t="s">
        <v>663</v>
      </c>
      <c r="J1177" t="s">
        <v>3145</v>
      </c>
      <c r="K1177" t="s">
        <v>37</v>
      </c>
      <c r="L1177" t="s">
        <v>55</v>
      </c>
      <c r="M1177" t="s">
        <v>164</v>
      </c>
      <c r="N1177" t="s">
        <v>94</v>
      </c>
      <c r="O1177" s="4">
        <v>4</v>
      </c>
      <c r="P1177" s="4">
        <v>16</v>
      </c>
      <c r="Q1177" t="s">
        <v>69</v>
      </c>
      <c r="R1177" s="2">
        <v>46190</v>
      </c>
      <c r="S1177" s="4">
        <v>13</v>
      </c>
      <c r="T1177" s="3">
        <v>182000000</v>
      </c>
      <c r="U1177" t="s">
        <v>260</v>
      </c>
      <c r="V1177" t="s">
        <v>59</v>
      </c>
      <c r="W1177" t="s">
        <v>267</v>
      </c>
      <c r="X1177" t="s">
        <v>381</v>
      </c>
      <c r="Y1177" t="s">
        <v>228</v>
      </c>
      <c r="Z1177" t="s">
        <v>3179</v>
      </c>
      <c r="AA1177" t="s">
        <v>159</v>
      </c>
      <c r="AB1177" t="s">
        <v>97</v>
      </c>
      <c r="AC1177" t="s">
        <v>159</v>
      </c>
    </row>
    <row r="1178" spans="1:29">
      <c r="A1178" t="s">
        <v>1594</v>
      </c>
      <c r="B1178" s="2">
        <v>46180</v>
      </c>
      <c r="C1178" t="s">
        <v>30</v>
      </c>
      <c r="D1178" t="s">
        <v>134</v>
      </c>
      <c r="E1178" t="s">
        <v>50</v>
      </c>
      <c r="F1178" t="s">
        <v>351</v>
      </c>
      <c r="G1178" t="s">
        <v>65</v>
      </c>
      <c r="H1178" t="s">
        <v>66</v>
      </c>
      <c r="I1178" t="s">
        <v>849</v>
      </c>
      <c r="J1178" t="s">
        <v>3162</v>
      </c>
      <c r="K1178" t="s">
        <v>105</v>
      </c>
      <c r="L1178" t="s">
        <v>187</v>
      </c>
      <c r="M1178" t="s">
        <v>164</v>
      </c>
      <c r="N1178" t="s">
        <v>196</v>
      </c>
      <c r="O1178" s="4">
        <v>7</v>
      </c>
      <c r="P1178" s="4">
        <v>13</v>
      </c>
      <c r="Q1178" t="s">
        <v>107</v>
      </c>
      <c r="R1178" s="2">
        <v>46180</v>
      </c>
      <c r="S1178" s="4">
        <v>23</v>
      </c>
      <c r="T1178" s="3">
        <v>368000000</v>
      </c>
      <c r="U1178" t="s">
        <v>564</v>
      </c>
      <c r="V1178" t="s">
        <v>70</v>
      </c>
      <c r="W1178" t="s">
        <v>209</v>
      </c>
      <c r="Y1178" t="s">
        <v>244</v>
      </c>
      <c r="Z1178" t="s">
        <v>3181</v>
      </c>
      <c r="AA1178" t="s">
        <v>62</v>
      </c>
      <c r="AB1178" t="s">
        <v>199</v>
      </c>
      <c r="AC1178" t="s">
        <v>62</v>
      </c>
    </row>
    <row r="1179" spans="1:29">
      <c r="A1179" t="s">
        <v>1595</v>
      </c>
      <c r="B1179" s="2">
        <v>46180</v>
      </c>
      <c r="C1179" t="s">
        <v>30</v>
      </c>
      <c r="D1179" t="s">
        <v>134</v>
      </c>
      <c r="E1179" t="s">
        <v>100</v>
      </c>
      <c r="F1179" t="s">
        <v>140</v>
      </c>
      <c r="G1179" t="s">
        <v>102</v>
      </c>
      <c r="H1179" t="s">
        <v>201</v>
      </c>
      <c r="I1179" t="s">
        <v>554</v>
      </c>
      <c r="J1179" t="s">
        <v>3117</v>
      </c>
      <c r="K1179" t="s">
        <v>37</v>
      </c>
      <c r="L1179" t="s">
        <v>187</v>
      </c>
      <c r="M1179" t="s">
        <v>164</v>
      </c>
      <c r="N1179" t="s">
        <v>94</v>
      </c>
      <c r="O1179" s="4">
        <v>4</v>
      </c>
      <c r="P1179" s="4">
        <v>13</v>
      </c>
      <c r="Q1179" t="s">
        <v>83</v>
      </c>
      <c r="R1179" s="2">
        <v>46174</v>
      </c>
      <c r="S1179" s="4">
        <v>29</v>
      </c>
      <c r="T1179" s="3">
        <v>146000000</v>
      </c>
      <c r="U1179" t="s">
        <v>42</v>
      </c>
      <c r="V1179" t="s">
        <v>59</v>
      </c>
      <c r="W1179" t="s">
        <v>267</v>
      </c>
      <c r="Y1179" t="s">
        <v>96</v>
      </c>
      <c r="Z1179" t="s">
        <v>3179</v>
      </c>
      <c r="AA1179" t="s">
        <v>109</v>
      </c>
      <c r="AB1179" t="s">
        <v>97</v>
      </c>
      <c r="AC1179" t="s">
        <v>109</v>
      </c>
    </row>
    <row r="1180" spans="1:29">
      <c r="A1180" t="s">
        <v>1596</v>
      </c>
      <c r="B1180" s="2">
        <v>46177</v>
      </c>
      <c r="C1180" t="s">
        <v>30</v>
      </c>
      <c r="D1180" t="s">
        <v>134</v>
      </c>
      <c r="E1180" t="s">
        <v>75</v>
      </c>
      <c r="F1180" t="s">
        <v>161</v>
      </c>
      <c r="G1180" t="s">
        <v>184</v>
      </c>
      <c r="H1180" t="s">
        <v>78</v>
      </c>
      <c r="I1180" t="s">
        <v>494</v>
      </c>
      <c r="J1180" t="s">
        <v>3104</v>
      </c>
      <c r="K1180" t="s">
        <v>37</v>
      </c>
      <c r="L1180" t="s">
        <v>169</v>
      </c>
      <c r="M1180" t="s">
        <v>106</v>
      </c>
      <c r="N1180" t="s">
        <v>57</v>
      </c>
      <c r="O1180" s="4">
        <v>3</v>
      </c>
      <c r="P1180" s="4">
        <v>8</v>
      </c>
      <c r="Q1180" t="s">
        <v>138</v>
      </c>
      <c r="R1180" s="2">
        <v>46170</v>
      </c>
      <c r="S1180" s="4">
        <v>33</v>
      </c>
      <c r="T1180" s="3">
        <v>164000000</v>
      </c>
      <c r="U1180" t="s">
        <v>42</v>
      </c>
      <c r="V1180" t="s">
        <v>59</v>
      </c>
      <c r="W1180" t="s">
        <v>71</v>
      </c>
      <c r="Y1180" t="s">
        <v>72</v>
      </c>
      <c r="Z1180" t="s">
        <v>3177</v>
      </c>
      <c r="AA1180" t="s">
        <v>86</v>
      </c>
      <c r="AB1180" t="s">
        <v>63</v>
      </c>
      <c r="AC1180" t="s">
        <v>86</v>
      </c>
    </row>
    <row r="1181" spans="1:29">
      <c r="A1181" t="s">
        <v>1597</v>
      </c>
      <c r="B1181" s="2">
        <v>46201</v>
      </c>
      <c r="C1181" t="s">
        <v>30</v>
      </c>
      <c r="D1181" t="s">
        <v>49</v>
      </c>
      <c r="E1181" t="s">
        <v>111</v>
      </c>
      <c r="F1181" t="s">
        <v>190</v>
      </c>
      <c r="G1181" t="s">
        <v>348</v>
      </c>
      <c r="H1181" t="s">
        <v>191</v>
      </c>
      <c r="I1181" t="s">
        <v>455</v>
      </c>
      <c r="J1181" t="s">
        <v>3091</v>
      </c>
      <c r="K1181" t="s">
        <v>116</v>
      </c>
      <c r="L1181" t="s">
        <v>55</v>
      </c>
      <c r="M1181" t="s">
        <v>164</v>
      </c>
      <c r="N1181" t="s">
        <v>130</v>
      </c>
      <c r="O1181" s="4">
        <v>5</v>
      </c>
      <c r="P1181" s="4">
        <v>10</v>
      </c>
      <c r="Q1181" t="s">
        <v>69</v>
      </c>
      <c r="R1181" s="2">
        <v>46196</v>
      </c>
      <c r="S1181" s="4">
        <v>7</v>
      </c>
      <c r="T1181" s="3">
        <v>104000000</v>
      </c>
      <c r="U1181" t="s">
        <v>260</v>
      </c>
      <c r="V1181" t="s">
        <v>59</v>
      </c>
      <c r="W1181" t="s">
        <v>131</v>
      </c>
      <c r="X1181" t="s">
        <v>422</v>
      </c>
      <c r="Y1181" t="s">
        <v>132</v>
      </c>
      <c r="Z1181" t="s">
        <v>3179</v>
      </c>
      <c r="AA1181" t="s">
        <v>118</v>
      </c>
      <c r="AB1181" t="s">
        <v>97</v>
      </c>
      <c r="AC1181" t="s">
        <v>118</v>
      </c>
    </row>
    <row r="1182" spans="1:29">
      <c r="A1182" t="s">
        <v>1598</v>
      </c>
      <c r="B1182" s="2">
        <v>46174</v>
      </c>
      <c r="C1182" t="s">
        <v>30</v>
      </c>
      <c r="D1182" t="s">
        <v>134</v>
      </c>
      <c r="E1182" t="s">
        <v>152</v>
      </c>
      <c r="F1182" t="s">
        <v>153</v>
      </c>
      <c r="G1182" t="s">
        <v>328</v>
      </c>
      <c r="H1182" t="s">
        <v>283</v>
      </c>
      <c r="I1182" t="s">
        <v>663</v>
      </c>
      <c r="J1182" t="s">
        <v>3145</v>
      </c>
      <c r="K1182" t="s">
        <v>92</v>
      </c>
      <c r="L1182" t="s">
        <v>169</v>
      </c>
      <c r="M1182" t="s">
        <v>93</v>
      </c>
      <c r="N1182" t="s">
        <v>82</v>
      </c>
      <c r="O1182" s="4">
        <v>1</v>
      </c>
      <c r="P1182" s="4">
        <v>12</v>
      </c>
      <c r="Q1182" t="s">
        <v>138</v>
      </c>
      <c r="R1182" s="2">
        <v>46167</v>
      </c>
      <c r="S1182" s="4">
        <v>36</v>
      </c>
      <c r="T1182" s="3">
        <v>62000000</v>
      </c>
      <c r="U1182" t="s">
        <v>42</v>
      </c>
      <c r="V1182" t="s">
        <v>43</v>
      </c>
      <c r="W1182" t="s">
        <v>290</v>
      </c>
      <c r="Y1182" t="s">
        <v>305</v>
      </c>
      <c r="Z1182" t="s">
        <v>3180</v>
      </c>
      <c r="AA1182" t="s">
        <v>159</v>
      </c>
      <c r="AB1182" t="s">
        <v>193</v>
      </c>
      <c r="AC1182" t="s">
        <v>159</v>
      </c>
    </row>
    <row r="1183" spans="1:29">
      <c r="A1183" t="s">
        <v>1599</v>
      </c>
      <c r="B1183" s="2">
        <v>46185</v>
      </c>
      <c r="C1183" t="s">
        <v>30</v>
      </c>
      <c r="D1183" t="s">
        <v>99</v>
      </c>
      <c r="E1183" t="s">
        <v>120</v>
      </c>
      <c r="F1183" t="s">
        <v>121</v>
      </c>
      <c r="G1183" t="s">
        <v>227</v>
      </c>
      <c r="H1183" t="s">
        <v>300</v>
      </c>
      <c r="I1183" t="s">
        <v>421</v>
      </c>
      <c r="J1183" t="s">
        <v>3080</v>
      </c>
      <c r="K1183" t="s">
        <v>92</v>
      </c>
      <c r="L1183" t="s">
        <v>68</v>
      </c>
      <c r="M1183" t="s">
        <v>93</v>
      </c>
      <c r="N1183" t="s">
        <v>130</v>
      </c>
      <c r="O1183" s="4">
        <v>5</v>
      </c>
      <c r="P1183" s="4">
        <v>11</v>
      </c>
      <c r="Q1183" t="s">
        <v>83</v>
      </c>
      <c r="R1183" s="2">
        <v>46179</v>
      </c>
      <c r="S1183" s="4">
        <v>24</v>
      </c>
      <c r="T1183" s="3">
        <v>88000000</v>
      </c>
      <c r="U1183" t="s">
        <v>42</v>
      </c>
      <c r="V1183" t="s">
        <v>143</v>
      </c>
      <c r="W1183" t="s">
        <v>355</v>
      </c>
      <c r="Y1183" t="s">
        <v>254</v>
      </c>
      <c r="Z1183" t="s">
        <v>3179</v>
      </c>
      <c r="AA1183" t="s">
        <v>97</v>
      </c>
      <c r="AB1183" t="s">
        <v>97</v>
      </c>
      <c r="AC1183" t="s">
        <v>97</v>
      </c>
    </row>
    <row r="1184" spans="1:29">
      <c r="A1184" t="s">
        <v>1600</v>
      </c>
      <c r="B1184" s="2">
        <v>46188</v>
      </c>
      <c r="C1184" t="s">
        <v>30</v>
      </c>
      <c r="D1184" t="s">
        <v>74</v>
      </c>
      <c r="E1184" t="s">
        <v>75</v>
      </c>
      <c r="F1184" t="s">
        <v>76</v>
      </c>
      <c r="G1184" t="s">
        <v>184</v>
      </c>
      <c r="H1184" t="s">
        <v>388</v>
      </c>
      <c r="I1184" t="s">
        <v>409</v>
      </c>
      <c r="J1184" t="s">
        <v>3076</v>
      </c>
      <c r="K1184" t="s">
        <v>37</v>
      </c>
      <c r="L1184" t="s">
        <v>80</v>
      </c>
      <c r="M1184" t="s">
        <v>39</v>
      </c>
      <c r="N1184" t="s">
        <v>213</v>
      </c>
      <c r="O1184" s="4">
        <v>6</v>
      </c>
      <c r="P1184" s="4">
        <v>8</v>
      </c>
      <c r="Q1184" t="s">
        <v>41</v>
      </c>
      <c r="R1184" s="2">
        <v>46188</v>
      </c>
      <c r="S1184" s="4">
        <v>15</v>
      </c>
      <c r="T1184" s="3">
        <v>290000000</v>
      </c>
      <c r="U1184" t="s">
        <v>214</v>
      </c>
      <c r="V1184" t="s">
        <v>70</v>
      </c>
      <c r="W1184" t="s">
        <v>438</v>
      </c>
      <c r="Y1184" t="s">
        <v>216</v>
      </c>
      <c r="Z1184" t="s">
        <v>3179</v>
      </c>
      <c r="AA1184" t="s">
        <v>86</v>
      </c>
      <c r="AB1184" t="s">
        <v>97</v>
      </c>
      <c r="AC1184" t="s">
        <v>86</v>
      </c>
    </row>
    <row r="1185" spans="1:29">
      <c r="A1185" t="s">
        <v>1601</v>
      </c>
      <c r="B1185" s="2">
        <v>46187</v>
      </c>
      <c r="C1185" t="s">
        <v>30</v>
      </c>
      <c r="D1185" t="s">
        <v>99</v>
      </c>
      <c r="E1185" t="s">
        <v>75</v>
      </c>
      <c r="F1185" t="s">
        <v>76</v>
      </c>
      <c r="G1185" t="s">
        <v>162</v>
      </c>
      <c r="H1185" t="s">
        <v>388</v>
      </c>
      <c r="I1185" t="s">
        <v>389</v>
      </c>
      <c r="J1185" t="s">
        <v>3071</v>
      </c>
      <c r="K1185" t="s">
        <v>37</v>
      </c>
      <c r="L1185" t="s">
        <v>38</v>
      </c>
      <c r="M1185" t="s">
        <v>93</v>
      </c>
      <c r="N1185" t="s">
        <v>130</v>
      </c>
      <c r="O1185" s="4">
        <v>5</v>
      </c>
      <c r="P1185" s="4">
        <v>10</v>
      </c>
      <c r="Q1185" t="s">
        <v>107</v>
      </c>
      <c r="R1185" s="2">
        <v>46186</v>
      </c>
      <c r="S1185" s="4">
        <v>17</v>
      </c>
      <c r="T1185" s="3">
        <v>205000000</v>
      </c>
      <c r="U1185" t="s">
        <v>42</v>
      </c>
      <c r="V1185" t="s">
        <v>70</v>
      </c>
      <c r="W1185" t="s">
        <v>355</v>
      </c>
      <c r="X1185" t="s">
        <v>117</v>
      </c>
      <c r="Y1185" t="s">
        <v>334</v>
      </c>
      <c r="Z1185" t="s">
        <v>3179</v>
      </c>
      <c r="AA1185" t="s">
        <v>86</v>
      </c>
      <c r="AB1185" t="s">
        <v>97</v>
      </c>
      <c r="AC1185" t="s">
        <v>86</v>
      </c>
    </row>
    <row r="1186" spans="1:29">
      <c r="A1186" t="s">
        <v>1602</v>
      </c>
      <c r="B1186" s="2">
        <v>46178</v>
      </c>
      <c r="C1186" t="s">
        <v>30</v>
      </c>
      <c r="D1186" t="s">
        <v>134</v>
      </c>
      <c r="E1186" t="s">
        <v>100</v>
      </c>
      <c r="F1186" t="s">
        <v>101</v>
      </c>
      <c r="G1186" t="s">
        <v>212</v>
      </c>
      <c r="H1186" t="s">
        <v>103</v>
      </c>
      <c r="I1186" t="s">
        <v>411</v>
      </c>
      <c r="J1186" t="s">
        <v>3077</v>
      </c>
      <c r="K1186" t="s">
        <v>56</v>
      </c>
      <c r="L1186" t="s">
        <v>38</v>
      </c>
      <c r="M1186" t="s">
        <v>164</v>
      </c>
      <c r="N1186" t="s">
        <v>82</v>
      </c>
      <c r="O1186" s="4">
        <v>1</v>
      </c>
      <c r="P1186" s="4">
        <v>12</v>
      </c>
      <c r="Q1186" t="s">
        <v>138</v>
      </c>
      <c r="R1186" s="2">
        <v>46173</v>
      </c>
      <c r="S1186" s="4">
        <v>30</v>
      </c>
      <c r="T1186" s="3">
        <v>402000000</v>
      </c>
      <c r="U1186" t="s">
        <v>42</v>
      </c>
      <c r="V1186" t="s">
        <v>43</v>
      </c>
      <c r="W1186" t="s">
        <v>84</v>
      </c>
      <c r="Y1186" t="s">
        <v>330</v>
      </c>
      <c r="Z1186" t="s">
        <v>3180</v>
      </c>
      <c r="AA1186" t="s">
        <v>109</v>
      </c>
      <c r="AB1186" t="s">
        <v>193</v>
      </c>
      <c r="AC1186" t="s">
        <v>109</v>
      </c>
    </row>
    <row r="1187" spans="1:29">
      <c r="A1187" t="s">
        <v>1603</v>
      </c>
      <c r="B1187" s="2">
        <v>46181</v>
      </c>
      <c r="C1187" t="s">
        <v>30</v>
      </c>
      <c r="D1187" t="s">
        <v>99</v>
      </c>
      <c r="E1187" t="s">
        <v>152</v>
      </c>
      <c r="F1187" t="s">
        <v>205</v>
      </c>
      <c r="G1187" t="s">
        <v>328</v>
      </c>
      <c r="H1187" t="s">
        <v>283</v>
      </c>
      <c r="I1187" t="s">
        <v>295</v>
      </c>
      <c r="J1187" t="s">
        <v>3043</v>
      </c>
      <c r="K1187" t="s">
        <v>56</v>
      </c>
      <c r="L1187" t="s">
        <v>187</v>
      </c>
      <c r="M1187" t="s">
        <v>106</v>
      </c>
      <c r="N1187" t="s">
        <v>40</v>
      </c>
      <c r="O1187" s="4">
        <v>2</v>
      </c>
      <c r="P1187" s="4">
        <v>14</v>
      </c>
      <c r="Q1187" t="s">
        <v>69</v>
      </c>
      <c r="R1187" s="2">
        <v>46172</v>
      </c>
      <c r="S1187" s="4">
        <v>31</v>
      </c>
      <c r="T1187" s="3">
        <v>168000000</v>
      </c>
      <c r="U1187" t="s">
        <v>42</v>
      </c>
      <c r="V1187" t="s">
        <v>43</v>
      </c>
      <c r="W1187" t="s">
        <v>239</v>
      </c>
      <c r="Y1187" t="s">
        <v>180</v>
      </c>
      <c r="Z1187" t="s">
        <v>3180</v>
      </c>
      <c r="AA1187" t="s">
        <v>159</v>
      </c>
      <c r="AB1187" t="s">
        <v>193</v>
      </c>
      <c r="AC1187" t="s">
        <v>159</v>
      </c>
    </row>
    <row r="1188" spans="1:29">
      <c r="A1188" t="s">
        <v>1604</v>
      </c>
      <c r="B1188" s="2">
        <v>46183</v>
      </c>
      <c r="C1188" t="s">
        <v>30</v>
      </c>
      <c r="D1188" t="s">
        <v>99</v>
      </c>
      <c r="E1188" t="s">
        <v>50</v>
      </c>
      <c r="F1188" t="s">
        <v>351</v>
      </c>
      <c r="G1188" t="s">
        <v>270</v>
      </c>
      <c r="H1188" t="s">
        <v>90</v>
      </c>
      <c r="I1188" t="s">
        <v>352</v>
      </c>
      <c r="J1188" t="s">
        <v>3060</v>
      </c>
      <c r="K1188" t="s">
        <v>37</v>
      </c>
      <c r="L1188" t="s">
        <v>187</v>
      </c>
      <c r="M1188" t="s">
        <v>39</v>
      </c>
      <c r="N1188" t="s">
        <v>57</v>
      </c>
      <c r="O1188" s="4">
        <v>3</v>
      </c>
      <c r="P1188" s="4">
        <v>12</v>
      </c>
      <c r="Q1188" t="s">
        <v>69</v>
      </c>
      <c r="R1188" s="2">
        <v>46179</v>
      </c>
      <c r="S1188" s="4">
        <v>24</v>
      </c>
      <c r="T1188" s="3">
        <v>234000000</v>
      </c>
      <c r="U1188" t="s">
        <v>42</v>
      </c>
      <c r="V1188" t="s">
        <v>59</v>
      </c>
      <c r="W1188" t="s">
        <v>60</v>
      </c>
      <c r="Y1188" t="s">
        <v>165</v>
      </c>
      <c r="Z1188" t="s">
        <v>3180</v>
      </c>
      <c r="AA1188" t="s">
        <v>62</v>
      </c>
      <c r="AB1188" t="s">
        <v>193</v>
      </c>
      <c r="AC1188" t="s">
        <v>62</v>
      </c>
    </row>
    <row r="1189" spans="1:29">
      <c r="A1189" t="s">
        <v>1605</v>
      </c>
      <c r="B1189" s="2">
        <v>46201</v>
      </c>
      <c r="C1189" t="s">
        <v>30</v>
      </c>
      <c r="D1189" t="s">
        <v>49</v>
      </c>
      <c r="E1189" t="s">
        <v>50</v>
      </c>
      <c r="F1189" t="s">
        <v>51</v>
      </c>
      <c r="G1189" t="s">
        <v>234</v>
      </c>
      <c r="H1189" t="s">
        <v>53</v>
      </c>
      <c r="I1189" t="s">
        <v>54</v>
      </c>
      <c r="J1189" t="s">
        <v>3009</v>
      </c>
      <c r="K1189" t="s">
        <v>116</v>
      </c>
      <c r="L1189" t="s">
        <v>187</v>
      </c>
      <c r="M1189" t="s">
        <v>93</v>
      </c>
      <c r="N1189" t="s">
        <v>94</v>
      </c>
      <c r="O1189" s="4">
        <v>4</v>
      </c>
      <c r="P1189" s="4">
        <v>13</v>
      </c>
      <c r="Q1189" t="s">
        <v>69</v>
      </c>
      <c r="R1189" s="2">
        <v>46194</v>
      </c>
      <c r="S1189" s="4">
        <v>9</v>
      </c>
      <c r="T1189" s="3">
        <v>91000000</v>
      </c>
      <c r="U1189" t="s">
        <v>42</v>
      </c>
      <c r="V1189" t="s">
        <v>59</v>
      </c>
      <c r="W1189" t="s">
        <v>170</v>
      </c>
      <c r="Y1189" t="s">
        <v>108</v>
      </c>
      <c r="Z1189" t="s">
        <v>3179</v>
      </c>
      <c r="AA1189" t="s">
        <v>62</v>
      </c>
      <c r="AB1189" t="s">
        <v>97</v>
      </c>
      <c r="AC1189" t="s">
        <v>62</v>
      </c>
    </row>
    <row r="1190" spans="1:29">
      <c r="A1190" t="s">
        <v>1606</v>
      </c>
      <c r="B1190" s="2">
        <v>46177</v>
      </c>
      <c r="C1190" t="s">
        <v>30</v>
      </c>
      <c r="D1190" t="s">
        <v>134</v>
      </c>
      <c r="E1190" t="s">
        <v>120</v>
      </c>
      <c r="F1190" t="s">
        <v>121</v>
      </c>
      <c r="G1190" t="s">
        <v>224</v>
      </c>
      <c r="H1190" t="s">
        <v>136</v>
      </c>
      <c r="I1190" t="s">
        <v>168</v>
      </c>
      <c r="J1190" t="s">
        <v>3022</v>
      </c>
      <c r="K1190" t="s">
        <v>37</v>
      </c>
      <c r="L1190" t="s">
        <v>68</v>
      </c>
      <c r="M1190" t="s">
        <v>129</v>
      </c>
      <c r="N1190" t="s">
        <v>57</v>
      </c>
      <c r="O1190" s="4">
        <v>3</v>
      </c>
      <c r="P1190" s="4">
        <v>12</v>
      </c>
      <c r="Q1190" t="s">
        <v>138</v>
      </c>
      <c r="R1190" s="2">
        <v>46170</v>
      </c>
      <c r="S1190" s="4">
        <v>33</v>
      </c>
      <c r="T1190" s="3">
        <v>160000000</v>
      </c>
      <c r="U1190" t="s">
        <v>42</v>
      </c>
      <c r="V1190" t="s">
        <v>59</v>
      </c>
      <c r="W1190" t="s">
        <v>203</v>
      </c>
      <c r="Y1190" t="s">
        <v>165</v>
      </c>
      <c r="Z1190" t="s">
        <v>3180</v>
      </c>
      <c r="AA1190" t="s">
        <v>97</v>
      </c>
      <c r="AB1190" t="s">
        <v>193</v>
      </c>
      <c r="AC1190" t="s">
        <v>97</v>
      </c>
    </row>
    <row r="1191" spans="1:29">
      <c r="A1191" t="s">
        <v>1607</v>
      </c>
      <c r="B1191" s="2">
        <v>46179</v>
      </c>
      <c r="C1191" t="s">
        <v>30</v>
      </c>
      <c r="D1191" t="s">
        <v>134</v>
      </c>
      <c r="E1191" t="s">
        <v>32</v>
      </c>
      <c r="F1191" t="s">
        <v>256</v>
      </c>
      <c r="G1191" t="s">
        <v>218</v>
      </c>
      <c r="H1191" t="s">
        <v>35</v>
      </c>
      <c r="I1191" t="s">
        <v>862</v>
      </c>
      <c r="J1191" t="s">
        <v>3164</v>
      </c>
      <c r="K1191" t="s">
        <v>105</v>
      </c>
      <c r="L1191" t="s">
        <v>80</v>
      </c>
      <c r="M1191" t="s">
        <v>129</v>
      </c>
      <c r="N1191" t="s">
        <v>40</v>
      </c>
      <c r="O1191" s="4">
        <v>2</v>
      </c>
      <c r="P1191" s="4">
        <v>5</v>
      </c>
      <c r="Q1191" t="s">
        <v>138</v>
      </c>
      <c r="R1191" s="2">
        <v>46176</v>
      </c>
      <c r="S1191" s="4">
        <v>27</v>
      </c>
      <c r="T1191" s="3">
        <v>105000000</v>
      </c>
      <c r="U1191" t="s">
        <v>42</v>
      </c>
      <c r="V1191" t="s">
        <v>59</v>
      </c>
      <c r="W1191" t="s">
        <v>178</v>
      </c>
      <c r="Y1191" t="s">
        <v>309</v>
      </c>
      <c r="Z1191" t="s">
        <v>3178</v>
      </c>
      <c r="AA1191" t="s">
        <v>46</v>
      </c>
      <c r="AB1191" t="s">
        <v>87</v>
      </c>
      <c r="AC1191" t="s">
        <v>46</v>
      </c>
    </row>
    <row r="1192" spans="1:29">
      <c r="A1192" t="s">
        <v>1608</v>
      </c>
      <c r="B1192" s="2">
        <v>46203</v>
      </c>
      <c r="C1192" t="s">
        <v>30</v>
      </c>
      <c r="D1192" t="s">
        <v>31</v>
      </c>
      <c r="E1192" t="s">
        <v>100</v>
      </c>
      <c r="F1192" t="s">
        <v>101</v>
      </c>
      <c r="G1192" t="s">
        <v>212</v>
      </c>
      <c r="H1192" t="s">
        <v>201</v>
      </c>
      <c r="I1192" t="s">
        <v>453</v>
      </c>
      <c r="J1192" t="s">
        <v>3090</v>
      </c>
      <c r="K1192" t="s">
        <v>37</v>
      </c>
      <c r="L1192" t="s">
        <v>80</v>
      </c>
      <c r="M1192" t="s">
        <v>129</v>
      </c>
      <c r="N1192" t="s">
        <v>196</v>
      </c>
      <c r="O1192" s="4">
        <v>7</v>
      </c>
      <c r="P1192" s="4">
        <v>14</v>
      </c>
      <c r="Q1192" t="s">
        <v>83</v>
      </c>
      <c r="R1192" s="2">
        <v>46201</v>
      </c>
      <c r="S1192" s="4">
        <v>2</v>
      </c>
      <c r="T1192" s="3">
        <v>299000000</v>
      </c>
      <c r="U1192" t="s">
        <v>564</v>
      </c>
      <c r="V1192" t="s">
        <v>70</v>
      </c>
      <c r="W1192" t="s">
        <v>675</v>
      </c>
      <c r="Y1192" t="s">
        <v>210</v>
      </c>
      <c r="Z1192" t="s">
        <v>3181</v>
      </c>
      <c r="AA1192" t="s">
        <v>109</v>
      </c>
      <c r="AB1192" t="s">
        <v>199</v>
      </c>
      <c r="AC1192" t="s">
        <v>109</v>
      </c>
    </row>
    <row r="1193" spans="1:29">
      <c r="A1193" t="s">
        <v>1609</v>
      </c>
      <c r="B1193" s="2">
        <v>46180</v>
      </c>
      <c r="C1193" t="s">
        <v>30</v>
      </c>
      <c r="D1193" t="s">
        <v>134</v>
      </c>
      <c r="E1193" t="s">
        <v>172</v>
      </c>
      <c r="F1193" t="s">
        <v>277</v>
      </c>
      <c r="G1193" t="s">
        <v>278</v>
      </c>
      <c r="H1193" t="s">
        <v>241</v>
      </c>
      <c r="I1193" t="s">
        <v>457</v>
      </c>
      <c r="J1193" t="s">
        <v>3092</v>
      </c>
      <c r="K1193" t="s">
        <v>56</v>
      </c>
      <c r="L1193" t="s">
        <v>150</v>
      </c>
      <c r="M1193" t="s">
        <v>39</v>
      </c>
      <c r="N1193" t="s">
        <v>40</v>
      </c>
      <c r="O1193" s="4">
        <v>2</v>
      </c>
      <c r="P1193" s="4">
        <v>4</v>
      </c>
      <c r="Q1193" t="s">
        <v>107</v>
      </c>
      <c r="R1193" s="2">
        <v>46177</v>
      </c>
      <c r="S1193" s="4">
        <v>26</v>
      </c>
      <c r="T1193" s="3">
        <v>435000000</v>
      </c>
      <c r="U1193" t="s">
        <v>42</v>
      </c>
      <c r="V1193" t="s">
        <v>43</v>
      </c>
      <c r="W1193" t="s">
        <v>239</v>
      </c>
      <c r="Y1193" t="s">
        <v>281</v>
      </c>
      <c r="Z1193" t="s">
        <v>3176</v>
      </c>
      <c r="AA1193" t="s">
        <v>181</v>
      </c>
      <c r="AB1193" t="s">
        <v>47</v>
      </c>
      <c r="AC1193" t="s">
        <v>181</v>
      </c>
    </row>
    <row r="1194" spans="1:29">
      <c r="A1194" t="s">
        <v>1610</v>
      </c>
      <c r="B1194" s="2">
        <v>46195</v>
      </c>
      <c r="C1194" t="s">
        <v>30</v>
      </c>
      <c r="D1194" t="s">
        <v>49</v>
      </c>
      <c r="E1194" t="s">
        <v>75</v>
      </c>
      <c r="F1194" t="s">
        <v>161</v>
      </c>
      <c r="G1194" t="s">
        <v>162</v>
      </c>
      <c r="H1194" t="s">
        <v>78</v>
      </c>
      <c r="I1194" t="s">
        <v>231</v>
      </c>
      <c r="J1194" t="s">
        <v>3031</v>
      </c>
      <c r="K1194" t="s">
        <v>105</v>
      </c>
      <c r="L1194" t="s">
        <v>68</v>
      </c>
      <c r="M1194" t="s">
        <v>93</v>
      </c>
      <c r="N1194" t="s">
        <v>57</v>
      </c>
      <c r="O1194" s="4">
        <v>3</v>
      </c>
      <c r="P1194" s="4">
        <v>9</v>
      </c>
      <c r="Q1194" t="s">
        <v>107</v>
      </c>
      <c r="R1194" s="2">
        <v>46190</v>
      </c>
      <c r="S1194" s="4">
        <v>13</v>
      </c>
      <c r="T1194" s="3">
        <v>296000000</v>
      </c>
      <c r="U1194" t="s">
        <v>42</v>
      </c>
      <c r="V1194" t="s">
        <v>59</v>
      </c>
      <c r="W1194" t="s">
        <v>203</v>
      </c>
      <c r="Y1194" t="s">
        <v>165</v>
      </c>
      <c r="Z1194" t="s">
        <v>3177</v>
      </c>
      <c r="AA1194" t="s">
        <v>86</v>
      </c>
      <c r="AB1194" t="s">
        <v>63</v>
      </c>
      <c r="AC1194" t="s">
        <v>86</v>
      </c>
    </row>
    <row r="1195" spans="1:29">
      <c r="A1195" t="s">
        <v>1611</v>
      </c>
      <c r="B1195" s="2">
        <v>46203</v>
      </c>
      <c r="C1195" t="s">
        <v>30</v>
      </c>
      <c r="D1195" t="s">
        <v>31</v>
      </c>
      <c r="E1195" t="s">
        <v>111</v>
      </c>
      <c r="F1195" t="s">
        <v>264</v>
      </c>
      <c r="G1195" t="s">
        <v>126</v>
      </c>
      <c r="H1195" t="s">
        <v>127</v>
      </c>
      <c r="I1195" t="s">
        <v>734</v>
      </c>
      <c r="J1195" t="s">
        <v>3150</v>
      </c>
      <c r="K1195" t="s">
        <v>105</v>
      </c>
      <c r="L1195" t="s">
        <v>55</v>
      </c>
      <c r="M1195" t="s">
        <v>39</v>
      </c>
      <c r="N1195" t="s">
        <v>94</v>
      </c>
      <c r="O1195" s="4">
        <v>4</v>
      </c>
      <c r="P1195" s="4">
        <v>9</v>
      </c>
      <c r="Q1195" t="s">
        <v>83</v>
      </c>
      <c r="R1195" s="2">
        <v>46194</v>
      </c>
      <c r="S1195" s="4">
        <v>9</v>
      </c>
      <c r="T1195" s="3">
        <v>274000000</v>
      </c>
      <c r="U1195" t="s">
        <v>426</v>
      </c>
      <c r="V1195" t="s">
        <v>70</v>
      </c>
      <c r="W1195" t="s">
        <v>170</v>
      </c>
      <c r="X1195" t="s">
        <v>381</v>
      </c>
      <c r="Y1195" t="s">
        <v>268</v>
      </c>
      <c r="Z1195" t="s">
        <v>3179</v>
      </c>
      <c r="AA1195" t="s">
        <v>118</v>
      </c>
      <c r="AB1195" t="s">
        <v>97</v>
      </c>
      <c r="AC1195" t="s">
        <v>118</v>
      </c>
    </row>
    <row r="1196" spans="1:29">
      <c r="A1196" t="s">
        <v>1612</v>
      </c>
      <c r="B1196" s="2">
        <v>46199</v>
      </c>
      <c r="C1196" t="s">
        <v>30</v>
      </c>
      <c r="D1196" t="s">
        <v>49</v>
      </c>
      <c r="E1196" t="s">
        <v>152</v>
      </c>
      <c r="F1196" t="s">
        <v>221</v>
      </c>
      <c r="G1196" t="s">
        <v>154</v>
      </c>
      <c r="H1196" t="s">
        <v>155</v>
      </c>
      <c r="I1196" t="s">
        <v>729</v>
      </c>
      <c r="J1196" t="s">
        <v>3149</v>
      </c>
      <c r="K1196" t="s">
        <v>37</v>
      </c>
      <c r="L1196" t="s">
        <v>55</v>
      </c>
      <c r="M1196" t="s">
        <v>81</v>
      </c>
      <c r="N1196" t="s">
        <v>82</v>
      </c>
      <c r="O1196" s="4">
        <v>1</v>
      </c>
      <c r="P1196" s="4">
        <v>11</v>
      </c>
      <c r="Q1196" t="s">
        <v>138</v>
      </c>
      <c r="R1196" s="2">
        <v>46192</v>
      </c>
      <c r="S1196" s="4">
        <v>11</v>
      </c>
      <c r="T1196" s="3">
        <v>168000000</v>
      </c>
      <c r="U1196" t="s">
        <v>42</v>
      </c>
      <c r="V1196" t="s">
        <v>43</v>
      </c>
      <c r="W1196" t="s">
        <v>404</v>
      </c>
      <c r="Y1196" t="s">
        <v>85</v>
      </c>
      <c r="Z1196" t="s">
        <v>3178</v>
      </c>
      <c r="AA1196" t="s">
        <v>159</v>
      </c>
      <c r="AB1196" t="s">
        <v>87</v>
      </c>
      <c r="AC1196" t="s">
        <v>159</v>
      </c>
    </row>
    <row r="1197" spans="1:29">
      <c r="A1197" t="s">
        <v>1613</v>
      </c>
      <c r="B1197" s="2">
        <v>46194</v>
      </c>
      <c r="C1197" t="s">
        <v>30</v>
      </c>
      <c r="D1197" t="s">
        <v>74</v>
      </c>
      <c r="E1197" t="s">
        <v>120</v>
      </c>
      <c r="F1197" t="s">
        <v>167</v>
      </c>
      <c r="G1197" t="s">
        <v>224</v>
      </c>
      <c r="H1197" t="s">
        <v>136</v>
      </c>
      <c r="I1197" t="s">
        <v>275</v>
      </c>
      <c r="J1197" t="s">
        <v>3039</v>
      </c>
      <c r="K1197" t="s">
        <v>105</v>
      </c>
      <c r="L1197" t="s">
        <v>150</v>
      </c>
      <c r="M1197" t="s">
        <v>56</v>
      </c>
      <c r="N1197" t="s">
        <v>40</v>
      </c>
      <c r="O1197" s="4">
        <v>2</v>
      </c>
      <c r="P1197" s="4">
        <v>9</v>
      </c>
      <c r="Q1197" t="s">
        <v>138</v>
      </c>
      <c r="R1197" s="2">
        <v>46184</v>
      </c>
      <c r="S1197" s="4">
        <v>19</v>
      </c>
      <c r="T1197" s="3">
        <v>124000000</v>
      </c>
      <c r="U1197" t="s">
        <v>42</v>
      </c>
      <c r="V1197" t="s">
        <v>59</v>
      </c>
      <c r="W1197" t="s">
        <v>239</v>
      </c>
      <c r="Y1197" t="s">
        <v>45</v>
      </c>
      <c r="Z1197" t="s">
        <v>3178</v>
      </c>
      <c r="AA1197" t="s">
        <v>97</v>
      </c>
      <c r="AB1197" t="s">
        <v>87</v>
      </c>
      <c r="AC1197" t="s">
        <v>97</v>
      </c>
    </row>
    <row r="1198" spans="1:29">
      <c r="A1198" t="s">
        <v>1614</v>
      </c>
      <c r="B1198" s="2">
        <v>46183</v>
      </c>
      <c r="C1198" t="s">
        <v>30</v>
      </c>
      <c r="D1198" t="s">
        <v>99</v>
      </c>
      <c r="E1198" t="s">
        <v>32</v>
      </c>
      <c r="F1198" t="s">
        <v>273</v>
      </c>
      <c r="G1198" t="s">
        <v>257</v>
      </c>
      <c r="H1198" t="s">
        <v>303</v>
      </c>
      <c r="I1198" t="s">
        <v>326</v>
      </c>
      <c r="J1198" t="s">
        <v>3053</v>
      </c>
      <c r="K1198" t="s">
        <v>56</v>
      </c>
      <c r="L1198" t="s">
        <v>187</v>
      </c>
      <c r="M1198" t="s">
        <v>129</v>
      </c>
      <c r="N1198" t="s">
        <v>82</v>
      </c>
      <c r="O1198" s="4">
        <v>1</v>
      </c>
      <c r="P1198" s="4">
        <v>2</v>
      </c>
      <c r="Q1198" t="s">
        <v>69</v>
      </c>
      <c r="R1198" s="2">
        <v>46178</v>
      </c>
      <c r="S1198" s="4">
        <v>25</v>
      </c>
      <c r="T1198" s="3">
        <v>104000000</v>
      </c>
      <c r="U1198" t="s">
        <v>42</v>
      </c>
      <c r="V1198" t="s">
        <v>59</v>
      </c>
      <c r="W1198" t="s">
        <v>359</v>
      </c>
      <c r="Y1198" t="s">
        <v>305</v>
      </c>
      <c r="Z1198" t="s">
        <v>3176</v>
      </c>
      <c r="AA1198" t="s">
        <v>46</v>
      </c>
      <c r="AB1198" t="s">
        <v>47</v>
      </c>
      <c r="AC1198" t="s">
        <v>46</v>
      </c>
    </row>
    <row r="1199" spans="1:29">
      <c r="A1199" t="s">
        <v>1615</v>
      </c>
      <c r="B1199" s="2">
        <v>46201</v>
      </c>
      <c r="C1199" t="s">
        <v>30</v>
      </c>
      <c r="D1199" t="s">
        <v>49</v>
      </c>
      <c r="E1199" t="s">
        <v>50</v>
      </c>
      <c r="F1199" t="s">
        <v>89</v>
      </c>
      <c r="G1199" t="s">
        <v>343</v>
      </c>
      <c r="H1199" t="s">
        <v>90</v>
      </c>
      <c r="I1199" t="s">
        <v>497</v>
      </c>
      <c r="J1199" t="s">
        <v>3105</v>
      </c>
      <c r="K1199" t="s">
        <v>92</v>
      </c>
      <c r="L1199" t="s">
        <v>68</v>
      </c>
      <c r="M1199" t="s">
        <v>129</v>
      </c>
      <c r="N1199" t="s">
        <v>82</v>
      </c>
      <c r="O1199" s="4">
        <v>1</v>
      </c>
      <c r="P1199" s="4">
        <v>12</v>
      </c>
      <c r="Q1199" t="s">
        <v>107</v>
      </c>
      <c r="R1199" s="2">
        <v>46197</v>
      </c>
      <c r="S1199" s="4">
        <v>6</v>
      </c>
      <c r="T1199" s="3">
        <v>147000000</v>
      </c>
      <c r="U1199" t="s">
        <v>42</v>
      </c>
      <c r="V1199" t="s">
        <v>43</v>
      </c>
      <c r="W1199" t="s">
        <v>404</v>
      </c>
      <c r="Y1199" t="s">
        <v>85</v>
      </c>
      <c r="Z1199" t="s">
        <v>3180</v>
      </c>
      <c r="AA1199" t="s">
        <v>62</v>
      </c>
      <c r="AB1199" t="s">
        <v>193</v>
      </c>
      <c r="AC1199" t="s">
        <v>62</v>
      </c>
    </row>
    <row r="1200" spans="1:29">
      <c r="A1200" t="s">
        <v>1616</v>
      </c>
      <c r="B1200" s="2">
        <v>46190</v>
      </c>
      <c r="C1200" t="s">
        <v>30</v>
      </c>
      <c r="D1200" t="s">
        <v>74</v>
      </c>
      <c r="E1200" t="s">
        <v>172</v>
      </c>
      <c r="F1200" t="s">
        <v>173</v>
      </c>
      <c r="G1200" t="s">
        <v>289</v>
      </c>
      <c r="H1200" t="s">
        <v>241</v>
      </c>
      <c r="I1200" t="s">
        <v>441</v>
      </c>
      <c r="J1200" t="s">
        <v>3085</v>
      </c>
      <c r="K1200" t="s">
        <v>37</v>
      </c>
      <c r="L1200" t="s">
        <v>38</v>
      </c>
      <c r="M1200" t="s">
        <v>39</v>
      </c>
      <c r="N1200" t="s">
        <v>57</v>
      </c>
      <c r="O1200" s="4">
        <v>3</v>
      </c>
      <c r="P1200" s="4">
        <v>10</v>
      </c>
      <c r="Q1200" t="s">
        <v>107</v>
      </c>
      <c r="R1200" s="2">
        <v>46182</v>
      </c>
      <c r="S1200" s="4">
        <v>21</v>
      </c>
      <c r="T1200" s="3">
        <v>207000000</v>
      </c>
      <c r="U1200" t="s">
        <v>42</v>
      </c>
      <c r="V1200" t="s">
        <v>59</v>
      </c>
      <c r="W1200" t="s">
        <v>203</v>
      </c>
      <c r="Y1200" t="s">
        <v>165</v>
      </c>
      <c r="Z1200" t="s">
        <v>3177</v>
      </c>
      <c r="AA1200" t="s">
        <v>181</v>
      </c>
      <c r="AB1200" t="s">
        <v>63</v>
      </c>
      <c r="AC1200" t="s">
        <v>181</v>
      </c>
    </row>
    <row r="1201" spans="1:29">
      <c r="A1201" t="s">
        <v>1617</v>
      </c>
      <c r="B1201" s="2">
        <v>46199</v>
      </c>
      <c r="C1201" t="s">
        <v>30</v>
      </c>
      <c r="D1201" t="s">
        <v>49</v>
      </c>
      <c r="E1201" t="s">
        <v>152</v>
      </c>
      <c r="F1201" t="s">
        <v>221</v>
      </c>
      <c r="G1201" t="s">
        <v>206</v>
      </c>
      <c r="H1201" t="s">
        <v>155</v>
      </c>
      <c r="I1201" t="s">
        <v>434</v>
      </c>
      <c r="J1201" t="s">
        <v>3083</v>
      </c>
      <c r="K1201" t="s">
        <v>116</v>
      </c>
      <c r="L1201" t="s">
        <v>80</v>
      </c>
      <c r="M1201" t="s">
        <v>81</v>
      </c>
      <c r="N1201" t="s">
        <v>130</v>
      </c>
      <c r="O1201" s="4">
        <v>5</v>
      </c>
      <c r="P1201" s="4">
        <v>16</v>
      </c>
      <c r="Q1201" t="s">
        <v>142</v>
      </c>
      <c r="R1201" s="2">
        <v>46196</v>
      </c>
      <c r="S1201" s="4">
        <v>7</v>
      </c>
      <c r="T1201" s="3">
        <v>116000000</v>
      </c>
      <c r="U1201" t="s">
        <v>42</v>
      </c>
      <c r="V1201" t="s">
        <v>143</v>
      </c>
      <c r="W1201" t="s">
        <v>144</v>
      </c>
      <c r="Y1201" t="s">
        <v>262</v>
      </c>
      <c r="Z1201" t="s">
        <v>3179</v>
      </c>
      <c r="AA1201" t="s">
        <v>159</v>
      </c>
      <c r="AB1201" t="s">
        <v>97</v>
      </c>
      <c r="AC1201" t="s">
        <v>159</v>
      </c>
    </row>
    <row r="1202" spans="1:29">
      <c r="A1202" t="s">
        <v>1618</v>
      </c>
      <c r="B1202" s="2">
        <v>46192</v>
      </c>
      <c r="C1202" t="s">
        <v>30</v>
      </c>
      <c r="D1202" t="s">
        <v>74</v>
      </c>
      <c r="E1202" t="s">
        <v>75</v>
      </c>
      <c r="F1202" t="s">
        <v>183</v>
      </c>
      <c r="G1202" t="s">
        <v>77</v>
      </c>
      <c r="H1202" t="s">
        <v>185</v>
      </c>
      <c r="I1202" t="s">
        <v>428</v>
      </c>
      <c r="J1202" t="s">
        <v>3081</v>
      </c>
      <c r="K1202" t="s">
        <v>116</v>
      </c>
      <c r="L1202" t="s">
        <v>80</v>
      </c>
      <c r="M1202" t="s">
        <v>39</v>
      </c>
      <c r="N1202" t="s">
        <v>94</v>
      </c>
      <c r="O1202" s="4">
        <v>4</v>
      </c>
      <c r="P1202" s="4">
        <v>9</v>
      </c>
      <c r="Q1202" t="s">
        <v>107</v>
      </c>
      <c r="R1202" s="2">
        <v>46188</v>
      </c>
      <c r="S1202" s="4">
        <v>15</v>
      </c>
      <c r="T1202" s="3">
        <v>67000000</v>
      </c>
      <c r="U1202" t="s">
        <v>42</v>
      </c>
      <c r="V1202" t="s">
        <v>59</v>
      </c>
      <c r="W1202" t="s">
        <v>188</v>
      </c>
      <c r="X1202" t="s">
        <v>117</v>
      </c>
      <c r="Y1202" t="s">
        <v>108</v>
      </c>
      <c r="Z1202" t="s">
        <v>3179</v>
      </c>
      <c r="AA1202" t="s">
        <v>86</v>
      </c>
      <c r="AB1202" t="s">
        <v>97</v>
      </c>
      <c r="AC1202" t="s">
        <v>86</v>
      </c>
    </row>
    <row r="1203" spans="1:29">
      <c r="A1203" t="s">
        <v>1619</v>
      </c>
      <c r="B1203" s="2">
        <v>46174</v>
      </c>
      <c r="C1203" t="s">
        <v>30</v>
      </c>
      <c r="D1203" t="s">
        <v>134</v>
      </c>
      <c r="E1203" t="s">
        <v>100</v>
      </c>
      <c r="F1203" t="s">
        <v>101</v>
      </c>
      <c r="G1203" t="s">
        <v>237</v>
      </c>
      <c r="H1203" t="s">
        <v>103</v>
      </c>
      <c r="I1203" t="s">
        <v>104</v>
      </c>
      <c r="J1203" t="s">
        <v>3013</v>
      </c>
      <c r="K1203" t="s">
        <v>56</v>
      </c>
      <c r="L1203" t="s">
        <v>68</v>
      </c>
      <c r="M1203" t="s">
        <v>81</v>
      </c>
      <c r="N1203" t="s">
        <v>130</v>
      </c>
      <c r="O1203" s="4">
        <v>5</v>
      </c>
      <c r="P1203" s="4">
        <v>16</v>
      </c>
      <c r="Q1203" t="s">
        <v>138</v>
      </c>
      <c r="R1203" s="2">
        <v>46166</v>
      </c>
      <c r="S1203" s="4">
        <v>37</v>
      </c>
      <c r="T1203" s="3">
        <v>400000000</v>
      </c>
      <c r="U1203" t="s">
        <v>42</v>
      </c>
      <c r="V1203" t="s">
        <v>70</v>
      </c>
      <c r="W1203" t="s">
        <v>144</v>
      </c>
      <c r="X1203" t="s">
        <v>117</v>
      </c>
      <c r="Y1203" t="s">
        <v>262</v>
      </c>
      <c r="Z1203" t="s">
        <v>3179</v>
      </c>
      <c r="AA1203" t="s">
        <v>109</v>
      </c>
      <c r="AB1203" t="s">
        <v>97</v>
      </c>
      <c r="AC1203" t="s">
        <v>109</v>
      </c>
    </row>
    <row r="1204" spans="1:29">
      <c r="A1204" t="s">
        <v>1620</v>
      </c>
      <c r="B1204" s="2">
        <v>46180</v>
      </c>
      <c r="C1204" t="s">
        <v>30</v>
      </c>
      <c r="D1204" t="s">
        <v>134</v>
      </c>
      <c r="E1204" t="s">
        <v>50</v>
      </c>
      <c r="F1204" t="s">
        <v>89</v>
      </c>
      <c r="G1204" t="s">
        <v>270</v>
      </c>
      <c r="H1204" t="s">
        <v>90</v>
      </c>
      <c r="I1204" t="s">
        <v>497</v>
      </c>
      <c r="J1204" t="s">
        <v>3105</v>
      </c>
      <c r="K1204" t="s">
        <v>37</v>
      </c>
      <c r="L1204" t="s">
        <v>187</v>
      </c>
      <c r="M1204" t="s">
        <v>106</v>
      </c>
      <c r="N1204" t="s">
        <v>57</v>
      </c>
      <c r="O1204" s="4">
        <v>3</v>
      </c>
      <c r="P1204" s="4">
        <v>11</v>
      </c>
      <c r="Q1204" t="s">
        <v>142</v>
      </c>
      <c r="R1204" s="2">
        <v>46180</v>
      </c>
      <c r="S1204" s="4">
        <v>23</v>
      </c>
      <c r="T1204" s="3">
        <v>208000000</v>
      </c>
      <c r="U1204" t="s">
        <v>42</v>
      </c>
      <c r="V1204" t="s">
        <v>59</v>
      </c>
      <c r="W1204" t="s">
        <v>203</v>
      </c>
      <c r="Y1204" t="s">
        <v>61</v>
      </c>
      <c r="Z1204" t="s">
        <v>3177</v>
      </c>
      <c r="AA1204" t="s">
        <v>62</v>
      </c>
      <c r="AB1204" t="s">
        <v>63</v>
      </c>
      <c r="AC1204" t="s">
        <v>62</v>
      </c>
    </row>
    <row r="1205" spans="1:29">
      <c r="A1205" t="s">
        <v>1621</v>
      </c>
      <c r="B1205" s="2">
        <v>46184</v>
      </c>
      <c r="C1205" t="s">
        <v>30</v>
      </c>
      <c r="D1205" t="s">
        <v>99</v>
      </c>
      <c r="E1205" t="s">
        <v>172</v>
      </c>
      <c r="F1205" t="s">
        <v>173</v>
      </c>
      <c r="G1205" t="s">
        <v>338</v>
      </c>
      <c r="H1205" t="s">
        <v>317</v>
      </c>
      <c r="I1205" t="s">
        <v>478</v>
      </c>
      <c r="J1205" t="s">
        <v>3099</v>
      </c>
      <c r="K1205" t="s">
        <v>105</v>
      </c>
      <c r="L1205" t="s">
        <v>38</v>
      </c>
      <c r="M1205" t="s">
        <v>129</v>
      </c>
      <c r="N1205" t="s">
        <v>57</v>
      </c>
      <c r="O1205" s="4">
        <v>3</v>
      </c>
      <c r="P1205" s="4">
        <v>4</v>
      </c>
      <c r="Q1205" t="s">
        <v>138</v>
      </c>
      <c r="R1205" s="2">
        <v>46182</v>
      </c>
      <c r="S1205" s="4">
        <v>21</v>
      </c>
      <c r="T1205" s="3">
        <v>166000000</v>
      </c>
      <c r="U1205" t="s">
        <v>42</v>
      </c>
      <c r="V1205" t="s">
        <v>59</v>
      </c>
      <c r="W1205" t="s">
        <v>60</v>
      </c>
      <c r="Y1205" t="s">
        <v>158</v>
      </c>
      <c r="Z1205" t="s">
        <v>3177</v>
      </c>
      <c r="AA1205" t="s">
        <v>181</v>
      </c>
      <c r="AB1205" t="s">
        <v>63</v>
      </c>
      <c r="AC1205" t="s">
        <v>181</v>
      </c>
    </row>
    <row r="1206" spans="1:29">
      <c r="A1206" t="s">
        <v>1622</v>
      </c>
      <c r="B1206" s="2">
        <v>46202</v>
      </c>
      <c r="C1206" t="s">
        <v>30</v>
      </c>
      <c r="D1206" t="s">
        <v>31</v>
      </c>
      <c r="E1206" t="s">
        <v>120</v>
      </c>
      <c r="F1206" t="s">
        <v>121</v>
      </c>
      <c r="G1206" t="s">
        <v>227</v>
      </c>
      <c r="H1206" t="s">
        <v>300</v>
      </c>
      <c r="I1206" t="s">
        <v>421</v>
      </c>
      <c r="J1206" t="s">
        <v>3080</v>
      </c>
      <c r="K1206" t="s">
        <v>56</v>
      </c>
      <c r="L1206" t="s">
        <v>187</v>
      </c>
      <c r="M1206" t="s">
        <v>56</v>
      </c>
      <c r="N1206" t="s">
        <v>196</v>
      </c>
      <c r="O1206" s="4">
        <v>7</v>
      </c>
      <c r="P1206" s="4">
        <v>14</v>
      </c>
      <c r="Q1206" t="s">
        <v>107</v>
      </c>
      <c r="R1206" s="2">
        <v>46200</v>
      </c>
      <c r="S1206" s="4">
        <v>3</v>
      </c>
      <c r="T1206" s="3">
        <v>166000000</v>
      </c>
      <c r="U1206" t="s">
        <v>564</v>
      </c>
      <c r="V1206" t="s">
        <v>70</v>
      </c>
      <c r="W1206" t="s">
        <v>675</v>
      </c>
      <c r="Y1206" t="s">
        <v>244</v>
      </c>
      <c r="Z1206" t="s">
        <v>3181</v>
      </c>
      <c r="AA1206" t="s">
        <v>97</v>
      </c>
      <c r="AB1206" t="s">
        <v>199</v>
      </c>
      <c r="AC1206" t="s">
        <v>97</v>
      </c>
    </row>
    <row r="1207" spans="1:29">
      <c r="A1207" t="s">
        <v>1623</v>
      </c>
      <c r="B1207" s="2">
        <v>46187</v>
      </c>
      <c r="C1207" t="s">
        <v>30</v>
      </c>
      <c r="D1207" t="s">
        <v>99</v>
      </c>
      <c r="E1207" t="s">
        <v>32</v>
      </c>
      <c r="F1207" t="s">
        <v>273</v>
      </c>
      <c r="G1207" t="s">
        <v>257</v>
      </c>
      <c r="H1207" t="s">
        <v>258</v>
      </c>
      <c r="I1207" t="s">
        <v>259</v>
      </c>
      <c r="J1207" t="s">
        <v>3036</v>
      </c>
      <c r="K1207" t="s">
        <v>92</v>
      </c>
      <c r="L1207" t="s">
        <v>80</v>
      </c>
      <c r="M1207" t="s">
        <v>93</v>
      </c>
      <c r="N1207" t="s">
        <v>57</v>
      </c>
      <c r="O1207" s="4">
        <v>3</v>
      </c>
      <c r="P1207" s="4">
        <v>1</v>
      </c>
      <c r="Q1207" t="s">
        <v>69</v>
      </c>
      <c r="R1207" s="2">
        <v>46183</v>
      </c>
      <c r="S1207" s="4">
        <v>20</v>
      </c>
      <c r="T1207" s="3">
        <v>166000000</v>
      </c>
      <c r="U1207" t="s">
        <v>42</v>
      </c>
      <c r="V1207" t="s">
        <v>43</v>
      </c>
      <c r="W1207" t="s">
        <v>157</v>
      </c>
      <c r="Y1207" t="s">
        <v>72</v>
      </c>
      <c r="Z1207" t="s">
        <v>3177</v>
      </c>
      <c r="AA1207" t="s">
        <v>46</v>
      </c>
      <c r="AB1207" t="s">
        <v>63</v>
      </c>
      <c r="AC1207" t="s">
        <v>46</v>
      </c>
    </row>
    <row r="1208" spans="1:29">
      <c r="A1208" t="s">
        <v>1624</v>
      </c>
      <c r="B1208" s="2">
        <v>46178</v>
      </c>
      <c r="C1208" t="s">
        <v>30</v>
      </c>
      <c r="D1208" t="s">
        <v>134</v>
      </c>
      <c r="E1208" t="s">
        <v>172</v>
      </c>
      <c r="F1208" t="s">
        <v>195</v>
      </c>
      <c r="G1208" t="s">
        <v>289</v>
      </c>
      <c r="H1208" t="s">
        <v>241</v>
      </c>
      <c r="I1208" t="s">
        <v>512</v>
      </c>
      <c r="J1208" t="s">
        <v>3107</v>
      </c>
      <c r="K1208" t="s">
        <v>105</v>
      </c>
      <c r="L1208" t="s">
        <v>38</v>
      </c>
      <c r="M1208" t="s">
        <v>39</v>
      </c>
      <c r="N1208" t="s">
        <v>94</v>
      </c>
      <c r="O1208" s="4">
        <v>4</v>
      </c>
      <c r="P1208" s="4">
        <v>8</v>
      </c>
      <c r="Q1208" t="s">
        <v>107</v>
      </c>
      <c r="R1208" s="2">
        <v>46176</v>
      </c>
      <c r="S1208" s="4">
        <v>27</v>
      </c>
      <c r="T1208" s="3">
        <v>356000000</v>
      </c>
      <c r="U1208" t="s">
        <v>42</v>
      </c>
      <c r="V1208" t="s">
        <v>59</v>
      </c>
      <c r="W1208" t="s">
        <v>267</v>
      </c>
      <c r="Y1208" t="s">
        <v>268</v>
      </c>
      <c r="Z1208" t="s">
        <v>3179</v>
      </c>
      <c r="AA1208" t="s">
        <v>181</v>
      </c>
      <c r="AB1208" t="s">
        <v>97</v>
      </c>
      <c r="AC1208" t="s">
        <v>181</v>
      </c>
    </row>
    <row r="1209" spans="1:29">
      <c r="A1209" t="s">
        <v>1625</v>
      </c>
      <c r="B1209" s="2">
        <v>46180</v>
      </c>
      <c r="C1209" t="s">
        <v>30</v>
      </c>
      <c r="D1209" t="s">
        <v>134</v>
      </c>
      <c r="E1209" t="s">
        <v>111</v>
      </c>
      <c r="F1209" t="s">
        <v>112</v>
      </c>
      <c r="G1209" t="s">
        <v>126</v>
      </c>
      <c r="H1209" t="s">
        <v>191</v>
      </c>
      <c r="I1209" t="s">
        <v>606</v>
      </c>
      <c r="J1209" t="s">
        <v>3131</v>
      </c>
      <c r="K1209" t="s">
        <v>92</v>
      </c>
      <c r="L1209" t="s">
        <v>187</v>
      </c>
      <c r="M1209" t="s">
        <v>39</v>
      </c>
      <c r="N1209" t="s">
        <v>57</v>
      </c>
      <c r="O1209" s="4">
        <v>3</v>
      </c>
      <c r="P1209" s="4">
        <v>17</v>
      </c>
      <c r="Q1209" t="s">
        <v>142</v>
      </c>
      <c r="R1209" s="2">
        <v>46176</v>
      </c>
      <c r="S1209" s="4">
        <v>27</v>
      </c>
      <c r="T1209" s="3">
        <v>104000000</v>
      </c>
      <c r="U1209" t="s">
        <v>42</v>
      </c>
      <c r="V1209" t="s">
        <v>59</v>
      </c>
      <c r="W1209" t="s">
        <v>71</v>
      </c>
      <c r="Y1209" t="s">
        <v>158</v>
      </c>
      <c r="Z1209" t="s">
        <v>3180</v>
      </c>
      <c r="AA1209" t="s">
        <v>118</v>
      </c>
      <c r="AB1209" t="s">
        <v>193</v>
      </c>
      <c r="AC1209" t="s">
        <v>118</v>
      </c>
    </row>
    <row r="1210" spans="1:29">
      <c r="A1210" t="s">
        <v>1626</v>
      </c>
      <c r="B1210" s="2">
        <v>46201</v>
      </c>
      <c r="C1210" t="s">
        <v>30</v>
      </c>
      <c r="D1210" t="s">
        <v>49</v>
      </c>
      <c r="E1210" t="s">
        <v>32</v>
      </c>
      <c r="F1210" t="s">
        <v>273</v>
      </c>
      <c r="G1210" t="s">
        <v>257</v>
      </c>
      <c r="H1210" t="s">
        <v>35</v>
      </c>
      <c r="I1210" t="s">
        <v>320</v>
      </c>
      <c r="J1210" t="s">
        <v>3051</v>
      </c>
      <c r="K1210" t="s">
        <v>56</v>
      </c>
      <c r="L1210" t="s">
        <v>38</v>
      </c>
      <c r="M1210" t="s">
        <v>81</v>
      </c>
      <c r="N1210" t="s">
        <v>57</v>
      </c>
      <c r="O1210" s="4">
        <v>3</v>
      </c>
      <c r="P1210" s="4">
        <v>4</v>
      </c>
      <c r="Q1210" t="s">
        <v>138</v>
      </c>
      <c r="R1210" s="2">
        <v>46197</v>
      </c>
      <c r="S1210" s="4">
        <v>6</v>
      </c>
      <c r="T1210" s="3">
        <v>162000000</v>
      </c>
      <c r="U1210" t="s">
        <v>42</v>
      </c>
      <c r="V1210" t="s">
        <v>43</v>
      </c>
      <c r="W1210" t="s">
        <v>203</v>
      </c>
      <c r="Y1210" t="s">
        <v>72</v>
      </c>
      <c r="Z1210" t="s">
        <v>3177</v>
      </c>
      <c r="AA1210" t="s">
        <v>46</v>
      </c>
      <c r="AB1210" t="s">
        <v>63</v>
      </c>
      <c r="AC1210" t="s">
        <v>46</v>
      </c>
    </row>
    <row r="1211" spans="1:29">
      <c r="A1211" t="s">
        <v>1627</v>
      </c>
      <c r="B1211" s="2">
        <v>46175</v>
      </c>
      <c r="C1211" t="s">
        <v>30</v>
      </c>
      <c r="D1211" t="s">
        <v>134</v>
      </c>
      <c r="E1211" t="s">
        <v>50</v>
      </c>
      <c r="F1211" t="s">
        <v>351</v>
      </c>
      <c r="G1211" t="s">
        <v>52</v>
      </c>
      <c r="H1211" t="s">
        <v>66</v>
      </c>
      <c r="I1211" t="s">
        <v>67</v>
      </c>
      <c r="J1211" t="s">
        <v>3010</v>
      </c>
      <c r="K1211" t="s">
        <v>56</v>
      </c>
      <c r="L1211" t="s">
        <v>80</v>
      </c>
      <c r="M1211" t="s">
        <v>56</v>
      </c>
      <c r="N1211" t="s">
        <v>213</v>
      </c>
      <c r="O1211" s="4">
        <v>6</v>
      </c>
      <c r="P1211" s="4">
        <v>9</v>
      </c>
      <c r="Q1211" t="s">
        <v>138</v>
      </c>
      <c r="R1211" s="2">
        <v>46173</v>
      </c>
      <c r="S1211" s="4">
        <v>30</v>
      </c>
      <c r="T1211" s="3">
        <v>306000000</v>
      </c>
      <c r="U1211" t="s">
        <v>42</v>
      </c>
      <c r="V1211" t="s">
        <v>143</v>
      </c>
      <c r="W1211" t="s">
        <v>438</v>
      </c>
      <c r="Y1211" t="s">
        <v>216</v>
      </c>
      <c r="Z1211" t="s">
        <v>3179</v>
      </c>
      <c r="AA1211" t="s">
        <v>62</v>
      </c>
      <c r="AB1211" t="s">
        <v>97</v>
      </c>
      <c r="AC1211" t="s">
        <v>62</v>
      </c>
    </row>
    <row r="1212" spans="1:29">
      <c r="A1212" t="s">
        <v>1628</v>
      </c>
      <c r="B1212" s="2">
        <v>46190</v>
      </c>
      <c r="C1212" t="s">
        <v>30</v>
      </c>
      <c r="D1212" t="s">
        <v>74</v>
      </c>
      <c r="E1212" t="s">
        <v>152</v>
      </c>
      <c r="F1212" t="s">
        <v>205</v>
      </c>
      <c r="G1212" t="s">
        <v>294</v>
      </c>
      <c r="H1212" t="s">
        <v>283</v>
      </c>
      <c r="I1212" t="s">
        <v>472</v>
      </c>
      <c r="J1212" t="s">
        <v>3097</v>
      </c>
      <c r="K1212" t="s">
        <v>56</v>
      </c>
      <c r="L1212" t="s">
        <v>150</v>
      </c>
      <c r="M1212" t="s">
        <v>129</v>
      </c>
      <c r="N1212" t="s">
        <v>57</v>
      </c>
      <c r="O1212" s="4">
        <v>3</v>
      </c>
      <c r="P1212" s="4">
        <v>10</v>
      </c>
      <c r="Q1212" t="s">
        <v>107</v>
      </c>
      <c r="R1212" s="2">
        <v>46186</v>
      </c>
      <c r="S1212" s="4">
        <v>17</v>
      </c>
      <c r="T1212" s="3">
        <v>85000000</v>
      </c>
      <c r="U1212" t="s">
        <v>42</v>
      </c>
      <c r="V1212" t="s">
        <v>59</v>
      </c>
      <c r="W1212" t="s">
        <v>203</v>
      </c>
      <c r="Y1212" t="s">
        <v>72</v>
      </c>
      <c r="Z1212" t="s">
        <v>3177</v>
      </c>
      <c r="AA1212" t="s">
        <v>159</v>
      </c>
      <c r="AB1212" t="s">
        <v>63</v>
      </c>
      <c r="AC1212" t="s">
        <v>159</v>
      </c>
    </row>
    <row r="1213" spans="1:29">
      <c r="A1213" t="s">
        <v>1629</v>
      </c>
      <c r="B1213" s="2">
        <v>46193</v>
      </c>
      <c r="C1213" t="s">
        <v>30</v>
      </c>
      <c r="D1213" t="s">
        <v>74</v>
      </c>
      <c r="E1213" t="s">
        <v>120</v>
      </c>
      <c r="F1213" t="s">
        <v>121</v>
      </c>
      <c r="G1213" t="s">
        <v>227</v>
      </c>
      <c r="H1213" t="s">
        <v>300</v>
      </c>
      <c r="I1213" t="s">
        <v>301</v>
      </c>
      <c r="J1213" t="s">
        <v>3045</v>
      </c>
      <c r="K1213" t="s">
        <v>92</v>
      </c>
      <c r="L1213" t="s">
        <v>150</v>
      </c>
      <c r="M1213" t="s">
        <v>164</v>
      </c>
      <c r="N1213" t="s">
        <v>57</v>
      </c>
      <c r="O1213" s="4">
        <v>3</v>
      </c>
      <c r="P1213" s="4">
        <v>9</v>
      </c>
      <c r="Q1213" t="s">
        <v>142</v>
      </c>
      <c r="R1213" s="2">
        <v>46191</v>
      </c>
      <c r="S1213" s="4">
        <v>12</v>
      </c>
      <c r="T1213" s="3">
        <v>70000000</v>
      </c>
      <c r="U1213" t="s">
        <v>42</v>
      </c>
      <c r="V1213" t="s">
        <v>59</v>
      </c>
      <c r="W1213" t="s">
        <v>71</v>
      </c>
      <c r="Y1213" t="s">
        <v>61</v>
      </c>
      <c r="Z1213" t="s">
        <v>3177</v>
      </c>
      <c r="AA1213" t="s">
        <v>97</v>
      </c>
      <c r="AB1213" t="s">
        <v>63</v>
      </c>
      <c r="AC1213" t="s">
        <v>97</v>
      </c>
    </row>
    <row r="1214" spans="1:29">
      <c r="A1214" t="s">
        <v>1630</v>
      </c>
      <c r="B1214" s="2">
        <v>46197</v>
      </c>
      <c r="C1214" t="s">
        <v>30</v>
      </c>
      <c r="D1214" t="s">
        <v>49</v>
      </c>
      <c r="E1214" t="s">
        <v>32</v>
      </c>
      <c r="F1214" t="s">
        <v>256</v>
      </c>
      <c r="G1214" t="s">
        <v>218</v>
      </c>
      <c r="H1214" t="s">
        <v>258</v>
      </c>
      <c r="I1214" t="s">
        <v>297</v>
      </c>
      <c r="J1214" t="s">
        <v>3044</v>
      </c>
      <c r="K1214" t="s">
        <v>56</v>
      </c>
      <c r="L1214" t="s">
        <v>38</v>
      </c>
      <c r="M1214" t="s">
        <v>93</v>
      </c>
      <c r="N1214" t="s">
        <v>82</v>
      </c>
      <c r="O1214" s="4">
        <v>1</v>
      </c>
      <c r="P1214" s="4">
        <v>3</v>
      </c>
      <c r="Q1214" t="s">
        <v>83</v>
      </c>
      <c r="R1214" s="2">
        <v>46188</v>
      </c>
      <c r="S1214" s="4">
        <v>15</v>
      </c>
      <c r="T1214" s="3">
        <v>193000000</v>
      </c>
      <c r="U1214" t="s">
        <v>42</v>
      </c>
      <c r="V1214" t="s">
        <v>43</v>
      </c>
      <c r="W1214" t="s">
        <v>359</v>
      </c>
      <c r="Y1214" t="s">
        <v>330</v>
      </c>
      <c r="Z1214" t="s">
        <v>3176</v>
      </c>
      <c r="AA1214" t="s">
        <v>46</v>
      </c>
      <c r="AB1214" t="s">
        <v>47</v>
      </c>
      <c r="AC1214" t="s">
        <v>46</v>
      </c>
    </row>
    <row r="1215" spans="1:29">
      <c r="A1215" t="s">
        <v>1631</v>
      </c>
      <c r="B1215" s="2">
        <v>46181</v>
      </c>
      <c r="C1215" t="s">
        <v>30</v>
      </c>
      <c r="D1215" t="s">
        <v>99</v>
      </c>
      <c r="E1215" t="s">
        <v>50</v>
      </c>
      <c r="F1215" t="s">
        <v>89</v>
      </c>
      <c r="G1215" t="s">
        <v>234</v>
      </c>
      <c r="H1215" t="s">
        <v>53</v>
      </c>
      <c r="I1215" t="s">
        <v>787</v>
      </c>
      <c r="J1215" t="s">
        <v>3154</v>
      </c>
      <c r="K1215" t="s">
        <v>116</v>
      </c>
      <c r="L1215" t="s">
        <v>187</v>
      </c>
      <c r="M1215" t="s">
        <v>129</v>
      </c>
      <c r="N1215" t="s">
        <v>94</v>
      </c>
      <c r="O1215" s="4">
        <v>4</v>
      </c>
      <c r="P1215" s="4">
        <v>7</v>
      </c>
      <c r="Q1215" t="s">
        <v>69</v>
      </c>
      <c r="R1215" s="2">
        <v>46177</v>
      </c>
      <c r="S1215" s="4">
        <v>26</v>
      </c>
      <c r="T1215" s="3">
        <v>136000000</v>
      </c>
      <c r="U1215" t="s">
        <v>42</v>
      </c>
      <c r="V1215" t="s">
        <v>59</v>
      </c>
      <c r="W1215" t="s">
        <v>95</v>
      </c>
      <c r="Y1215" t="s">
        <v>96</v>
      </c>
      <c r="Z1215" t="s">
        <v>3179</v>
      </c>
      <c r="AA1215" t="s">
        <v>62</v>
      </c>
      <c r="AB1215" t="s">
        <v>97</v>
      </c>
      <c r="AC1215" t="s">
        <v>62</v>
      </c>
    </row>
    <row r="1216" spans="1:29">
      <c r="A1216" t="s">
        <v>1632</v>
      </c>
      <c r="B1216" s="2">
        <v>46179</v>
      </c>
      <c r="C1216" t="s">
        <v>30</v>
      </c>
      <c r="D1216" t="s">
        <v>134</v>
      </c>
      <c r="E1216" t="s">
        <v>172</v>
      </c>
      <c r="F1216" t="s">
        <v>195</v>
      </c>
      <c r="G1216" t="s">
        <v>289</v>
      </c>
      <c r="H1216" t="s">
        <v>241</v>
      </c>
      <c r="I1216" t="s">
        <v>242</v>
      </c>
      <c r="J1216" t="s">
        <v>3034</v>
      </c>
      <c r="K1216" t="s">
        <v>56</v>
      </c>
      <c r="L1216" t="s">
        <v>80</v>
      </c>
      <c r="M1216" t="s">
        <v>81</v>
      </c>
      <c r="N1216" t="s">
        <v>94</v>
      </c>
      <c r="O1216" s="4">
        <v>4</v>
      </c>
      <c r="P1216" s="4">
        <v>9</v>
      </c>
      <c r="Q1216" t="s">
        <v>107</v>
      </c>
      <c r="R1216" s="2">
        <v>46174</v>
      </c>
      <c r="S1216" s="4">
        <v>29</v>
      </c>
      <c r="T1216" s="3">
        <v>375000000</v>
      </c>
      <c r="U1216" t="s">
        <v>42</v>
      </c>
      <c r="V1216" t="s">
        <v>143</v>
      </c>
      <c r="W1216" t="s">
        <v>95</v>
      </c>
      <c r="Y1216" t="s">
        <v>268</v>
      </c>
      <c r="Z1216" t="s">
        <v>3179</v>
      </c>
      <c r="AA1216" t="s">
        <v>181</v>
      </c>
      <c r="AB1216" t="s">
        <v>97</v>
      </c>
      <c r="AC1216" t="s">
        <v>181</v>
      </c>
    </row>
    <row r="1217" spans="1:29">
      <c r="A1217" t="s">
        <v>1633</v>
      </c>
      <c r="B1217" s="2">
        <v>46191</v>
      </c>
      <c r="C1217" t="s">
        <v>30</v>
      </c>
      <c r="D1217" t="s">
        <v>74</v>
      </c>
      <c r="E1217" t="s">
        <v>32</v>
      </c>
      <c r="F1217" t="s">
        <v>256</v>
      </c>
      <c r="G1217" t="s">
        <v>34</v>
      </c>
      <c r="H1217" t="s">
        <v>303</v>
      </c>
      <c r="I1217" t="s">
        <v>964</v>
      </c>
      <c r="J1217" t="s">
        <v>3167</v>
      </c>
      <c r="K1217" t="s">
        <v>56</v>
      </c>
      <c r="L1217" t="s">
        <v>38</v>
      </c>
      <c r="M1217" t="s">
        <v>93</v>
      </c>
      <c r="N1217" t="s">
        <v>40</v>
      </c>
      <c r="O1217" s="4">
        <v>2</v>
      </c>
      <c r="P1217" s="4">
        <v>5</v>
      </c>
      <c r="Q1217" t="s">
        <v>58</v>
      </c>
      <c r="R1217" s="2">
        <v>46191</v>
      </c>
      <c r="S1217" s="4">
        <v>12</v>
      </c>
      <c r="T1217" s="3">
        <v>271000000</v>
      </c>
      <c r="U1217" t="s">
        <v>42</v>
      </c>
      <c r="V1217" t="s">
        <v>59</v>
      </c>
      <c r="W1217" t="s">
        <v>44</v>
      </c>
      <c r="Y1217" t="s">
        <v>45</v>
      </c>
      <c r="Z1217" t="s">
        <v>3178</v>
      </c>
      <c r="AA1217" t="s">
        <v>46</v>
      </c>
      <c r="AB1217" t="s">
        <v>87</v>
      </c>
      <c r="AC1217" t="s">
        <v>46</v>
      </c>
    </row>
    <row r="1218" spans="1:29">
      <c r="A1218" t="s">
        <v>1634</v>
      </c>
      <c r="B1218" s="2">
        <v>46188</v>
      </c>
      <c r="C1218" t="s">
        <v>30</v>
      </c>
      <c r="D1218" t="s">
        <v>74</v>
      </c>
      <c r="E1218" t="s">
        <v>172</v>
      </c>
      <c r="F1218" t="s">
        <v>277</v>
      </c>
      <c r="G1218" t="s">
        <v>289</v>
      </c>
      <c r="H1218" t="s">
        <v>241</v>
      </c>
      <c r="I1218" t="s">
        <v>559</v>
      </c>
      <c r="J1218" t="s">
        <v>3119</v>
      </c>
      <c r="K1218" t="s">
        <v>56</v>
      </c>
      <c r="L1218" t="s">
        <v>187</v>
      </c>
      <c r="M1218" t="s">
        <v>129</v>
      </c>
      <c r="N1218" t="s">
        <v>57</v>
      </c>
      <c r="O1218" s="4">
        <v>3</v>
      </c>
      <c r="P1218" s="4">
        <v>7</v>
      </c>
      <c r="Q1218" t="s">
        <v>138</v>
      </c>
      <c r="R1218" s="2">
        <v>46187</v>
      </c>
      <c r="S1218" s="4">
        <v>16</v>
      </c>
      <c r="T1218" s="3">
        <v>418000000</v>
      </c>
      <c r="U1218" t="s">
        <v>260</v>
      </c>
      <c r="V1218" t="s">
        <v>43</v>
      </c>
      <c r="W1218" t="s">
        <v>157</v>
      </c>
      <c r="X1218" t="s">
        <v>308</v>
      </c>
      <c r="Y1218" t="s">
        <v>72</v>
      </c>
      <c r="Z1218" t="s">
        <v>3177</v>
      </c>
      <c r="AA1218" t="s">
        <v>181</v>
      </c>
      <c r="AB1218" t="s">
        <v>63</v>
      </c>
      <c r="AC1218" t="s">
        <v>181</v>
      </c>
    </row>
    <row r="1219" spans="1:29">
      <c r="A1219" t="s">
        <v>1635</v>
      </c>
      <c r="B1219" s="2">
        <v>46196</v>
      </c>
      <c r="C1219" t="s">
        <v>30</v>
      </c>
      <c r="D1219" t="s">
        <v>49</v>
      </c>
      <c r="E1219" t="s">
        <v>50</v>
      </c>
      <c r="F1219" t="s">
        <v>51</v>
      </c>
      <c r="G1219" t="s">
        <v>52</v>
      </c>
      <c r="H1219" t="s">
        <v>90</v>
      </c>
      <c r="I1219" t="s">
        <v>91</v>
      </c>
      <c r="J1219" t="s">
        <v>3012</v>
      </c>
      <c r="K1219" t="s">
        <v>37</v>
      </c>
      <c r="L1219" t="s">
        <v>80</v>
      </c>
      <c r="M1219" t="s">
        <v>164</v>
      </c>
      <c r="N1219" t="s">
        <v>94</v>
      </c>
      <c r="O1219" s="4">
        <v>4</v>
      </c>
      <c r="P1219" s="4">
        <v>6</v>
      </c>
      <c r="Q1219" t="s">
        <v>58</v>
      </c>
      <c r="R1219" s="2">
        <v>46190</v>
      </c>
      <c r="S1219" s="4">
        <v>13</v>
      </c>
      <c r="T1219" s="3">
        <v>72000000</v>
      </c>
      <c r="U1219" t="s">
        <v>42</v>
      </c>
      <c r="V1219" t="s">
        <v>59</v>
      </c>
      <c r="W1219" t="s">
        <v>267</v>
      </c>
      <c r="X1219" t="s">
        <v>117</v>
      </c>
      <c r="Y1219" t="s">
        <v>108</v>
      </c>
      <c r="Z1219" t="s">
        <v>3179</v>
      </c>
      <c r="AA1219" t="s">
        <v>62</v>
      </c>
      <c r="AB1219" t="s">
        <v>97</v>
      </c>
      <c r="AC1219" t="s">
        <v>62</v>
      </c>
    </row>
    <row r="1220" spans="1:29">
      <c r="A1220" t="s">
        <v>1636</v>
      </c>
      <c r="B1220" s="2">
        <v>46193</v>
      </c>
      <c r="C1220" t="s">
        <v>30</v>
      </c>
      <c r="D1220" t="s">
        <v>74</v>
      </c>
      <c r="E1220" t="s">
        <v>152</v>
      </c>
      <c r="F1220" t="s">
        <v>221</v>
      </c>
      <c r="G1220" t="s">
        <v>206</v>
      </c>
      <c r="H1220" t="s">
        <v>207</v>
      </c>
      <c r="I1220" t="s">
        <v>547</v>
      </c>
      <c r="J1220" t="s">
        <v>3116</v>
      </c>
      <c r="K1220" t="s">
        <v>56</v>
      </c>
      <c r="L1220" t="s">
        <v>38</v>
      </c>
      <c r="M1220" t="s">
        <v>129</v>
      </c>
      <c r="N1220" t="s">
        <v>57</v>
      </c>
      <c r="O1220" s="4">
        <v>3</v>
      </c>
      <c r="P1220" s="4">
        <v>14</v>
      </c>
      <c r="Q1220" t="s">
        <v>107</v>
      </c>
      <c r="R1220" s="2">
        <v>46191</v>
      </c>
      <c r="S1220" s="4">
        <v>12</v>
      </c>
      <c r="T1220" s="3">
        <v>467000000</v>
      </c>
      <c r="U1220" t="s">
        <v>42</v>
      </c>
      <c r="V1220" t="s">
        <v>59</v>
      </c>
      <c r="W1220" t="s">
        <v>60</v>
      </c>
      <c r="Y1220" t="s">
        <v>61</v>
      </c>
      <c r="Z1220" t="s">
        <v>3180</v>
      </c>
      <c r="AA1220" t="s">
        <v>159</v>
      </c>
      <c r="AB1220" t="s">
        <v>193</v>
      </c>
      <c r="AC1220" t="s">
        <v>159</v>
      </c>
    </row>
    <row r="1221" spans="1:29">
      <c r="A1221" t="s">
        <v>1637</v>
      </c>
      <c r="B1221" s="2">
        <v>46196</v>
      </c>
      <c r="C1221" t="s">
        <v>30</v>
      </c>
      <c r="D1221" t="s">
        <v>49</v>
      </c>
      <c r="E1221" t="s">
        <v>111</v>
      </c>
      <c r="F1221" t="s">
        <v>264</v>
      </c>
      <c r="G1221" t="s">
        <v>348</v>
      </c>
      <c r="H1221" t="s">
        <v>127</v>
      </c>
      <c r="I1221" t="s">
        <v>648</v>
      </c>
      <c r="J1221" t="s">
        <v>3140</v>
      </c>
      <c r="K1221" t="s">
        <v>92</v>
      </c>
      <c r="L1221" t="s">
        <v>80</v>
      </c>
      <c r="M1221" t="s">
        <v>129</v>
      </c>
      <c r="N1221" t="s">
        <v>213</v>
      </c>
      <c r="O1221" s="4">
        <v>6</v>
      </c>
      <c r="P1221" s="4">
        <v>16</v>
      </c>
      <c r="Q1221" t="s">
        <v>138</v>
      </c>
      <c r="R1221" s="2">
        <v>46188</v>
      </c>
      <c r="S1221" s="4">
        <v>15</v>
      </c>
      <c r="T1221" s="3">
        <v>182000000</v>
      </c>
      <c r="U1221" t="s">
        <v>214</v>
      </c>
      <c r="V1221" t="s">
        <v>70</v>
      </c>
      <c r="W1221" t="s">
        <v>248</v>
      </c>
      <c r="Y1221" t="s">
        <v>249</v>
      </c>
      <c r="Z1221" t="s">
        <v>3179</v>
      </c>
      <c r="AA1221" t="s">
        <v>118</v>
      </c>
      <c r="AB1221" t="s">
        <v>97</v>
      </c>
      <c r="AC1221" t="s">
        <v>118</v>
      </c>
    </row>
    <row r="1222" spans="1:29">
      <c r="A1222" t="s">
        <v>1638</v>
      </c>
      <c r="B1222" s="2">
        <v>46193</v>
      </c>
      <c r="C1222" t="s">
        <v>30</v>
      </c>
      <c r="D1222" t="s">
        <v>74</v>
      </c>
      <c r="E1222" t="s">
        <v>172</v>
      </c>
      <c r="F1222" t="s">
        <v>173</v>
      </c>
      <c r="G1222" t="s">
        <v>476</v>
      </c>
      <c r="H1222" t="s">
        <v>175</v>
      </c>
      <c r="I1222" t="s">
        <v>176</v>
      </c>
      <c r="J1222" t="s">
        <v>3023</v>
      </c>
      <c r="K1222" t="s">
        <v>56</v>
      </c>
      <c r="L1222" t="s">
        <v>38</v>
      </c>
      <c r="M1222" t="s">
        <v>93</v>
      </c>
      <c r="N1222" t="s">
        <v>57</v>
      </c>
      <c r="O1222" s="4">
        <v>3</v>
      </c>
      <c r="P1222" s="4">
        <v>9</v>
      </c>
      <c r="Q1222" t="s">
        <v>83</v>
      </c>
      <c r="R1222" s="2">
        <v>46190</v>
      </c>
      <c r="S1222" s="4">
        <v>13</v>
      </c>
      <c r="T1222" s="3">
        <v>463000000</v>
      </c>
      <c r="U1222" t="s">
        <v>177</v>
      </c>
      <c r="V1222" t="s">
        <v>59</v>
      </c>
      <c r="W1222" t="s">
        <v>71</v>
      </c>
      <c r="X1222" t="s">
        <v>179</v>
      </c>
      <c r="Y1222" t="s">
        <v>72</v>
      </c>
      <c r="Z1222" t="s">
        <v>3177</v>
      </c>
      <c r="AA1222" t="s">
        <v>181</v>
      </c>
      <c r="AB1222" t="s">
        <v>63</v>
      </c>
      <c r="AC1222" t="s">
        <v>181</v>
      </c>
    </row>
    <row r="1223" spans="1:29">
      <c r="A1223" t="s">
        <v>1639</v>
      </c>
      <c r="B1223" s="2">
        <v>46181</v>
      </c>
      <c r="C1223" t="s">
        <v>30</v>
      </c>
      <c r="D1223" t="s">
        <v>99</v>
      </c>
      <c r="E1223" t="s">
        <v>111</v>
      </c>
      <c r="F1223" t="s">
        <v>112</v>
      </c>
      <c r="G1223" t="s">
        <v>126</v>
      </c>
      <c r="H1223" t="s">
        <v>191</v>
      </c>
      <c r="I1223" t="s">
        <v>467</v>
      </c>
      <c r="J1223" t="s">
        <v>3096</v>
      </c>
      <c r="K1223" t="s">
        <v>105</v>
      </c>
      <c r="L1223" t="s">
        <v>187</v>
      </c>
      <c r="M1223" t="s">
        <v>81</v>
      </c>
      <c r="N1223" t="s">
        <v>196</v>
      </c>
      <c r="O1223" s="4">
        <v>7</v>
      </c>
      <c r="P1223" s="4">
        <v>14</v>
      </c>
      <c r="Q1223" t="s">
        <v>69</v>
      </c>
      <c r="R1223" s="2">
        <v>46176</v>
      </c>
      <c r="S1223" s="4">
        <v>27</v>
      </c>
      <c r="T1223" s="3">
        <v>152000000</v>
      </c>
      <c r="U1223" t="s">
        <v>196</v>
      </c>
      <c r="V1223" t="s">
        <v>70</v>
      </c>
      <c r="W1223" t="s">
        <v>675</v>
      </c>
      <c r="Y1223" t="s">
        <v>369</v>
      </c>
      <c r="Z1223" t="s">
        <v>3181</v>
      </c>
      <c r="AA1223" t="s">
        <v>118</v>
      </c>
      <c r="AB1223" t="s">
        <v>199</v>
      </c>
      <c r="AC1223" t="s">
        <v>118</v>
      </c>
    </row>
    <row r="1224" spans="1:29">
      <c r="A1224" t="s">
        <v>1640</v>
      </c>
      <c r="B1224" s="2">
        <v>46178</v>
      </c>
      <c r="C1224" t="s">
        <v>30</v>
      </c>
      <c r="D1224" t="s">
        <v>134</v>
      </c>
      <c r="E1224" t="s">
        <v>152</v>
      </c>
      <c r="F1224" t="s">
        <v>221</v>
      </c>
      <c r="G1224" t="s">
        <v>328</v>
      </c>
      <c r="H1224" t="s">
        <v>207</v>
      </c>
      <c r="I1224" t="s">
        <v>208</v>
      </c>
      <c r="J1224" t="s">
        <v>3027</v>
      </c>
      <c r="K1224" t="s">
        <v>92</v>
      </c>
      <c r="L1224" t="s">
        <v>187</v>
      </c>
      <c r="M1224" t="s">
        <v>39</v>
      </c>
      <c r="N1224" t="s">
        <v>94</v>
      </c>
      <c r="O1224" s="4">
        <v>4</v>
      </c>
      <c r="P1224" s="4">
        <v>15</v>
      </c>
      <c r="Q1224" t="s">
        <v>69</v>
      </c>
      <c r="R1224" s="2">
        <v>46170</v>
      </c>
      <c r="S1224" s="4">
        <v>33</v>
      </c>
      <c r="T1224" s="3">
        <v>211000000</v>
      </c>
      <c r="U1224" t="s">
        <v>42</v>
      </c>
      <c r="V1224" t="s">
        <v>70</v>
      </c>
      <c r="W1224" t="s">
        <v>170</v>
      </c>
      <c r="Y1224" t="s">
        <v>96</v>
      </c>
      <c r="Z1224" t="s">
        <v>3179</v>
      </c>
      <c r="AA1224" t="s">
        <v>159</v>
      </c>
      <c r="AB1224" t="s">
        <v>97</v>
      </c>
      <c r="AC1224" t="s">
        <v>159</v>
      </c>
    </row>
    <row r="1225" spans="1:29">
      <c r="A1225" t="s">
        <v>1641</v>
      </c>
      <c r="B1225" s="2">
        <v>46201</v>
      </c>
      <c r="C1225" t="s">
        <v>30</v>
      </c>
      <c r="D1225" t="s">
        <v>49</v>
      </c>
      <c r="E1225" t="s">
        <v>50</v>
      </c>
      <c r="F1225" t="s">
        <v>51</v>
      </c>
      <c r="G1225" t="s">
        <v>52</v>
      </c>
      <c r="H1225" t="s">
        <v>53</v>
      </c>
      <c r="I1225" t="s">
        <v>373</v>
      </c>
      <c r="J1225" t="s">
        <v>3066</v>
      </c>
      <c r="K1225" t="s">
        <v>92</v>
      </c>
      <c r="L1225" t="s">
        <v>68</v>
      </c>
      <c r="M1225" t="s">
        <v>39</v>
      </c>
      <c r="N1225" t="s">
        <v>213</v>
      </c>
      <c r="O1225" s="4">
        <v>6</v>
      </c>
      <c r="P1225" s="4">
        <v>14</v>
      </c>
      <c r="Q1225" t="s">
        <v>142</v>
      </c>
      <c r="R1225" s="2">
        <v>46197</v>
      </c>
      <c r="S1225" s="4">
        <v>6</v>
      </c>
      <c r="T1225" s="3">
        <v>141000000</v>
      </c>
      <c r="U1225" t="s">
        <v>214</v>
      </c>
      <c r="V1225" t="s">
        <v>70</v>
      </c>
      <c r="W1225" t="s">
        <v>215</v>
      </c>
      <c r="Y1225" t="s">
        <v>216</v>
      </c>
      <c r="Z1225" t="s">
        <v>3179</v>
      </c>
      <c r="AA1225" t="s">
        <v>62</v>
      </c>
      <c r="AB1225" t="s">
        <v>97</v>
      </c>
      <c r="AC1225" t="s">
        <v>62</v>
      </c>
    </row>
    <row r="1226" spans="1:29">
      <c r="A1226" t="s">
        <v>1642</v>
      </c>
      <c r="B1226" s="2">
        <v>46188</v>
      </c>
      <c r="C1226" t="s">
        <v>30</v>
      </c>
      <c r="D1226" t="s">
        <v>74</v>
      </c>
      <c r="E1226" t="s">
        <v>50</v>
      </c>
      <c r="F1226" t="s">
        <v>51</v>
      </c>
      <c r="G1226" t="s">
        <v>343</v>
      </c>
      <c r="H1226" t="s">
        <v>53</v>
      </c>
      <c r="I1226" t="s">
        <v>373</v>
      </c>
      <c r="J1226" t="s">
        <v>3066</v>
      </c>
      <c r="K1226" t="s">
        <v>56</v>
      </c>
      <c r="L1226" t="s">
        <v>80</v>
      </c>
      <c r="M1226" t="s">
        <v>93</v>
      </c>
      <c r="N1226" t="s">
        <v>40</v>
      </c>
      <c r="O1226" s="4">
        <v>2</v>
      </c>
      <c r="P1226" s="4">
        <v>13</v>
      </c>
      <c r="Q1226" t="s">
        <v>69</v>
      </c>
      <c r="R1226" s="2">
        <v>46185</v>
      </c>
      <c r="S1226" s="4">
        <v>18</v>
      </c>
      <c r="T1226" s="3">
        <v>460000000</v>
      </c>
      <c r="U1226" t="s">
        <v>42</v>
      </c>
      <c r="V1226" t="s">
        <v>43</v>
      </c>
      <c r="W1226" t="s">
        <v>298</v>
      </c>
      <c r="Y1226" t="s">
        <v>45</v>
      </c>
      <c r="Z1226" t="s">
        <v>3180</v>
      </c>
      <c r="AA1226" t="s">
        <v>62</v>
      </c>
      <c r="AB1226" t="s">
        <v>193</v>
      </c>
      <c r="AC1226" t="s">
        <v>62</v>
      </c>
    </row>
    <row r="1227" spans="1:29">
      <c r="A1227" t="s">
        <v>1643</v>
      </c>
      <c r="B1227" s="2">
        <v>46176</v>
      </c>
      <c r="C1227" t="s">
        <v>30</v>
      </c>
      <c r="D1227" t="s">
        <v>134</v>
      </c>
      <c r="E1227" t="s">
        <v>111</v>
      </c>
      <c r="F1227" t="s">
        <v>190</v>
      </c>
      <c r="G1227" t="s">
        <v>113</v>
      </c>
      <c r="H1227" t="s">
        <v>127</v>
      </c>
      <c r="I1227" t="s">
        <v>654</v>
      </c>
      <c r="J1227" t="s">
        <v>3142</v>
      </c>
      <c r="K1227" t="s">
        <v>37</v>
      </c>
      <c r="L1227" t="s">
        <v>187</v>
      </c>
      <c r="M1227" t="s">
        <v>129</v>
      </c>
      <c r="N1227" t="s">
        <v>130</v>
      </c>
      <c r="O1227" s="4">
        <v>5</v>
      </c>
      <c r="P1227" s="4">
        <v>14</v>
      </c>
      <c r="Q1227" t="s">
        <v>69</v>
      </c>
      <c r="R1227" s="2">
        <v>46172</v>
      </c>
      <c r="S1227" s="4">
        <v>31</v>
      </c>
      <c r="T1227" s="3">
        <v>138000000</v>
      </c>
      <c r="U1227" t="s">
        <v>42</v>
      </c>
      <c r="V1227" t="s">
        <v>70</v>
      </c>
      <c r="W1227" t="s">
        <v>252</v>
      </c>
      <c r="Y1227" t="s">
        <v>334</v>
      </c>
      <c r="Z1227" t="s">
        <v>3179</v>
      </c>
      <c r="AA1227" t="s">
        <v>118</v>
      </c>
      <c r="AB1227" t="s">
        <v>97</v>
      </c>
      <c r="AC1227" t="s">
        <v>118</v>
      </c>
    </row>
    <row r="1228" spans="1:29">
      <c r="A1228" t="s">
        <v>1644</v>
      </c>
      <c r="B1228" s="2">
        <v>46195</v>
      </c>
      <c r="C1228" t="s">
        <v>30</v>
      </c>
      <c r="D1228" t="s">
        <v>49</v>
      </c>
      <c r="E1228" t="s">
        <v>152</v>
      </c>
      <c r="F1228" t="s">
        <v>221</v>
      </c>
      <c r="G1228" t="s">
        <v>294</v>
      </c>
      <c r="H1228" t="s">
        <v>283</v>
      </c>
      <c r="I1228" t="s">
        <v>393</v>
      </c>
      <c r="J1228" t="s">
        <v>3072</v>
      </c>
      <c r="K1228" t="s">
        <v>56</v>
      </c>
      <c r="L1228" t="s">
        <v>68</v>
      </c>
      <c r="M1228" t="s">
        <v>164</v>
      </c>
      <c r="N1228" t="s">
        <v>82</v>
      </c>
      <c r="O1228" s="4">
        <v>1</v>
      </c>
      <c r="P1228" s="4">
        <v>12</v>
      </c>
      <c r="Q1228" t="s">
        <v>83</v>
      </c>
      <c r="R1228" s="2">
        <v>46188</v>
      </c>
      <c r="S1228" s="4">
        <v>15</v>
      </c>
      <c r="T1228" s="3">
        <v>372000000</v>
      </c>
      <c r="U1228" t="s">
        <v>42</v>
      </c>
      <c r="V1228" t="s">
        <v>43</v>
      </c>
      <c r="W1228" t="s">
        <v>84</v>
      </c>
      <c r="Y1228" t="s">
        <v>85</v>
      </c>
      <c r="Z1228" t="s">
        <v>3180</v>
      </c>
      <c r="AA1228" t="s">
        <v>159</v>
      </c>
      <c r="AB1228" t="s">
        <v>193</v>
      </c>
      <c r="AC1228" t="s">
        <v>159</v>
      </c>
    </row>
    <row r="1229" spans="1:29">
      <c r="A1229" t="s">
        <v>1645</v>
      </c>
      <c r="B1229" s="2">
        <v>46183</v>
      </c>
      <c r="C1229" t="s">
        <v>30</v>
      </c>
      <c r="D1229" t="s">
        <v>99</v>
      </c>
      <c r="E1229" t="s">
        <v>172</v>
      </c>
      <c r="F1229" t="s">
        <v>195</v>
      </c>
      <c r="G1229" t="s">
        <v>338</v>
      </c>
      <c r="H1229" t="s">
        <v>317</v>
      </c>
      <c r="I1229" t="s">
        <v>815</v>
      </c>
      <c r="J1229" t="s">
        <v>3158</v>
      </c>
      <c r="K1229" t="s">
        <v>37</v>
      </c>
      <c r="L1229" t="s">
        <v>80</v>
      </c>
      <c r="M1229" t="s">
        <v>106</v>
      </c>
      <c r="N1229" t="s">
        <v>57</v>
      </c>
      <c r="O1229" s="4">
        <v>3</v>
      </c>
      <c r="P1229" s="4">
        <v>9</v>
      </c>
      <c r="Q1229" t="s">
        <v>142</v>
      </c>
      <c r="R1229" s="2">
        <v>46182</v>
      </c>
      <c r="S1229" s="4">
        <v>21</v>
      </c>
      <c r="T1229" s="3">
        <v>126000000</v>
      </c>
      <c r="U1229" t="s">
        <v>42</v>
      </c>
      <c r="V1229" t="s">
        <v>59</v>
      </c>
      <c r="W1229" t="s">
        <v>60</v>
      </c>
      <c r="Y1229" t="s">
        <v>61</v>
      </c>
      <c r="Z1229" t="s">
        <v>3177</v>
      </c>
      <c r="AA1229" t="s">
        <v>181</v>
      </c>
      <c r="AB1229" t="s">
        <v>63</v>
      </c>
      <c r="AC1229" t="s">
        <v>181</v>
      </c>
    </row>
    <row r="1230" spans="1:29">
      <c r="A1230" t="s">
        <v>1646</v>
      </c>
      <c r="B1230" s="2">
        <v>46199</v>
      </c>
      <c r="C1230" t="s">
        <v>30</v>
      </c>
      <c r="D1230" t="s">
        <v>49</v>
      </c>
      <c r="E1230" t="s">
        <v>120</v>
      </c>
      <c r="F1230" t="s">
        <v>121</v>
      </c>
      <c r="G1230" t="s">
        <v>420</v>
      </c>
      <c r="H1230" t="s">
        <v>136</v>
      </c>
      <c r="I1230" t="s">
        <v>137</v>
      </c>
      <c r="J1230" t="s">
        <v>3017</v>
      </c>
      <c r="K1230" t="s">
        <v>37</v>
      </c>
      <c r="L1230" t="s">
        <v>80</v>
      </c>
      <c r="M1230" t="s">
        <v>93</v>
      </c>
      <c r="N1230" t="s">
        <v>94</v>
      </c>
      <c r="O1230" s="4">
        <v>4</v>
      </c>
      <c r="P1230" s="4">
        <v>5</v>
      </c>
      <c r="Q1230" t="s">
        <v>138</v>
      </c>
      <c r="R1230" s="2">
        <v>46195</v>
      </c>
      <c r="S1230" s="4">
        <v>8</v>
      </c>
      <c r="T1230" s="3">
        <v>272000000</v>
      </c>
      <c r="U1230" t="s">
        <v>42</v>
      </c>
      <c r="V1230" t="s">
        <v>59</v>
      </c>
      <c r="W1230" t="s">
        <v>95</v>
      </c>
      <c r="Y1230" t="s">
        <v>228</v>
      </c>
      <c r="Z1230" t="s">
        <v>3179</v>
      </c>
      <c r="AA1230" t="s">
        <v>97</v>
      </c>
      <c r="AB1230" t="s">
        <v>97</v>
      </c>
      <c r="AC1230" t="s">
        <v>97</v>
      </c>
    </row>
    <row r="1231" spans="1:29">
      <c r="A1231" t="s">
        <v>1647</v>
      </c>
      <c r="B1231" s="2">
        <v>46186</v>
      </c>
      <c r="C1231" t="s">
        <v>30</v>
      </c>
      <c r="D1231" t="s">
        <v>99</v>
      </c>
      <c r="E1231" t="s">
        <v>32</v>
      </c>
      <c r="F1231" t="s">
        <v>256</v>
      </c>
      <c r="G1231" t="s">
        <v>218</v>
      </c>
      <c r="H1231" t="s">
        <v>35</v>
      </c>
      <c r="I1231" t="s">
        <v>604</v>
      </c>
      <c r="J1231" t="s">
        <v>3130</v>
      </c>
      <c r="K1231" t="s">
        <v>37</v>
      </c>
      <c r="L1231" t="s">
        <v>169</v>
      </c>
      <c r="M1231" t="s">
        <v>81</v>
      </c>
      <c r="N1231" t="s">
        <v>196</v>
      </c>
      <c r="O1231" s="4">
        <v>7</v>
      </c>
      <c r="P1231" s="4">
        <v>5</v>
      </c>
      <c r="Q1231" t="s">
        <v>41</v>
      </c>
      <c r="R1231" s="2">
        <v>46179</v>
      </c>
      <c r="S1231" s="4">
        <v>24</v>
      </c>
      <c r="T1231" s="3">
        <v>123000000</v>
      </c>
      <c r="U1231" t="s">
        <v>196</v>
      </c>
      <c r="V1231" t="s">
        <v>70</v>
      </c>
      <c r="W1231" t="s">
        <v>243</v>
      </c>
      <c r="Y1231" t="s">
        <v>369</v>
      </c>
      <c r="Z1231" t="s">
        <v>3181</v>
      </c>
      <c r="AA1231" t="s">
        <v>46</v>
      </c>
      <c r="AB1231" t="s">
        <v>199</v>
      </c>
      <c r="AC1231" t="s">
        <v>46</v>
      </c>
    </row>
    <row r="1232" spans="1:29">
      <c r="A1232" t="s">
        <v>1648</v>
      </c>
      <c r="B1232" s="2">
        <v>46179</v>
      </c>
      <c r="C1232" t="s">
        <v>30</v>
      </c>
      <c r="D1232" t="s">
        <v>134</v>
      </c>
      <c r="E1232" t="s">
        <v>111</v>
      </c>
      <c r="F1232" t="s">
        <v>190</v>
      </c>
      <c r="G1232" t="s">
        <v>265</v>
      </c>
      <c r="H1232" t="s">
        <v>191</v>
      </c>
      <c r="I1232" t="s">
        <v>449</v>
      </c>
      <c r="J1232" t="s">
        <v>3089</v>
      </c>
      <c r="K1232" t="s">
        <v>37</v>
      </c>
      <c r="L1232" t="s">
        <v>187</v>
      </c>
      <c r="M1232" t="s">
        <v>106</v>
      </c>
      <c r="N1232" t="s">
        <v>94</v>
      </c>
      <c r="O1232" s="4">
        <v>4</v>
      </c>
      <c r="P1232" s="4">
        <v>11</v>
      </c>
      <c r="Q1232" t="s">
        <v>138</v>
      </c>
      <c r="R1232" s="2">
        <v>46178</v>
      </c>
      <c r="S1232" s="4">
        <v>25</v>
      </c>
      <c r="T1232" s="3">
        <v>72000000</v>
      </c>
      <c r="U1232" t="s">
        <v>42</v>
      </c>
      <c r="V1232" t="s">
        <v>59</v>
      </c>
      <c r="W1232" t="s">
        <v>170</v>
      </c>
      <c r="Y1232" t="s">
        <v>268</v>
      </c>
      <c r="Z1232" t="s">
        <v>3179</v>
      </c>
      <c r="AA1232" t="s">
        <v>118</v>
      </c>
      <c r="AB1232" t="s">
        <v>97</v>
      </c>
      <c r="AC1232" t="s">
        <v>118</v>
      </c>
    </row>
    <row r="1233" spans="1:29">
      <c r="A1233" t="s">
        <v>1649</v>
      </c>
      <c r="B1233" s="2">
        <v>46181</v>
      </c>
      <c r="C1233" t="s">
        <v>30</v>
      </c>
      <c r="D1233" t="s">
        <v>99</v>
      </c>
      <c r="E1233" t="s">
        <v>100</v>
      </c>
      <c r="F1233" t="s">
        <v>146</v>
      </c>
      <c r="G1233" t="s">
        <v>313</v>
      </c>
      <c r="H1233" t="s">
        <v>201</v>
      </c>
      <c r="I1233" t="s">
        <v>608</v>
      </c>
      <c r="J1233" t="s">
        <v>3132</v>
      </c>
      <c r="K1233" t="s">
        <v>56</v>
      </c>
      <c r="L1233" t="s">
        <v>68</v>
      </c>
      <c r="M1233" t="s">
        <v>56</v>
      </c>
      <c r="N1233" t="s">
        <v>82</v>
      </c>
      <c r="O1233" s="4">
        <v>1</v>
      </c>
      <c r="P1233" s="4">
        <v>7</v>
      </c>
      <c r="Q1233" t="s">
        <v>83</v>
      </c>
      <c r="R1233" s="2">
        <v>46176</v>
      </c>
      <c r="S1233" s="4">
        <v>27</v>
      </c>
      <c r="T1233" s="3">
        <v>262000000</v>
      </c>
      <c r="U1233" t="s">
        <v>177</v>
      </c>
      <c r="V1233" t="s">
        <v>43</v>
      </c>
      <c r="W1233" t="s">
        <v>84</v>
      </c>
      <c r="X1233" t="s">
        <v>520</v>
      </c>
      <c r="Y1233" t="s">
        <v>305</v>
      </c>
      <c r="Z1233" t="s">
        <v>3178</v>
      </c>
      <c r="AA1233" t="s">
        <v>109</v>
      </c>
      <c r="AB1233" t="s">
        <v>87</v>
      </c>
      <c r="AC1233" t="s">
        <v>109</v>
      </c>
    </row>
    <row r="1234" spans="1:29">
      <c r="A1234" t="s">
        <v>1650</v>
      </c>
      <c r="B1234" s="2">
        <v>46189</v>
      </c>
      <c r="C1234" t="s">
        <v>30</v>
      </c>
      <c r="D1234" t="s">
        <v>74</v>
      </c>
      <c r="E1234" t="s">
        <v>172</v>
      </c>
      <c r="F1234" t="s">
        <v>173</v>
      </c>
      <c r="G1234" t="s">
        <v>338</v>
      </c>
      <c r="H1234" t="s">
        <v>175</v>
      </c>
      <c r="I1234" t="s">
        <v>602</v>
      </c>
      <c r="J1234" t="s">
        <v>3129</v>
      </c>
      <c r="K1234" t="s">
        <v>105</v>
      </c>
      <c r="L1234" t="s">
        <v>68</v>
      </c>
      <c r="M1234" t="s">
        <v>39</v>
      </c>
      <c r="N1234" t="s">
        <v>196</v>
      </c>
      <c r="O1234" s="4">
        <v>7</v>
      </c>
      <c r="P1234" s="4">
        <v>7</v>
      </c>
      <c r="Q1234" t="s">
        <v>107</v>
      </c>
      <c r="R1234" s="2">
        <v>46180</v>
      </c>
      <c r="S1234" s="4">
        <v>23</v>
      </c>
      <c r="T1234" s="3">
        <v>267000000</v>
      </c>
      <c r="U1234" t="s">
        <v>564</v>
      </c>
      <c r="V1234" t="s">
        <v>70</v>
      </c>
      <c r="W1234" t="s">
        <v>197</v>
      </c>
      <c r="Y1234" t="s">
        <v>210</v>
      </c>
      <c r="Z1234" t="s">
        <v>3181</v>
      </c>
      <c r="AA1234" t="s">
        <v>181</v>
      </c>
      <c r="AB1234" t="s">
        <v>199</v>
      </c>
      <c r="AC1234" t="s">
        <v>181</v>
      </c>
    </row>
    <row r="1235" spans="1:29">
      <c r="A1235" t="s">
        <v>1651</v>
      </c>
      <c r="B1235" s="2">
        <v>46203</v>
      </c>
      <c r="C1235" t="s">
        <v>30</v>
      </c>
      <c r="D1235" t="s">
        <v>31</v>
      </c>
      <c r="E1235" t="s">
        <v>100</v>
      </c>
      <c r="F1235" t="s">
        <v>101</v>
      </c>
      <c r="G1235" t="s">
        <v>313</v>
      </c>
      <c r="H1235" t="s">
        <v>148</v>
      </c>
      <c r="I1235" t="s">
        <v>800</v>
      </c>
      <c r="J1235" t="s">
        <v>3156</v>
      </c>
      <c r="K1235" t="s">
        <v>56</v>
      </c>
      <c r="L1235" t="s">
        <v>169</v>
      </c>
      <c r="M1235" t="s">
        <v>39</v>
      </c>
      <c r="N1235" t="s">
        <v>94</v>
      </c>
      <c r="O1235" s="4">
        <v>4</v>
      </c>
      <c r="P1235" s="4">
        <v>19</v>
      </c>
      <c r="Q1235" t="s">
        <v>107</v>
      </c>
      <c r="R1235" s="2">
        <v>46203</v>
      </c>
      <c r="S1235" s="4">
        <v>0</v>
      </c>
      <c r="T1235" s="3">
        <v>232000000</v>
      </c>
      <c r="U1235" t="s">
        <v>426</v>
      </c>
      <c r="V1235" t="s">
        <v>59</v>
      </c>
      <c r="W1235" t="s">
        <v>188</v>
      </c>
      <c r="X1235" t="s">
        <v>381</v>
      </c>
      <c r="Y1235" t="s">
        <v>108</v>
      </c>
      <c r="Z1235" t="s">
        <v>3179</v>
      </c>
      <c r="AA1235" t="s">
        <v>109</v>
      </c>
      <c r="AB1235" t="s">
        <v>97</v>
      </c>
      <c r="AC1235" t="s">
        <v>109</v>
      </c>
    </row>
    <row r="1236" spans="1:29">
      <c r="A1236" t="s">
        <v>1652</v>
      </c>
      <c r="B1236" s="2">
        <v>46201</v>
      </c>
      <c r="C1236" t="s">
        <v>30</v>
      </c>
      <c r="D1236" t="s">
        <v>49</v>
      </c>
      <c r="E1236" t="s">
        <v>100</v>
      </c>
      <c r="F1236" t="s">
        <v>140</v>
      </c>
      <c r="G1236" t="s">
        <v>147</v>
      </c>
      <c r="H1236" t="s">
        <v>103</v>
      </c>
      <c r="I1236" t="s">
        <v>563</v>
      </c>
      <c r="J1236" t="s">
        <v>3120</v>
      </c>
      <c r="K1236" t="s">
        <v>105</v>
      </c>
      <c r="L1236" t="s">
        <v>187</v>
      </c>
      <c r="M1236" t="s">
        <v>56</v>
      </c>
      <c r="N1236" t="s">
        <v>94</v>
      </c>
      <c r="O1236" s="4">
        <v>4</v>
      </c>
      <c r="P1236" s="4">
        <v>11</v>
      </c>
      <c r="Q1236" t="s">
        <v>69</v>
      </c>
      <c r="R1236" s="2">
        <v>46201</v>
      </c>
      <c r="S1236" s="4">
        <v>2</v>
      </c>
      <c r="T1236" s="3">
        <v>233000000</v>
      </c>
      <c r="U1236" t="s">
        <v>42</v>
      </c>
      <c r="V1236" t="s">
        <v>70</v>
      </c>
      <c r="W1236" t="s">
        <v>170</v>
      </c>
      <c r="X1236" t="s">
        <v>117</v>
      </c>
      <c r="Y1236" t="s">
        <v>108</v>
      </c>
      <c r="Z1236" t="s">
        <v>3179</v>
      </c>
      <c r="AA1236" t="s">
        <v>109</v>
      </c>
      <c r="AB1236" t="s">
        <v>97</v>
      </c>
      <c r="AC1236" t="s">
        <v>109</v>
      </c>
    </row>
    <row r="1237" spans="1:29">
      <c r="A1237" t="s">
        <v>1653</v>
      </c>
      <c r="B1237" s="2">
        <v>46189</v>
      </c>
      <c r="C1237" t="s">
        <v>30</v>
      </c>
      <c r="D1237" t="s">
        <v>74</v>
      </c>
      <c r="E1237" t="s">
        <v>172</v>
      </c>
      <c r="F1237" t="s">
        <v>173</v>
      </c>
      <c r="G1237" t="s">
        <v>174</v>
      </c>
      <c r="H1237" t="s">
        <v>317</v>
      </c>
      <c r="I1237" t="s">
        <v>815</v>
      </c>
      <c r="J1237" t="s">
        <v>3158</v>
      </c>
      <c r="K1237" t="s">
        <v>105</v>
      </c>
      <c r="L1237" t="s">
        <v>80</v>
      </c>
      <c r="M1237" t="s">
        <v>129</v>
      </c>
      <c r="N1237" t="s">
        <v>57</v>
      </c>
      <c r="O1237" s="4">
        <v>3</v>
      </c>
      <c r="P1237" s="4">
        <v>8</v>
      </c>
      <c r="Q1237" t="s">
        <v>138</v>
      </c>
      <c r="R1237" s="2">
        <v>46185</v>
      </c>
      <c r="S1237" s="4">
        <v>18</v>
      </c>
      <c r="T1237" s="3">
        <v>53000000</v>
      </c>
      <c r="U1237" t="s">
        <v>42</v>
      </c>
      <c r="V1237" t="s">
        <v>43</v>
      </c>
      <c r="W1237" t="s">
        <v>157</v>
      </c>
      <c r="Y1237" t="s">
        <v>72</v>
      </c>
      <c r="Z1237" t="s">
        <v>3177</v>
      </c>
      <c r="AA1237" t="s">
        <v>181</v>
      </c>
      <c r="AB1237" t="s">
        <v>63</v>
      </c>
      <c r="AC1237" t="s">
        <v>181</v>
      </c>
    </row>
    <row r="1238" spans="1:29">
      <c r="A1238" t="s">
        <v>1654</v>
      </c>
      <c r="B1238" s="2">
        <v>46198</v>
      </c>
      <c r="C1238" t="s">
        <v>30</v>
      </c>
      <c r="D1238" t="s">
        <v>49</v>
      </c>
      <c r="E1238" t="s">
        <v>152</v>
      </c>
      <c r="F1238" t="s">
        <v>153</v>
      </c>
      <c r="G1238" t="s">
        <v>154</v>
      </c>
      <c r="H1238" t="s">
        <v>283</v>
      </c>
      <c r="I1238" t="s">
        <v>295</v>
      </c>
      <c r="J1238" t="s">
        <v>3043</v>
      </c>
      <c r="K1238" t="s">
        <v>56</v>
      </c>
      <c r="L1238" t="s">
        <v>187</v>
      </c>
      <c r="M1238" t="s">
        <v>81</v>
      </c>
      <c r="N1238" t="s">
        <v>57</v>
      </c>
      <c r="O1238" s="4">
        <v>3</v>
      </c>
      <c r="P1238" s="4">
        <v>11</v>
      </c>
      <c r="Q1238" t="s">
        <v>142</v>
      </c>
      <c r="R1238" s="2">
        <v>46189</v>
      </c>
      <c r="S1238" s="4">
        <v>14</v>
      </c>
      <c r="T1238" s="3">
        <v>252000000</v>
      </c>
      <c r="U1238" t="s">
        <v>42</v>
      </c>
      <c r="V1238" t="s">
        <v>43</v>
      </c>
      <c r="W1238" t="s">
        <v>71</v>
      </c>
      <c r="Y1238" t="s">
        <v>61</v>
      </c>
      <c r="Z1238" t="s">
        <v>3177</v>
      </c>
      <c r="AA1238" t="s">
        <v>159</v>
      </c>
      <c r="AB1238" t="s">
        <v>63</v>
      </c>
      <c r="AC1238" t="s">
        <v>159</v>
      </c>
    </row>
    <row r="1239" spans="1:29">
      <c r="A1239" t="s">
        <v>1655</v>
      </c>
      <c r="B1239" s="2">
        <v>46179</v>
      </c>
      <c r="C1239" t="s">
        <v>30</v>
      </c>
      <c r="D1239" t="s">
        <v>134</v>
      </c>
      <c r="E1239" t="s">
        <v>32</v>
      </c>
      <c r="F1239" t="s">
        <v>256</v>
      </c>
      <c r="G1239" t="s">
        <v>34</v>
      </c>
      <c r="H1239" t="s">
        <v>258</v>
      </c>
      <c r="I1239" t="s">
        <v>568</v>
      </c>
      <c r="J1239" t="s">
        <v>3121</v>
      </c>
      <c r="K1239" t="s">
        <v>56</v>
      </c>
      <c r="L1239" t="s">
        <v>187</v>
      </c>
      <c r="M1239" t="s">
        <v>93</v>
      </c>
      <c r="N1239" t="s">
        <v>40</v>
      </c>
      <c r="O1239" s="4">
        <v>2</v>
      </c>
      <c r="P1239" s="4">
        <v>5</v>
      </c>
      <c r="Q1239" t="s">
        <v>58</v>
      </c>
      <c r="R1239" s="2">
        <v>46173</v>
      </c>
      <c r="S1239" s="4">
        <v>30</v>
      </c>
      <c r="T1239" s="3">
        <v>361000000</v>
      </c>
      <c r="U1239" t="s">
        <v>42</v>
      </c>
      <c r="V1239" t="s">
        <v>43</v>
      </c>
      <c r="W1239" t="s">
        <v>298</v>
      </c>
      <c r="Y1239" t="s">
        <v>45</v>
      </c>
      <c r="Z1239" t="s">
        <v>3178</v>
      </c>
      <c r="AA1239" t="s">
        <v>46</v>
      </c>
      <c r="AB1239" t="s">
        <v>87</v>
      </c>
      <c r="AC1239" t="s">
        <v>46</v>
      </c>
    </row>
    <row r="1240" spans="1:29">
      <c r="A1240" t="s">
        <v>1656</v>
      </c>
      <c r="B1240" s="2">
        <v>46194</v>
      </c>
      <c r="C1240" t="s">
        <v>30</v>
      </c>
      <c r="D1240" t="s">
        <v>74</v>
      </c>
      <c r="E1240" t="s">
        <v>152</v>
      </c>
      <c r="F1240" t="s">
        <v>221</v>
      </c>
      <c r="G1240" t="s">
        <v>294</v>
      </c>
      <c r="H1240" t="s">
        <v>207</v>
      </c>
      <c r="I1240" t="s">
        <v>571</v>
      </c>
      <c r="J1240" t="s">
        <v>3122</v>
      </c>
      <c r="K1240" t="s">
        <v>92</v>
      </c>
      <c r="L1240" t="s">
        <v>55</v>
      </c>
      <c r="M1240" t="s">
        <v>56</v>
      </c>
      <c r="N1240" t="s">
        <v>40</v>
      </c>
      <c r="O1240" s="4">
        <v>2</v>
      </c>
      <c r="P1240" s="4">
        <v>7</v>
      </c>
      <c r="Q1240" t="s">
        <v>41</v>
      </c>
      <c r="R1240" s="2">
        <v>46188</v>
      </c>
      <c r="S1240" s="4">
        <v>15</v>
      </c>
      <c r="T1240" s="3">
        <v>77000000</v>
      </c>
      <c r="U1240" t="s">
        <v>177</v>
      </c>
      <c r="V1240" t="s">
        <v>43</v>
      </c>
      <c r="W1240" t="s">
        <v>298</v>
      </c>
      <c r="X1240" t="s">
        <v>261</v>
      </c>
      <c r="Y1240" t="s">
        <v>180</v>
      </c>
      <c r="Z1240" t="s">
        <v>3178</v>
      </c>
      <c r="AA1240" t="s">
        <v>159</v>
      </c>
      <c r="AB1240" t="s">
        <v>87</v>
      </c>
      <c r="AC1240" t="s">
        <v>159</v>
      </c>
    </row>
    <row r="1241" spans="1:29">
      <c r="A1241" t="s">
        <v>1657</v>
      </c>
      <c r="B1241" s="2">
        <v>46202</v>
      </c>
      <c r="C1241" t="s">
        <v>30</v>
      </c>
      <c r="D1241" t="s">
        <v>31</v>
      </c>
      <c r="E1241" t="s">
        <v>50</v>
      </c>
      <c r="F1241" t="s">
        <v>351</v>
      </c>
      <c r="G1241" t="s">
        <v>52</v>
      </c>
      <c r="H1241" t="s">
        <v>66</v>
      </c>
      <c r="I1241" t="s">
        <v>346</v>
      </c>
      <c r="J1241" t="s">
        <v>3058</v>
      </c>
      <c r="K1241" t="s">
        <v>105</v>
      </c>
      <c r="L1241" t="s">
        <v>80</v>
      </c>
      <c r="M1241" t="s">
        <v>56</v>
      </c>
      <c r="N1241" t="s">
        <v>94</v>
      </c>
      <c r="O1241" s="4">
        <v>4</v>
      </c>
      <c r="P1241" s="4">
        <v>7</v>
      </c>
      <c r="Q1241" t="s">
        <v>142</v>
      </c>
      <c r="R1241" s="2">
        <v>46195</v>
      </c>
      <c r="S1241" s="4">
        <v>8</v>
      </c>
      <c r="T1241" s="3">
        <v>103000000</v>
      </c>
      <c r="U1241" t="s">
        <v>42</v>
      </c>
      <c r="V1241" t="s">
        <v>59</v>
      </c>
      <c r="W1241" t="s">
        <v>267</v>
      </c>
      <c r="Y1241" t="s">
        <v>96</v>
      </c>
      <c r="Z1241" t="s">
        <v>3179</v>
      </c>
      <c r="AA1241" t="s">
        <v>62</v>
      </c>
      <c r="AB1241" t="s">
        <v>97</v>
      </c>
      <c r="AC1241" t="s">
        <v>62</v>
      </c>
    </row>
    <row r="1242" spans="1:29">
      <c r="A1242" t="s">
        <v>1658</v>
      </c>
      <c r="B1242" s="2">
        <v>46182</v>
      </c>
      <c r="C1242" t="s">
        <v>30</v>
      </c>
      <c r="D1242" t="s">
        <v>99</v>
      </c>
      <c r="E1242" t="s">
        <v>172</v>
      </c>
      <c r="F1242" t="s">
        <v>277</v>
      </c>
      <c r="G1242" t="s">
        <v>476</v>
      </c>
      <c r="H1242" t="s">
        <v>241</v>
      </c>
      <c r="I1242" t="s">
        <v>512</v>
      </c>
      <c r="J1242" t="s">
        <v>3107</v>
      </c>
      <c r="K1242" t="s">
        <v>116</v>
      </c>
      <c r="L1242" t="s">
        <v>187</v>
      </c>
      <c r="M1242" t="s">
        <v>106</v>
      </c>
      <c r="N1242" t="s">
        <v>94</v>
      </c>
      <c r="O1242" s="4">
        <v>4</v>
      </c>
      <c r="P1242" s="4">
        <v>16</v>
      </c>
      <c r="Q1242" t="s">
        <v>83</v>
      </c>
      <c r="R1242" s="2">
        <v>46178</v>
      </c>
      <c r="S1242" s="4">
        <v>25</v>
      </c>
      <c r="T1242" s="3">
        <v>40000000</v>
      </c>
      <c r="U1242" t="s">
        <v>260</v>
      </c>
      <c r="V1242" t="s">
        <v>59</v>
      </c>
      <c r="W1242" t="s">
        <v>95</v>
      </c>
      <c r="X1242" t="s">
        <v>261</v>
      </c>
      <c r="Y1242" t="s">
        <v>96</v>
      </c>
      <c r="Z1242" t="s">
        <v>3179</v>
      </c>
      <c r="AA1242" t="s">
        <v>181</v>
      </c>
      <c r="AB1242" t="s">
        <v>97</v>
      </c>
      <c r="AC1242" t="s">
        <v>181</v>
      </c>
    </row>
    <row r="1243" spans="1:29">
      <c r="A1243" t="s">
        <v>1659</v>
      </c>
      <c r="B1243" s="2">
        <v>46184</v>
      </c>
      <c r="C1243" t="s">
        <v>30</v>
      </c>
      <c r="D1243" t="s">
        <v>99</v>
      </c>
      <c r="E1243" t="s">
        <v>111</v>
      </c>
      <c r="F1243" t="s">
        <v>264</v>
      </c>
      <c r="G1243" t="s">
        <v>251</v>
      </c>
      <c r="H1243" t="s">
        <v>127</v>
      </c>
      <c r="I1243" t="s">
        <v>311</v>
      </c>
      <c r="J1243" t="s">
        <v>3048</v>
      </c>
      <c r="K1243" t="s">
        <v>37</v>
      </c>
      <c r="L1243" t="s">
        <v>80</v>
      </c>
      <c r="M1243" t="s">
        <v>106</v>
      </c>
      <c r="N1243" t="s">
        <v>57</v>
      </c>
      <c r="O1243" s="4">
        <v>3</v>
      </c>
      <c r="P1243" s="4">
        <v>11</v>
      </c>
      <c r="Q1243" t="s">
        <v>83</v>
      </c>
      <c r="R1243" s="2">
        <v>46181</v>
      </c>
      <c r="S1243" s="4">
        <v>22</v>
      </c>
      <c r="T1243" s="3">
        <v>77000000</v>
      </c>
      <c r="U1243" t="s">
        <v>42</v>
      </c>
      <c r="V1243" t="s">
        <v>43</v>
      </c>
      <c r="W1243" t="s">
        <v>60</v>
      </c>
      <c r="Y1243" t="s">
        <v>158</v>
      </c>
      <c r="Z1243" t="s">
        <v>3177</v>
      </c>
      <c r="AA1243" t="s">
        <v>118</v>
      </c>
      <c r="AB1243" t="s">
        <v>63</v>
      </c>
      <c r="AC1243" t="s">
        <v>118</v>
      </c>
    </row>
    <row r="1244" spans="1:29">
      <c r="A1244" t="s">
        <v>1660</v>
      </c>
      <c r="B1244" s="2">
        <v>46183</v>
      </c>
      <c r="C1244" t="s">
        <v>30</v>
      </c>
      <c r="D1244" t="s">
        <v>99</v>
      </c>
      <c r="E1244" t="s">
        <v>75</v>
      </c>
      <c r="F1244" t="s">
        <v>76</v>
      </c>
      <c r="G1244" t="s">
        <v>230</v>
      </c>
      <c r="H1244" t="s">
        <v>185</v>
      </c>
      <c r="I1244" t="s">
        <v>186</v>
      </c>
      <c r="J1244" t="s">
        <v>3024</v>
      </c>
      <c r="K1244" t="s">
        <v>56</v>
      </c>
      <c r="L1244" t="s">
        <v>187</v>
      </c>
      <c r="M1244" t="s">
        <v>81</v>
      </c>
      <c r="N1244" t="s">
        <v>40</v>
      </c>
      <c r="O1244" s="4">
        <v>2</v>
      </c>
      <c r="P1244" s="4">
        <v>4</v>
      </c>
      <c r="Q1244" t="s">
        <v>138</v>
      </c>
      <c r="R1244" s="2">
        <v>46181</v>
      </c>
      <c r="S1244" s="4">
        <v>22</v>
      </c>
      <c r="T1244" s="3">
        <v>326000000</v>
      </c>
      <c r="U1244" t="s">
        <v>42</v>
      </c>
      <c r="V1244" t="s">
        <v>59</v>
      </c>
      <c r="W1244" t="s">
        <v>298</v>
      </c>
      <c r="Y1244" t="s">
        <v>180</v>
      </c>
      <c r="Z1244" t="s">
        <v>3176</v>
      </c>
      <c r="AA1244" t="s">
        <v>86</v>
      </c>
      <c r="AB1244" t="s">
        <v>47</v>
      </c>
      <c r="AC1244" t="s">
        <v>86</v>
      </c>
    </row>
    <row r="1245" spans="1:29">
      <c r="A1245" t="s">
        <v>1661</v>
      </c>
      <c r="B1245" s="2">
        <v>46176</v>
      </c>
      <c r="C1245" t="s">
        <v>30</v>
      </c>
      <c r="D1245" t="s">
        <v>134</v>
      </c>
      <c r="E1245" t="s">
        <v>172</v>
      </c>
      <c r="F1245" t="s">
        <v>195</v>
      </c>
      <c r="G1245" t="s">
        <v>476</v>
      </c>
      <c r="H1245" t="s">
        <v>241</v>
      </c>
      <c r="I1245" t="s">
        <v>632</v>
      </c>
      <c r="J1245" t="s">
        <v>3136</v>
      </c>
      <c r="K1245" t="s">
        <v>37</v>
      </c>
      <c r="L1245" t="s">
        <v>150</v>
      </c>
      <c r="M1245" t="s">
        <v>164</v>
      </c>
      <c r="N1245" t="s">
        <v>40</v>
      </c>
      <c r="O1245" s="4">
        <v>2</v>
      </c>
      <c r="P1245" s="4">
        <v>3</v>
      </c>
      <c r="Q1245" t="s">
        <v>138</v>
      </c>
      <c r="R1245" s="2">
        <v>46169</v>
      </c>
      <c r="S1245" s="4">
        <v>34</v>
      </c>
      <c r="T1245" s="3">
        <v>87000000</v>
      </c>
      <c r="U1245" t="s">
        <v>42</v>
      </c>
      <c r="V1245" t="s">
        <v>43</v>
      </c>
      <c r="W1245" t="s">
        <v>44</v>
      </c>
      <c r="Y1245" t="s">
        <v>180</v>
      </c>
      <c r="Z1245" t="s">
        <v>3176</v>
      </c>
      <c r="AA1245" t="s">
        <v>181</v>
      </c>
      <c r="AB1245" t="s">
        <v>47</v>
      </c>
      <c r="AC1245" t="s">
        <v>181</v>
      </c>
    </row>
    <row r="1246" spans="1:29">
      <c r="A1246" t="s">
        <v>1662</v>
      </c>
      <c r="B1246" s="2">
        <v>46183</v>
      </c>
      <c r="C1246" t="s">
        <v>30</v>
      </c>
      <c r="D1246" t="s">
        <v>99</v>
      </c>
      <c r="E1246" t="s">
        <v>172</v>
      </c>
      <c r="F1246" t="s">
        <v>277</v>
      </c>
      <c r="G1246" t="s">
        <v>278</v>
      </c>
      <c r="H1246" t="s">
        <v>175</v>
      </c>
      <c r="I1246" t="s">
        <v>176</v>
      </c>
      <c r="J1246" t="s">
        <v>3023</v>
      </c>
      <c r="K1246" t="s">
        <v>37</v>
      </c>
      <c r="L1246" t="s">
        <v>169</v>
      </c>
      <c r="M1246" t="s">
        <v>39</v>
      </c>
      <c r="N1246" t="s">
        <v>40</v>
      </c>
      <c r="O1246" s="4">
        <v>2</v>
      </c>
      <c r="P1246" s="4">
        <v>8</v>
      </c>
      <c r="Q1246" t="s">
        <v>138</v>
      </c>
      <c r="R1246" s="2">
        <v>46174</v>
      </c>
      <c r="S1246" s="4">
        <v>29</v>
      </c>
      <c r="T1246" s="3">
        <v>109000000</v>
      </c>
      <c r="U1246" t="s">
        <v>42</v>
      </c>
      <c r="V1246" t="s">
        <v>59</v>
      </c>
      <c r="W1246" t="s">
        <v>44</v>
      </c>
      <c r="Y1246" t="s">
        <v>309</v>
      </c>
      <c r="Z1246" t="s">
        <v>3178</v>
      </c>
      <c r="AA1246" t="s">
        <v>181</v>
      </c>
      <c r="AB1246" t="s">
        <v>87</v>
      </c>
      <c r="AC1246" t="s">
        <v>181</v>
      </c>
    </row>
    <row r="1247" spans="1:29">
      <c r="A1247" t="s">
        <v>1663</v>
      </c>
      <c r="B1247" s="2">
        <v>46184</v>
      </c>
      <c r="C1247" t="s">
        <v>30</v>
      </c>
      <c r="D1247" t="s">
        <v>99</v>
      </c>
      <c r="E1247" t="s">
        <v>152</v>
      </c>
      <c r="F1247" t="s">
        <v>205</v>
      </c>
      <c r="G1247" t="s">
        <v>206</v>
      </c>
      <c r="H1247" t="s">
        <v>155</v>
      </c>
      <c r="I1247" t="s">
        <v>375</v>
      </c>
      <c r="J1247" t="s">
        <v>3067</v>
      </c>
      <c r="K1247" t="s">
        <v>56</v>
      </c>
      <c r="L1247" t="s">
        <v>187</v>
      </c>
      <c r="M1247" t="s">
        <v>106</v>
      </c>
      <c r="N1247" t="s">
        <v>82</v>
      </c>
      <c r="O1247" s="4">
        <v>1</v>
      </c>
      <c r="P1247" s="4">
        <v>7</v>
      </c>
      <c r="Q1247" t="s">
        <v>41</v>
      </c>
      <c r="R1247" s="2">
        <v>46174</v>
      </c>
      <c r="S1247" s="4">
        <v>29</v>
      </c>
      <c r="T1247" s="3">
        <v>91000000</v>
      </c>
      <c r="U1247" t="s">
        <v>42</v>
      </c>
      <c r="V1247" t="s">
        <v>43</v>
      </c>
      <c r="W1247" t="s">
        <v>404</v>
      </c>
      <c r="Y1247" t="s">
        <v>291</v>
      </c>
      <c r="Z1247" t="s">
        <v>3178</v>
      </c>
      <c r="AA1247" t="s">
        <v>159</v>
      </c>
      <c r="AB1247" t="s">
        <v>87</v>
      </c>
      <c r="AC1247" t="s">
        <v>159</v>
      </c>
    </row>
    <row r="1248" spans="1:29">
      <c r="A1248" t="s">
        <v>1664</v>
      </c>
      <c r="B1248" s="2">
        <v>46186</v>
      </c>
      <c r="C1248" t="s">
        <v>30</v>
      </c>
      <c r="D1248" t="s">
        <v>99</v>
      </c>
      <c r="E1248" t="s">
        <v>152</v>
      </c>
      <c r="F1248" t="s">
        <v>221</v>
      </c>
      <c r="G1248" t="s">
        <v>206</v>
      </c>
      <c r="H1248" t="s">
        <v>155</v>
      </c>
      <c r="I1248" t="s">
        <v>443</v>
      </c>
      <c r="J1248" t="s">
        <v>3086</v>
      </c>
      <c r="K1248" t="s">
        <v>92</v>
      </c>
      <c r="L1248" t="s">
        <v>55</v>
      </c>
      <c r="M1248" t="s">
        <v>164</v>
      </c>
      <c r="N1248" t="s">
        <v>82</v>
      </c>
      <c r="O1248" s="4">
        <v>1</v>
      </c>
      <c r="P1248" s="4">
        <v>8</v>
      </c>
      <c r="Q1248" t="s">
        <v>83</v>
      </c>
      <c r="R1248" s="2">
        <v>46180</v>
      </c>
      <c r="S1248" s="4">
        <v>23</v>
      </c>
      <c r="T1248" s="3">
        <v>126000000</v>
      </c>
      <c r="U1248" t="s">
        <v>42</v>
      </c>
      <c r="V1248" t="s">
        <v>43</v>
      </c>
      <c r="W1248" t="s">
        <v>290</v>
      </c>
      <c r="Y1248" t="s">
        <v>305</v>
      </c>
      <c r="Z1248" t="s">
        <v>3178</v>
      </c>
      <c r="AA1248" t="s">
        <v>159</v>
      </c>
      <c r="AB1248" t="s">
        <v>87</v>
      </c>
      <c r="AC1248" t="s">
        <v>159</v>
      </c>
    </row>
    <row r="1249" spans="1:29">
      <c r="A1249" t="s">
        <v>1665</v>
      </c>
      <c r="B1249" s="2">
        <v>46199</v>
      </c>
      <c r="C1249" t="s">
        <v>30</v>
      </c>
      <c r="D1249" t="s">
        <v>49</v>
      </c>
      <c r="E1249" t="s">
        <v>120</v>
      </c>
      <c r="F1249" t="s">
        <v>167</v>
      </c>
      <c r="G1249" t="s">
        <v>227</v>
      </c>
      <c r="H1249" t="s">
        <v>300</v>
      </c>
      <c r="I1249" t="s">
        <v>830</v>
      </c>
      <c r="J1249" t="s">
        <v>3159</v>
      </c>
      <c r="K1249" t="s">
        <v>116</v>
      </c>
      <c r="L1249" t="s">
        <v>150</v>
      </c>
      <c r="M1249" t="s">
        <v>106</v>
      </c>
      <c r="N1249" t="s">
        <v>130</v>
      </c>
      <c r="O1249" s="4">
        <v>5</v>
      </c>
      <c r="P1249" s="4">
        <v>14</v>
      </c>
      <c r="Q1249" t="s">
        <v>142</v>
      </c>
      <c r="R1249" s="2">
        <v>46196</v>
      </c>
      <c r="S1249" s="4">
        <v>7</v>
      </c>
      <c r="T1249" s="3">
        <v>183000000</v>
      </c>
      <c r="U1249" t="s">
        <v>260</v>
      </c>
      <c r="V1249" t="s">
        <v>143</v>
      </c>
      <c r="W1249" t="s">
        <v>252</v>
      </c>
      <c r="X1249" t="s">
        <v>422</v>
      </c>
      <c r="Y1249" t="s">
        <v>254</v>
      </c>
      <c r="Z1249" t="s">
        <v>3179</v>
      </c>
      <c r="AA1249" t="s">
        <v>97</v>
      </c>
      <c r="AB1249" t="s">
        <v>97</v>
      </c>
      <c r="AC1249" t="s">
        <v>97</v>
      </c>
    </row>
    <row r="1250" spans="1:29">
      <c r="A1250" t="s">
        <v>1666</v>
      </c>
      <c r="B1250" s="2">
        <v>46184</v>
      </c>
      <c r="C1250" t="s">
        <v>30</v>
      </c>
      <c r="D1250" t="s">
        <v>99</v>
      </c>
      <c r="E1250" t="s">
        <v>172</v>
      </c>
      <c r="F1250" t="s">
        <v>173</v>
      </c>
      <c r="G1250" t="s">
        <v>278</v>
      </c>
      <c r="H1250" t="s">
        <v>241</v>
      </c>
      <c r="I1250" t="s">
        <v>441</v>
      </c>
      <c r="J1250" t="s">
        <v>3085</v>
      </c>
      <c r="K1250" t="s">
        <v>105</v>
      </c>
      <c r="L1250" t="s">
        <v>80</v>
      </c>
      <c r="M1250" t="s">
        <v>39</v>
      </c>
      <c r="N1250" t="s">
        <v>40</v>
      </c>
      <c r="O1250" s="4">
        <v>2</v>
      </c>
      <c r="P1250" s="4">
        <v>4</v>
      </c>
      <c r="Q1250" t="s">
        <v>138</v>
      </c>
      <c r="R1250" s="2">
        <v>46176</v>
      </c>
      <c r="S1250" s="4">
        <v>27</v>
      </c>
      <c r="T1250" s="3">
        <v>305000000</v>
      </c>
      <c r="U1250" t="s">
        <v>42</v>
      </c>
      <c r="V1250" t="s">
        <v>59</v>
      </c>
      <c r="W1250" t="s">
        <v>44</v>
      </c>
      <c r="Y1250" t="s">
        <v>281</v>
      </c>
      <c r="Z1250" t="s">
        <v>3176</v>
      </c>
      <c r="AA1250" t="s">
        <v>181</v>
      </c>
      <c r="AB1250" t="s">
        <v>47</v>
      </c>
      <c r="AC1250" t="s">
        <v>181</v>
      </c>
    </row>
    <row r="1251" spans="1:29">
      <c r="A1251" t="s">
        <v>1667</v>
      </c>
      <c r="B1251" s="2">
        <v>46178</v>
      </c>
      <c r="C1251" t="s">
        <v>30</v>
      </c>
      <c r="D1251" t="s">
        <v>134</v>
      </c>
      <c r="E1251" t="s">
        <v>50</v>
      </c>
      <c r="F1251" t="s">
        <v>51</v>
      </c>
      <c r="G1251" t="s">
        <v>52</v>
      </c>
      <c r="H1251" t="s">
        <v>90</v>
      </c>
      <c r="I1251" t="s">
        <v>377</v>
      </c>
      <c r="J1251" t="s">
        <v>3068</v>
      </c>
      <c r="K1251" t="s">
        <v>105</v>
      </c>
      <c r="L1251" t="s">
        <v>55</v>
      </c>
      <c r="M1251" t="s">
        <v>39</v>
      </c>
      <c r="N1251" t="s">
        <v>94</v>
      </c>
      <c r="O1251" s="4">
        <v>4</v>
      </c>
      <c r="P1251" s="4">
        <v>9</v>
      </c>
      <c r="Q1251" t="s">
        <v>142</v>
      </c>
      <c r="R1251" s="2">
        <v>46175</v>
      </c>
      <c r="S1251" s="4">
        <v>28</v>
      </c>
      <c r="T1251" s="3">
        <v>313000000</v>
      </c>
      <c r="U1251" t="s">
        <v>260</v>
      </c>
      <c r="V1251" t="s">
        <v>70</v>
      </c>
      <c r="W1251" t="s">
        <v>267</v>
      </c>
      <c r="X1251" t="s">
        <v>520</v>
      </c>
      <c r="Y1251" t="s">
        <v>268</v>
      </c>
      <c r="Z1251" t="s">
        <v>3179</v>
      </c>
      <c r="AA1251" t="s">
        <v>62</v>
      </c>
      <c r="AB1251" t="s">
        <v>97</v>
      </c>
      <c r="AC1251" t="s">
        <v>62</v>
      </c>
    </row>
    <row r="1252" spans="1:29">
      <c r="A1252" t="s">
        <v>1668</v>
      </c>
      <c r="B1252" s="2">
        <v>46174</v>
      </c>
      <c r="C1252" t="s">
        <v>30</v>
      </c>
      <c r="D1252" t="s">
        <v>134</v>
      </c>
      <c r="E1252" t="s">
        <v>152</v>
      </c>
      <c r="F1252" t="s">
        <v>221</v>
      </c>
      <c r="G1252" t="s">
        <v>286</v>
      </c>
      <c r="H1252" t="s">
        <v>155</v>
      </c>
      <c r="I1252" t="s">
        <v>537</v>
      </c>
      <c r="J1252" t="s">
        <v>3113</v>
      </c>
      <c r="K1252" t="s">
        <v>105</v>
      </c>
      <c r="L1252" t="s">
        <v>187</v>
      </c>
      <c r="M1252" t="s">
        <v>129</v>
      </c>
      <c r="N1252" t="s">
        <v>82</v>
      </c>
      <c r="O1252" s="4">
        <v>1</v>
      </c>
      <c r="P1252" s="4">
        <v>11</v>
      </c>
      <c r="Q1252" t="s">
        <v>83</v>
      </c>
      <c r="R1252" s="2">
        <v>46167</v>
      </c>
      <c r="S1252" s="4">
        <v>36</v>
      </c>
      <c r="T1252" s="3">
        <v>297000000</v>
      </c>
      <c r="U1252" t="s">
        <v>42</v>
      </c>
      <c r="V1252" t="s">
        <v>59</v>
      </c>
      <c r="W1252" t="s">
        <v>290</v>
      </c>
      <c r="Y1252" t="s">
        <v>85</v>
      </c>
      <c r="Z1252" t="s">
        <v>3178</v>
      </c>
      <c r="AA1252" t="s">
        <v>159</v>
      </c>
      <c r="AB1252" t="s">
        <v>87</v>
      </c>
      <c r="AC1252" t="s">
        <v>159</v>
      </c>
    </row>
    <row r="1253" spans="1:29">
      <c r="A1253" t="s">
        <v>1669</v>
      </c>
      <c r="B1253" s="2">
        <v>46199</v>
      </c>
      <c r="C1253" t="s">
        <v>30</v>
      </c>
      <c r="D1253" t="s">
        <v>49</v>
      </c>
      <c r="E1253" t="s">
        <v>50</v>
      </c>
      <c r="F1253" t="s">
        <v>89</v>
      </c>
      <c r="G1253" t="s">
        <v>65</v>
      </c>
      <c r="H1253" t="s">
        <v>53</v>
      </c>
      <c r="I1253" t="s">
        <v>373</v>
      </c>
      <c r="J1253" t="s">
        <v>3066</v>
      </c>
      <c r="K1253" t="s">
        <v>105</v>
      </c>
      <c r="L1253" t="s">
        <v>68</v>
      </c>
      <c r="M1253" t="s">
        <v>106</v>
      </c>
      <c r="N1253" t="s">
        <v>40</v>
      </c>
      <c r="O1253" s="4">
        <v>2</v>
      </c>
      <c r="P1253" s="4">
        <v>12</v>
      </c>
      <c r="Q1253" t="s">
        <v>138</v>
      </c>
      <c r="R1253" s="2">
        <v>46192</v>
      </c>
      <c r="S1253" s="4">
        <v>11</v>
      </c>
      <c r="T1253" s="3">
        <v>290000000</v>
      </c>
      <c r="U1253" t="s">
        <v>42</v>
      </c>
      <c r="V1253" t="s">
        <v>43</v>
      </c>
      <c r="W1253" t="s">
        <v>239</v>
      </c>
      <c r="Y1253" t="s">
        <v>45</v>
      </c>
      <c r="Z1253" t="s">
        <v>3180</v>
      </c>
      <c r="AA1253" t="s">
        <v>62</v>
      </c>
      <c r="AB1253" t="s">
        <v>193</v>
      </c>
      <c r="AC1253" t="s">
        <v>62</v>
      </c>
    </row>
    <row r="1254" spans="1:29">
      <c r="A1254" t="s">
        <v>1670</v>
      </c>
      <c r="B1254" s="2">
        <v>46186</v>
      </c>
      <c r="C1254" t="s">
        <v>30</v>
      </c>
      <c r="D1254" t="s">
        <v>99</v>
      </c>
      <c r="E1254" t="s">
        <v>152</v>
      </c>
      <c r="F1254" t="s">
        <v>153</v>
      </c>
      <c r="G1254" t="s">
        <v>328</v>
      </c>
      <c r="H1254" t="s">
        <v>207</v>
      </c>
      <c r="I1254" t="s">
        <v>222</v>
      </c>
      <c r="J1254" t="s">
        <v>3029</v>
      </c>
      <c r="K1254" t="s">
        <v>56</v>
      </c>
      <c r="L1254" t="s">
        <v>187</v>
      </c>
      <c r="M1254" t="s">
        <v>106</v>
      </c>
      <c r="N1254" t="s">
        <v>57</v>
      </c>
      <c r="O1254" s="4">
        <v>3</v>
      </c>
      <c r="P1254" s="4">
        <v>9</v>
      </c>
      <c r="Q1254" t="s">
        <v>83</v>
      </c>
      <c r="R1254" s="2">
        <v>46182</v>
      </c>
      <c r="S1254" s="4">
        <v>21</v>
      </c>
      <c r="T1254" s="3">
        <v>465000000</v>
      </c>
      <c r="U1254" t="s">
        <v>42</v>
      </c>
      <c r="V1254" t="s">
        <v>59</v>
      </c>
      <c r="W1254" t="s">
        <v>203</v>
      </c>
      <c r="Y1254" t="s">
        <v>158</v>
      </c>
      <c r="Z1254" t="s">
        <v>3177</v>
      </c>
      <c r="AA1254" t="s">
        <v>159</v>
      </c>
      <c r="AB1254" t="s">
        <v>63</v>
      </c>
      <c r="AC1254" t="s">
        <v>159</v>
      </c>
    </row>
    <row r="1255" spans="1:29">
      <c r="A1255" t="s">
        <v>1671</v>
      </c>
      <c r="B1255" s="2">
        <v>46176</v>
      </c>
      <c r="C1255" t="s">
        <v>30</v>
      </c>
      <c r="D1255" t="s">
        <v>134</v>
      </c>
      <c r="E1255" t="s">
        <v>100</v>
      </c>
      <c r="F1255" t="s">
        <v>101</v>
      </c>
      <c r="G1255" t="s">
        <v>313</v>
      </c>
      <c r="H1255" t="s">
        <v>201</v>
      </c>
      <c r="I1255" t="s">
        <v>608</v>
      </c>
      <c r="J1255" t="s">
        <v>3132</v>
      </c>
      <c r="K1255" t="s">
        <v>37</v>
      </c>
      <c r="L1255" t="s">
        <v>187</v>
      </c>
      <c r="M1255" t="s">
        <v>106</v>
      </c>
      <c r="N1255" t="s">
        <v>130</v>
      </c>
      <c r="O1255" s="4">
        <v>5</v>
      </c>
      <c r="P1255" s="4">
        <v>17</v>
      </c>
      <c r="Q1255" t="s">
        <v>83</v>
      </c>
      <c r="R1255" s="2">
        <v>46170</v>
      </c>
      <c r="S1255" s="4">
        <v>33</v>
      </c>
      <c r="T1255" s="3">
        <v>189000000</v>
      </c>
      <c r="U1255" t="s">
        <v>42</v>
      </c>
      <c r="V1255" t="s">
        <v>143</v>
      </c>
      <c r="W1255" t="s">
        <v>131</v>
      </c>
      <c r="Y1255" t="s">
        <v>132</v>
      </c>
      <c r="Z1255" t="s">
        <v>3179</v>
      </c>
      <c r="AA1255" t="s">
        <v>109</v>
      </c>
      <c r="AB1255" t="s">
        <v>97</v>
      </c>
      <c r="AC1255" t="s">
        <v>109</v>
      </c>
    </row>
    <row r="1256" spans="1:29">
      <c r="A1256" t="s">
        <v>1672</v>
      </c>
      <c r="B1256" s="2">
        <v>46175</v>
      </c>
      <c r="C1256" t="s">
        <v>30</v>
      </c>
      <c r="D1256" t="s">
        <v>134</v>
      </c>
      <c r="E1256" t="s">
        <v>172</v>
      </c>
      <c r="F1256" t="s">
        <v>277</v>
      </c>
      <c r="G1256" t="s">
        <v>289</v>
      </c>
      <c r="H1256" t="s">
        <v>175</v>
      </c>
      <c r="I1256" t="s">
        <v>358</v>
      </c>
      <c r="J1256" t="s">
        <v>3062</v>
      </c>
      <c r="K1256" t="s">
        <v>105</v>
      </c>
      <c r="L1256" t="s">
        <v>169</v>
      </c>
      <c r="M1256" t="s">
        <v>93</v>
      </c>
      <c r="N1256" t="s">
        <v>213</v>
      </c>
      <c r="O1256" s="4">
        <v>6</v>
      </c>
      <c r="P1256" s="4">
        <v>11</v>
      </c>
      <c r="Q1256" t="s">
        <v>107</v>
      </c>
      <c r="R1256" s="2">
        <v>46174</v>
      </c>
      <c r="S1256" s="4">
        <v>29</v>
      </c>
      <c r="T1256" s="3">
        <v>202000000</v>
      </c>
      <c r="U1256" t="s">
        <v>214</v>
      </c>
      <c r="V1256" t="s">
        <v>70</v>
      </c>
      <c r="W1256" t="s">
        <v>438</v>
      </c>
      <c r="Y1256" t="s">
        <v>216</v>
      </c>
      <c r="Z1256" t="s">
        <v>3179</v>
      </c>
      <c r="AA1256" t="s">
        <v>181</v>
      </c>
      <c r="AB1256" t="s">
        <v>97</v>
      </c>
      <c r="AC1256" t="s">
        <v>181</v>
      </c>
    </row>
    <row r="1257" spans="1:29">
      <c r="A1257" t="s">
        <v>1673</v>
      </c>
      <c r="B1257" s="2">
        <v>46199</v>
      </c>
      <c r="C1257" t="s">
        <v>30</v>
      </c>
      <c r="D1257" t="s">
        <v>49</v>
      </c>
      <c r="E1257" t="s">
        <v>120</v>
      </c>
      <c r="F1257" t="s">
        <v>246</v>
      </c>
      <c r="G1257" t="s">
        <v>224</v>
      </c>
      <c r="H1257" t="s">
        <v>136</v>
      </c>
      <c r="I1257" t="s">
        <v>581</v>
      </c>
      <c r="J1257" t="s">
        <v>3125</v>
      </c>
      <c r="K1257" t="s">
        <v>92</v>
      </c>
      <c r="L1257" t="s">
        <v>187</v>
      </c>
      <c r="M1257" t="s">
        <v>81</v>
      </c>
      <c r="N1257" t="s">
        <v>57</v>
      </c>
      <c r="O1257" s="4">
        <v>3</v>
      </c>
      <c r="P1257" s="4">
        <v>7</v>
      </c>
      <c r="Q1257" t="s">
        <v>58</v>
      </c>
      <c r="R1257" s="2">
        <v>46196</v>
      </c>
      <c r="S1257" s="4">
        <v>7</v>
      </c>
      <c r="T1257" s="3">
        <v>214000000</v>
      </c>
      <c r="U1257" t="s">
        <v>42</v>
      </c>
      <c r="V1257" t="s">
        <v>43</v>
      </c>
      <c r="W1257" t="s">
        <v>71</v>
      </c>
      <c r="Y1257" t="s">
        <v>61</v>
      </c>
      <c r="Z1257" t="s">
        <v>3177</v>
      </c>
      <c r="AA1257" t="s">
        <v>97</v>
      </c>
      <c r="AB1257" t="s">
        <v>63</v>
      </c>
      <c r="AC1257" t="s">
        <v>97</v>
      </c>
    </row>
    <row r="1258" spans="1:29">
      <c r="A1258" t="s">
        <v>1674</v>
      </c>
      <c r="B1258" s="2">
        <v>46199</v>
      </c>
      <c r="C1258" t="s">
        <v>30</v>
      </c>
      <c r="D1258" t="s">
        <v>49</v>
      </c>
      <c r="E1258" t="s">
        <v>152</v>
      </c>
      <c r="F1258" t="s">
        <v>205</v>
      </c>
      <c r="G1258" t="s">
        <v>328</v>
      </c>
      <c r="H1258" t="s">
        <v>283</v>
      </c>
      <c r="I1258" t="s">
        <v>295</v>
      </c>
      <c r="J1258" t="s">
        <v>3043</v>
      </c>
      <c r="K1258" t="s">
        <v>105</v>
      </c>
      <c r="L1258" t="s">
        <v>68</v>
      </c>
      <c r="M1258" t="s">
        <v>39</v>
      </c>
      <c r="N1258" t="s">
        <v>40</v>
      </c>
      <c r="O1258" s="4">
        <v>2</v>
      </c>
      <c r="P1258" s="4">
        <v>8</v>
      </c>
      <c r="Q1258" t="s">
        <v>58</v>
      </c>
      <c r="R1258" s="2">
        <v>46197</v>
      </c>
      <c r="S1258" s="4">
        <v>6</v>
      </c>
      <c r="T1258" s="3">
        <v>141000000</v>
      </c>
      <c r="U1258" t="s">
        <v>42</v>
      </c>
      <c r="V1258" t="s">
        <v>59</v>
      </c>
      <c r="W1258" t="s">
        <v>178</v>
      </c>
      <c r="Y1258" t="s">
        <v>281</v>
      </c>
      <c r="Z1258" t="s">
        <v>3178</v>
      </c>
      <c r="AA1258" t="s">
        <v>159</v>
      </c>
      <c r="AB1258" t="s">
        <v>87</v>
      </c>
      <c r="AC1258" t="s">
        <v>159</v>
      </c>
    </row>
    <row r="1259" spans="1:29">
      <c r="A1259" t="s">
        <v>1675</v>
      </c>
      <c r="B1259" s="2">
        <v>46189</v>
      </c>
      <c r="C1259" t="s">
        <v>30</v>
      </c>
      <c r="D1259" t="s">
        <v>74</v>
      </c>
      <c r="E1259" t="s">
        <v>152</v>
      </c>
      <c r="F1259" t="s">
        <v>205</v>
      </c>
      <c r="G1259" t="s">
        <v>328</v>
      </c>
      <c r="H1259" t="s">
        <v>283</v>
      </c>
      <c r="I1259" t="s">
        <v>284</v>
      </c>
      <c r="J1259" t="s">
        <v>3041</v>
      </c>
      <c r="K1259" t="s">
        <v>56</v>
      </c>
      <c r="L1259" t="s">
        <v>55</v>
      </c>
      <c r="M1259" t="s">
        <v>129</v>
      </c>
      <c r="N1259" t="s">
        <v>40</v>
      </c>
      <c r="O1259" s="4">
        <v>2</v>
      </c>
      <c r="P1259" s="4">
        <v>11</v>
      </c>
      <c r="Q1259" t="s">
        <v>142</v>
      </c>
      <c r="R1259" s="2">
        <v>46186</v>
      </c>
      <c r="S1259" s="4">
        <v>17</v>
      </c>
      <c r="T1259" s="3">
        <v>444000000</v>
      </c>
      <c r="U1259" t="s">
        <v>177</v>
      </c>
      <c r="V1259" t="s">
        <v>43</v>
      </c>
      <c r="W1259" t="s">
        <v>178</v>
      </c>
      <c r="X1259" t="s">
        <v>261</v>
      </c>
      <c r="Y1259" t="s">
        <v>180</v>
      </c>
      <c r="Z1259" t="s">
        <v>3178</v>
      </c>
      <c r="AA1259" t="s">
        <v>159</v>
      </c>
      <c r="AB1259" t="s">
        <v>87</v>
      </c>
      <c r="AC1259" t="s">
        <v>159</v>
      </c>
    </row>
    <row r="1260" spans="1:29">
      <c r="A1260" t="s">
        <v>1676</v>
      </c>
      <c r="B1260" s="2">
        <v>46186</v>
      </c>
      <c r="C1260" t="s">
        <v>30</v>
      </c>
      <c r="D1260" t="s">
        <v>99</v>
      </c>
      <c r="E1260" t="s">
        <v>111</v>
      </c>
      <c r="F1260" t="s">
        <v>264</v>
      </c>
      <c r="G1260" t="s">
        <v>348</v>
      </c>
      <c r="H1260" t="s">
        <v>114</v>
      </c>
      <c r="I1260" t="s">
        <v>383</v>
      </c>
      <c r="J1260" t="s">
        <v>3070</v>
      </c>
      <c r="K1260" t="s">
        <v>105</v>
      </c>
      <c r="L1260" t="s">
        <v>150</v>
      </c>
      <c r="M1260" t="s">
        <v>106</v>
      </c>
      <c r="N1260" t="s">
        <v>196</v>
      </c>
      <c r="O1260" s="4">
        <v>7</v>
      </c>
      <c r="P1260" s="4">
        <v>8</v>
      </c>
      <c r="Q1260" t="s">
        <v>83</v>
      </c>
      <c r="R1260" s="2">
        <v>46177</v>
      </c>
      <c r="S1260" s="4">
        <v>26</v>
      </c>
      <c r="T1260" s="3">
        <v>188000000</v>
      </c>
      <c r="U1260" t="s">
        <v>196</v>
      </c>
      <c r="V1260" t="s">
        <v>70</v>
      </c>
      <c r="W1260" t="s">
        <v>209</v>
      </c>
      <c r="Y1260" t="s">
        <v>198</v>
      </c>
      <c r="Z1260" t="s">
        <v>3181</v>
      </c>
      <c r="AA1260" t="s">
        <v>118</v>
      </c>
      <c r="AB1260" t="s">
        <v>199</v>
      </c>
      <c r="AC1260" t="s">
        <v>118</v>
      </c>
    </row>
    <row r="1261" spans="1:29">
      <c r="A1261" t="s">
        <v>1677</v>
      </c>
      <c r="B1261" s="2">
        <v>46177</v>
      </c>
      <c r="C1261" t="s">
        <v>30</v>
      </c>
      <c r="D1261" t="s">
        <v>134</v>
      </c>
      <c r="E1261" t="s">
        <v>75</v>
      </c>
      <c r="F1261" t="s">
        <v>76</v>
      </c>
      <c r="G1261" t="s">
        <v>77</v>
      </c>
      <c r="H1261" t="s">
        <v>388</v>
      </c>
      <c r="I1261" t="s">
        <v>409</v>
      </c>
      <c r="J1261" t="s">
        <v>3076</v>
      </c>
      <c r="K1261" t="s">
        <v>92</v>
      </c>
      <c r="L1261" t="s">
        <v>55</v>
      </c>
      <c r="M1261" t="s">
        <v>129</v>
      </c>
      <c r="N1261" t="s">
        <v>130</v>
      </c>
      <c r="O1261" s="4">
        <v>5</v>
      </c>
      <c r="P1261" s="4">
        <v>15</v>
      </c>
      <c r="Q1261" t="s">
        <v>142</v>
      </c>
      <c r="R1261" s="2">
        <v>46174</v>
      </c>
      <c r="S1261" s="4">
        <v>29</v>
      </c>
      <c r="T1261" s="3">
        <v>113000000</v>
      </c>
      <c r="U1261" t="s">
        <v>42</v>
      </c>
      <c r="V1261" t="s">
        <v>143</v>
      </c>
      <c r="W1261" t="s">
        <v>252</v>
      </c>
      <c r="X1261" t="s">
        <v>117</v>
      </c>
      <c r="Y1261" t="s">
        <v>262</v>
      </c>
      <c r="Z1261" t="s">
        <v>3179</v>
      </c>
      <c r="AA1261" t="s">
        <v>86</v>
      </c>
      <c r="AB1261" t="s">
        <v>97</v>
      </c>
      <c r="AC1261" t="s">
        <v>86</v>
      </c>
    </row>
    <row r="1262" spans="1:29">
      <c r="A1262" t="s">
        <v>1678</v>
      </c>
      <c r="B1262" s="2">
        <v>46175</v>
      </c>
      <c r="C1262" t="s">
        <v>30</v>
      </c>
      <c r="D1262" t="s">
        <v>134</v>
      </c>
      <c r="E1262" t="s">
        <v>120</v>
      </c>
      <c r="F1262" t="s">
        <v>167</v>
      </c>
      <c r="G1262" t="s">
        <v>420</v>
      </c>
      <c r="H1262" t="s">
        <v>300</v>
      </c>
      <c r="I1262" t="s">
        <v>430</v>
      </c>
      <c r="J1262" t="s">
        <v>3082</v>
      </c>
      <c r="K1262" t="s">
        <v>56</v>
      </c>
      <c r="L1262" t="s">
        <v>150</v>
      </c>
      <c r="M1262" t="s">
        <v>164</v>
      </c>
      <c r="N1262" t="s">
        <v>130</v>
      </c>
      <c r="O1262" s="4">
        <v>5</v>
      </c>
      <c r="P1262" s="4">
        <v>9</v>
      </c>
      <c r="Q1262" t="s">
        <v>142</v>
      </c>
      <c r="R1262" s="2">
        <v>46172</v>
      </c>
      <c r="S1262" s="4">
        <v>31</v>
      </c>
      <c r="T1262" s="3">
        <v>279000000</v>
      </c>
      <c r="U1262" t="s">
        <v>260</v>
      </c>
      <c r="V1262" t="s">
        <v>143</v>
      </c>
      <c r="W1262" t="s">
        <v>252</v>
      </c>
      <c r="X1262" t="s">
        <v>520</v>
      </c>
      <c r="Y1262" t="s">
        <v>254</v>
      </c>
      <c r="Z1262" t="s">
        <v>3179</v>
      </c>
      <c r="AA1262" t="s">
        <v>97</v>
      </c>
      <c r="AB1262" t="s">
        <v>97</v>
      </c>
      <c r="AC1262" t="s">
        <v>97</v>
      </c>
    </row>
    <row r="1263" spans="1:29">
      <c r="A1263" t="s">
        <v>1679</v>
      </c>
      <c r="B1263" s="2">
        <v>46194</v>
      </c>
      <c r="C1263" t="s">
        <v>30</v>
      </c>
      <c r="D1263" t="s">
        <v>74</v>
      </c>
      <c r="E1263" t="s">
        <v>120</v>
      </c>
      <c r="F1263" t="s">
        <v>121</v>
      </c>
      <c r="G1263" t="s">
        <v>122</v>
      </c>
      <c r="H1263" t="s">
        <v>300</v>
      </c>
      <c r="I1263" t="s">
        <v>445</v>
      </c>
      <c r="J1263" t="s">
        <v>3087</v>
      </c>
      <c r="K1263" t="s">
        <v>37</v>
      </c>
      <c r="L1263" t="s">
        <v>150</v>
      </c>
      <c r="M1263" t="s">
        <v>106</v>
      </c>
      <c r="N1263" t="s">
        <v>57</v>
      </c>
      <c r="O1263" s="4">
        <v>3</v>
      </c>
      <c r="P1263" s="4">
        <v>8</v>
      </c>
      <c r="Q1263" t="s">
        <v>69</v>
      </c>
      <c r="R1263" s="2">
        <v>46184</v>
      </c>
      <c r="S1263" s="4">
        <v>19</v>
      </c>
      <c r="T1263" s="3">
        <v>174000000</v>
      </c>
      <c r="U1263" t="s">
        <v>42</v>
      </c>
      <c r="V1263" t="s">
        <v>59</v>
      </c>
      <c r="W1263" t="s">
        <v>203</v>
      </c>
      <c r="Y1263" t="s">
        <v>61</v>
      </c>
      <c r="Z1263" t="s">
        <v>3177</v>
      </c>
      <c r="AA1263" t="s">
        <v>97</v>
      </c>
      <c r="AB1263" t="s">
        <v>63</v>
      </c>
      <c r="AC1263" t="s">
        <v>97</v>
      </c>
    </row>
    <row r="1264" spans="1:29">
      <c r="A1264" t="s">
        <v>1680</v>
      </c>
      <c r="B1264" s="2">
        <v>46197</v>
      </c>
      <c r="C1264" t="s">
        <v>30</v>
      </c>
      <c r="D1264" t="s">
        <v>49</v>
      </c>
      <c r="E1264" t="s">
        <v>120</v>
      </c>
      <c r="F1264" t="s">
        <v>121</v>
      </c>
      <c r="G1264" t="s">
        <v>227</v>
      </c>
      <c r="H1264" t="s">
        <v>136</v>
      </c>
      <c r="I1264" t="s">
        <v>658</v>
      </c>
      <c r="J1264" t="s">
        <v>3143</v>
      </c>
      <c r="K1264" t="s">
        <v>56</v>
      </c>
      <c r="L1264" t="s">
        <v>150</v>
      </c>
      <c r="M1264" t="s">
        <v>56</v>
      </c>
      <c r="N1264" t="s">
        <v>213</v>
      </c>
      <c r="O1264" s="4">
        <v>6</v>
      </c>
      <c r="P1264" s="4">
        <v>11</v>
      </c>
      <c r="Q1264" t="s">
        <v>107</v>
      </c>
      <c r="R1264" s="2">
        <v>46194</v>
      </c>
      <c r="S1264" s="4">
        <v>9</v>
      </c>
      <c r="T1264" s="3">
        <v>243000000</v>
      </c>
      <c r="U1264" t="s">
        <v>42</v>
      </c>
      <c r="V1264" t="s">
        <v>143</v>
      </c>
      <c r="W1264" t="s">
        <v>215</v>
      </c>
      <c r="Y1264" t="s">
        <v>432</v>
      </c>
      <c r="Z1264" t="s">
        <v>3179</v>
      </c>
      <c r="AA1264" t="s">
        <v>97</v>
      </c>
      <c r="AB1264" t="s">
        <v>97</v>
      </c>
      <c r="AC1264" t="s">
        <v>97</v>
      </c>
    </row>
    <row r="1265" spans="1:29">
      <c r="A1265" t="s">
        <v>1681</v>
      </c>
      <c r="B1265" s="2">
        <v>46174</v>
      </c>
      <c r="C1265" t="s">
        <v>30</v>
      </c>
      <c r="D1265" t="s">
        <v>134</v>
      </c>
      <c r="E1265" t="s">
        <v>172</v>
      </c>
      <c r="F1265" t="s">
        <v>195</v>
      </c>
      <c r="G1265" t="s">
        <v>476</v>
      </c>
      <c r="H1265" t="s">
        <v>175</v>
      </c>
      <c r="I1265" t="s">
        <v>333</v>
      </c>
      <c r="J1265" t="s">
        <v>3054</v>
      </c>
      <c r="K1265" t="s">
        <v>56</v>
      </c>
      <c r="L1265" t="s">
        <v>150</v>
      </c>
      <c r="M1265" t="s">
        <v>129</v>
      </c>
      <c r="N1265" t="s">
        <v>196</v>
      </c>
      <c r="O1265" s="4">
        <v>7</v>
      </c>
      <c r="P1265" s="4">
        <v>8</v>
      </c>
      <c r="Q1265" t="s">
        <v>58</v>
      </c>
      <c r="R1265" s="2">
        <v>46168</v>
      </c>
      <c r="S1265" s="4">
        <v>35</v>
      </c>
      <c r="T1265" s="3">
        <v>175000000</v>
      </c>
      <c r="U1265" t="s">
        <v>564</v>
      </c>
      <c r="V1265" t="s">
        <v>70</v>
      </c>
      <c r="W1265" t="s">
        <v>675</v>
      </c>
      <c r="Y1265" t="s">
        <v>198</v>
      </c>
      <c r="Z1265" t="s">
        <v>3181</v>
      </c>
      <c r="AA1265" t="s">
        <v>181</v>
      </c>
      <c r="AB1265" t="s">
        <v>199</v>
      </c>
      <c r="AC1265" t="s">
        <v>181</v>
      </c>
    </row>
    <row r="1266" spans="1:29">
      <c r="A1266" t="s">
        <v>1682</v>
      </c>
      <c r="B1266" s="2">
        <v>46175</v>
      </c>
      <c r="C1266" t="s">
        <v>30</v>
      </c>
      <c r="D1266" t="s">
        <v>134</v>
      </c>
      <c r="E1266" t="s">
        <v>172</v>
      </c>
      <c r="F1266" t="s">
        <v>173</v>
      </c>
      <c r="G1266" t="s">
        <v>278</v>
      </c>
      <c r="H1266" t="s">
        <v>241</v>
      </c>
      <c r="I1266" t="s">
        <v>441</v>
      </c>
      <c r="J1266" t="s">
        <v>3085</v>
      </c>
      <c r="K1266" t="s">
        <v>37</v>
      </c>
      <c r="L1266" t="s">
        <v>80</v>
      </c>
      <c r="M1266" t="s">
        <v>93</v>
      </c>
      <c r="N1266" t="s">
        <v>40</v>
      </c>
      <c r="O1266" s="4">
        <v>2</v>
      </c>
      <c r="P1266" s="4">
        <v>9</v>
      </c>
      <c r="Q1266" t="s">
        <v>138</v>
      </c>
      <c r="R1266" s="2">
        <v>46170</v>
      </c>
      <c r="S1266" s="4">
        <v>33</v>
      </c>
      <c r="T1266" s="3">
        <v>160000000</v>
      </c>
      <c r="U1266" t="s">
        <v>42</v>
      </c>
      <c r="V1266" t="s">
        <v>43</v>
      </c>
      <c r="W1266" t="s">
        <v>298</v>
      </c>
      <c r="Y1266" t="s">
        <v>281</v>
      </c>
      <c r="Z1266" t="s">
        <v>3178</v>
      </c>
      <c r="AA1266" t="s">
        <v>181</v>
      </c>
      <c r="AB1266" t="s">
        <v>87</v>
      </c>
      <c r="AC1266" t="s">
        <v>181</v>
      </c>
    </row>
    <row r="1267" spans="1:29">
      <c r="A1267" t="s">
        <v>1683</v>
      </c>
      <c r="B1267" s="2">
        <v>46177</v>
      </c>
      <c r="C1267" t="s">
        <v>30</v>
      </c>
      <c r="D1267" t="s">
        <v>134</v>
      </c>
      <c r="E1267" t="s">
        <v>50</v>
      </c>
      <c r="F1267" t="s">
        <v>89</v>
      </c>
      <c r="G1267" t="s">
        <v>343</v>
      </c>
      <c r="H1267" t="s">
        <v>90</v>
      </c>
      <c r="I1267" t="s">
        <v>377</v>
      </c>
      <c r="J1267" t="s">
        <v>3068</v>
      </c>
      <c r="K1267" t="s">
        <v>56</v>
      </c>
      <c r="L1267" t="s">
        <v>169</v>
      </c>
      <c r="M1267" t="s">
        <v>39</v>
      </c>
      <c r="N1267" t="s">
        <v>213</v>
      </c>
      <c r="O1267" s="4">
        <v>6</v>
      </c>
      <c r="P1267" s="4">
        <v>11</v>
      </c>
      <c r="Q1267" t="s">
        <v>83</v>
      </c>
      <c r="R1267" s="2">
        <v>46177</v>
      </c>
      <c r="S1267" s="4">
        <v>26</v>
      </c>
      <c r="T1267" s="3">
        <v>383000000</v>
      </c>
      <c r="U1267" t="s">
        <v>42</v>
      </c>
      <c r="V1267" t="s">
        <v>59</v>
      </c>
      <c r="W1267" t="s">
        <v>438</v>
      </c>
      <c r="Y1267" t="s">
        <v>424</v>
      </c>
      <c r="Z1267" t="s">
        <v>3179</v>
      </c>
      <c r="AA1267" t="s">
        <v>62</v>
      </c>
      <c r="AB1267" t="s">
        <v>97</v>
      </c>
      <c r="AC1267" t="s">
        <v>62</v>
      </c>
    </row>
    <row r="1268" spans="1:29">
      <c r="A1268" t="s">
        <v>1684</v>
      </c>
      <c r="B1268" s="2">
        <v>46200</v>
      </c>
      <c r="C1268" t="s">
        <v>30</v>
      </c>
      <c r="D1268" t="s">
        <v>49</v>
      </c>
      <c r="E1268" t="s">
        <v>152</v>
      </c>
      <c r="F1268" t="s">
        <v>221</v>
      </c>
      <c r="G1268" t="s">
        <v>294</v>
      </c>
      <c r="H1268" t="s">
        <v>207</v>
      </c>
      <c r="I1268" t="s">
        <v>208</v>
      </c>
      <c r="J1268" t="s">
        <v>3027</v>
      </c>
      <c r="K1268" t="s">
        <v>37</v>
      </c>
      <c r="L1268" t="s">
        <v>80</v>
      </c>
      <c r="M1268" t="s">
        <v>164</v>
      </c>
      <c r="N1268" t="s">
        <v>94</v>
      </c>
      <c r="O1268" s="4">
        <v>4</v>
      </c>
      <c r="P1268" s="4">
        <v>12</v>
      </c>
      <c r="Q1268" t="s">
        <v>138</v>
      </c>
      <c r="R1268" s="2">
        <v>46190</v>
      </c>
      <c r="S1268" s="4">
        <v>13</v>
      </c>
      <c r="T1268" s="3">
        <v>236000000</v>
      </c>
      <c r="U1268" t="s">
        <v>42</v>
      </c>
      <c r="V1268" t="s">
        <v>59</v>
      </c>
      <c r="W1268" t="s">
        <v>170</v>
      </c>
      <c r="Y1268" t="s">
        <v>96</v>
      </c>
      <c r="Z1268" t="s">
        <v>3179</v>
      </c>
      <c r="AA1268" t="s">
        <v>159</v>
      </c>
      <c r="AB1268" t="s">
        <v>97</v>
      </c>
      <c r="AC1268" t="s">
        <v>159</v>
      </c>
    </row>
    <row r="1269" spans="1:29">
      <c r="A1269" t="s">
        <v>1685</v>
      </c>
      <c r="B1269" s="2">
        <v>46177</v>
      </c>
      <c r="C1269" t="s">
        <v>30</v>
      </c>
      <c r="D1269" t="s">
        <v>134</v>
      </c>
      <c r="E1269" t="s">
        <v>111</v>
      </c>
      <c r="F1269" t="s">
        <v>264</v>
      </c>
      <c r="G1269" t="s">
        <v>126</v>
      </c>
      <c r="H1269" t="s">
        <v>191</v>
      </c>
      <c r="I1269" t="s">
        <v>455</v>
      </c>
      <c r="J1269" t="s">
        <v>3091</v>
      </c>
      <c r="K1269" t="s">
        <v>116</v>
      </c>
      <c r="L1269" t="s">
        <v>150</v>
      </c>
      <c r="M1269" t="s">
        <v>106</v>
      </c>
      <c r="N1269" t="s">
        <v>130</v>
      </c>
      <c r="O1269" s="4">
        <v>5</v>
      </c>
      <c r="P1269" s="4">
        <v>10</v>
      </c>
      <c r="Q1269" t="s">
        <v>138</v>
      </c>
      <c r="R1269" s="2">
        <v>46167</v>
      </c>
      <c r="S1269" s="4">
        <v>36</v>
      </c>
      <c r="T1269" s="3">
        <v>90000000</v>
      </c>
      <c r="U1269" t="s">
        <v>42</v>
      </c>
      <c r="V1269" t="s">
        <v>143</v>
      </c>
      <c r="W1269" t="s">
        <v>144</v>
      </c>
      <c r="Y1269" t="s">
        <v>334</v>
      </c>
      <c r="Z1269" t="s">
        <v>3179</v>
      </c>
      <c r="AA1269" t="s">
        <v>118</v>
      </c>
      <c r="AB1269" t="s">
        <v>97</v>
      </c>
      <c r="AC1269" t="s">
        <v>118</v>
      </c>
    </row>
    <row r="1270" spans="1:29">
      <c r="A1270" t="s">
        <v>1686</v>
      </c>
      <c r="B1270" s="2">
        <v>46183</v>
      </c>
      <c r="C1270" t="s">
        <v>30</v>
      </c>
      <c r="D1270" t="s">
        <v>99</v>
      </c>
      <c r="E1270" t="s">
        <v>100</v>
      </c>
      <c r="F1270" t="s">
        <v>146</v>
      </c>
      <c r="G1270" t="s">
        <v>102</v>
      </c>
      <c r="H1270" t="s">
        <v>148</v>
      </c>
      <c r="I1270" t="s">
        <v>315</v>
      </c>
      <c r="J1270" t="s">
        <v>3049</v>
      </c>
      <c r="K1270" t="s">
        <v>37</v>
      </c>
      <c r="L1270" t="s">
        <v>80</v>
      </c>
      <c r="M1270" t="s">
        <v>106</v>
      </c>
      <c r="N1270" t="s">
        <v>40</v>
      </c>
      <c r="O1270" s="4">
        <v>2</v>
      </c>
      <c r="P1270" s="4">
        <v>14</v>
      </c>
      <c r="Q1270" t="s">
        <v>142</v>
      </c>
      <c r="R1270" s="2">
        <v>46174</v>
      </c>
      <c r="S1270" s="4">
        <v>29</v>
      </c>
      <c r="T1270" s="3">
        <v>188000000</v>
      </c>
      <c r="U1270" t="s">
        <v>42</v>
      </c>
      <c r="V1270" t="s">
        <v>43</v>
      </c>
      <c r="W1270" t="s">
        <v>298</v>
      </c>
      <c r="Y1270" t="s">
        <v>180</v>
      </c>
      <c r="Z1270" t="s">
        <v>3180</v>
      </c>
      <c r="AA1270" t="s">
        <v>109</v>
      </c>
      <c r="AB1270" t="s">
        <v>193</v>
      </c>
      <c r="AC1270" t="s">
        <v>109</v>
      </c>
    </row>
    <row r="1271" spans="1:29">
      <c r="A1271" t="s">
        <v>1687</v>
      </c>
      <c r="B1271" s="2">
        <v>46185</v>
      </c>
      <c r="C1271" t="s">
        <v>30</v>
      </c>
      <c r="D1271" t="s">
        <v>99</v>
      </c>
      <c r="E1271" t="s">
        <v>32</v>
      </c>
      <c r="F1271" t="s">
        <v>256</v>
      </c>
      <c r="G1271" t="s">
        <v>218</v>
      </c>
      <c r="H1271" t="s">
        <v>258</v>
      </c>
      <c r="I1271" t="s">
        <v>651</v>
      </c>
      <c r="J1271" t="s">
        <v>3141</v>
      </c>
      <c r="K1271" t="s">
        <v>56</v>
      </c>
      <c r="L1271" t="s">
        <v>80</v>
      </c>
      <c r="M1271" t="s">
        <v>129</v>
      </c>
      <c r="N1271" t="s">
        <v>82</v>
      </c>
      <c r="O1271" s="4">
        <v>1</v>
      </c>
      <c r="P1271" s="4">
        <v>5</v>
      </c>
      <c r="Q1271" t="s">
        <v>58</v>
      </c>
      <c r="R1271" s="2">
        <v>46175</v>
      </c>
      <c r="S1271" s="4">
        <v>28</v>
      </c>
      <c r="T1271" s="3">
        <v>296000000</v>
      </c>
      <c r="U1271" t="s">
        <v>42</v>
      </c>
      <c r="V1271" t="s">
        <v>43</v>
      </c>
      <c r="W1271" t="s">
        <v>290</v>
      </c>
      <c r="Y1271" t="s">
        <v>305</v>
      </c>
      <c r="Z1271" t="s">
        <v>3178</v>
      </c>
      <c r="AA1271" t="s">
        <v>46</v>
      </c>
      <c r="AB1271" t="s">
        <v>87</v>
      </c>
      <c r="AC1271" t="s">
        <v>46</v>
      </c>
    </row>
    <row r="1272" spans="1:29">
      <c r="A1272" t="s">
        <v>1688</v>
      </c>
      <c r="B1272" s="2">
        <v>46189</v>
      </c>
      <c r="C1272" t="s">
        <v>30</v>
      </c>
      <c r="D1272" t="s">
        <v>74</v>
      </c>
      <c r="E1272" t="s">
        <v>50</v>
      </c>
      <c r="F1272" t="s">
        <v>351</v>
      </c>
      <c r="G1272" t="s">
        <v>52</v>
      </c>
      <c r="H1272" t="s">
        <v>66</v>
      </c>
      <c r="I1272" t="s">
        <v>67</v>
      </c>
      <c r="J1272" t="s">
        <v>3010</v>
      </c>
      <c r="K1272" t="s">
        <v>56</v>
      </c>
      <c r="L1272" t="s">
        <v>55</v>
      </c>
      <c r="M1272" t="s">
        <v>56</v>
      </c>
      <c r="N1272" t="s">
        <v>57</v>
      </c>
      <c r="O1272" s="4">
        <v>3</v>
      </c>
      <c r="P1272" s="4">
        <v>12</v>
      </c>
      <c r="Q1272" t="s">
        <v>41</v>
      </c>
      <c r="R1272" s="2">
        <v>46182</v>
      </c>
      <c r="S1272" s="4">
        <v>21</v>
      </c>
      <c r="T1272" s="3">
        <v>140000000</v>
      </c>
      <c r="U1272" t="s">
        <v>42</v>
      </c>
      <c r="V1272" t="s">
        <v>59</v>
      </c>
      <c r="W1272" t="s">
        <v>60</v>
      </c>
      <c r="Y1272" t="s">
        <v>165</v>
      </c>
      <c r="Z1272" t="s">
        <v>3180</v>
      </c>
      <c r="AA1272" t="s">
        <v>62</v>
      </c>
      <c r="AB1272" t="s">
        <v>193</v>
      </c>
      <c r="AC1272" t="s">
        <v>62</v>
      </c>
    </row>
    <row r="1273" spans="1:29">
      <c r="A1273" t="s">
        <v>1689</v>
      </c>
      <c r="B1273" s="2">
        <v>46175</v>
      </c>
      <c r="C1273" t="s">
        <v>30</v>
      </c>
      <c r="D1273" t="s">
        <v>134</v>
      </c>
      <c r="E1273" t="s">
        <v>32</v>
      </c>
      <c r="F1273" t="s">
        <v>273</v>
      </c>
      <c r="G1273" t="s">
        <v>463</v>
      </c>
      <c r="H1273" t="s">
        <v>303</v>
      </c>
      <c r="I1273" t="s">
        <v>487</v>
      </c>
      <c r="J1273" t="s">
        <v>3102</v>
      </c>
      <c r="K1273" t="s">
        <v>37</v>
      </c>
      <c r="L1273" t="s">
        <v>150</v>
      </c>
      <c r="M1273" t="s">
        <v>106</v>
      </c>
      <c r="N1273" t="s">
        <v>40</v>
      </c>
      <c r="O1273" s="4">
        <v>2</v>
      </c>
      <c r="P1273" s="4">
        <v>3</v>
      </c>
      <c r="Q1273" t="s">
        <v>58</v>
      </c>
      <c r="R1273" s="2">
        <v>46170</v>
      </c>
      <c r="S1273" s="4">
        <v>33</v>
      </c>
      <c r="T1273" s="3">
        <v>70000000</v>
      </c>
      <c r="U1273" t="s">
        <v>42</v>
      </c>
      <c r="V1273" t="s">
        <v>43</v>
      </c>
      <c r="W1273" t="s">
        <v>298</v>
      </c>
      <c r="Y1273" t="s">
        <v>180</v>
      </c>
      <c r="Z1273" t="s">
        <v>3176</v>
      </c>
      <c r="AA1273" t="s">
        <v>46</v>
      </c>
      <c r="AB1273" t="s">
        <v>47</v>
      </c>
      <c r="AC1273" t="s">
        <v>46</v>
      </c>
    </row>
    <row r="1274" spans="1:29">
      <c r="A1274" t="s">
        <v>1690</v>
      </c>
      <c r="B1274" s="2">
        <v>46199</v>
      </c>
      <c r="C1274" t="s">
        <v>30</v>
      </c>
      <c r="D1274" t="s">
        <v>49</v>
      </c>
      <c r="E1274" t="s">
        <v>50</v>
      </c>
      <c r="F1274" t="s">
        <v>351</v>
      </c>
      <c r="G1274" t="s">
        <v>65</v>
      </c>
      <c r="H1274" t="s">
        <v>90</v>
      </c>
      <c r="I1274" t="s">
        <v>352</v>
      </c>
      <c r="J1274" t="s">
        <v>3060</v>
      </c>
      <c r="K1274" t="s">
        <v>37</v>
      </c>
      <c r="L1274" t="s">
        <v>68</v>
      </c>
      <c r="M1274" t="s">
        <v>129</v>
      </c>
      <c r="N1274" t="s">
        <v>57</v>
      </c>
      <c r="O1274" s="4">
        <v>3</v>
      </c>
      <c r="P1274" s="4">
        <v>8</v>
      </c>
      <c r="Q1274" t="s">
        <v>58</v>
      </c>
      <c r="R1274" s="2">
        <v>46195</v>
      </c>
      <c r="S1274" s="4">
        <v>8</v>
      </c>
      <c r="T1274" s="3">
        <v>252000000</v>
      </c>
      <c r="U1274" t="s">
        <v>42</v>
      </c>
      <c r="V1274" t="s">
        <v>43</v>
      </c>
      <c r="W1274" t="s">
        <v>203</v>
      </c>
      <c r="Y1274" t="s">
        <v>61</v>
      </c>
      <c r="Z1274" t="s">
        <v>3177</v>
      </c>
      <c r="AA1274" t="s">
        <v>62</v>
      </c>
      <c r="AB1274" t="s">
        <v>63</v>
      </c>
      <c r="AC1274" t="s">
        <v>62</v>
      </c>
    </row>
    <row r="1275" spans="1:29">
      <c r="A1275" t="s">
        <v>1691</v>
      </c>
      <c r="B1275" s="2">
        <v>46198</v>
      </c>
      <c r="C1275" t="s">
        <v>30</v>
      </c>
      <c r="D1275" t="s">
        <v>49</v>
      </c>
      <c r="E1275" t="s">
        <v>120</v>
      </c>
      <c r="F1275" t="s">
        <v>121</v>
      </c>
      <c r="G1275" t="s">
        <v>135</v>
      </c>
      <c r="H1275" t="s">
        <v>300</v>
      </c>
      <c r="I1275" t="s">
        <v>430</v>
      </c>
      <c r="J1275" t="s">
        <v>3082</v>
      </c>
      <c r="K1275" t="s">
        <v>37</v>
      </c>
      <c r="L1275" t="s">
        <v>80</v>
      </c>
      <c r="M1275" t="s">
        <v>56</v>
      </c>
      <c r="N1275" t="s">
        <v>57</v>
      </c>
      <c r="O1275" s="4">
        <v>3</v>
      </c>
      <c r="P1275" s="4">
        <v>6</v>
      </c>
      <c r="Q1275" t="s">
        <v>41</v>
      </c>
      <c r="R1275" s="2">
        <v>46192</v>
      </c>
      <c r="S1275" s="4">
        <v>11</v>
      </c>
      <c r="T1275" s="3">
        <v>203000000</v>
      </c>
      <c r="U1275" t="s">
        <v>42</v>
      </c>
      <c r="V1275" t="s">
        <v>59</v>
      </c>
      <c r="W1275" t="s">
        <v>71</v>
      </c>
      <c r="Y1275" t="s">
        <v>61</v>
      </c>
      <c r="Z1275" t="s">
        <v>3177</v>
      </c>
      <c r="AA1275" t="s">
        <v>97</v>
      </c>
      <c r="AB1275" t="s">
        <v>63</v>
      </c>
      <c r="AC1275" t="s">
        <v>97</v>
      </c>
    </row>
    <row r="1276" spans="1:29">
      <c r="A1276" t="s">
        <v>1692</v>
      </c>
      <c r="B1276" s="2">
        <v>46188</v>
      </c>
      <c r="C1276" t="s">
        <v>30</v>
      </c>
      <c r="D1276" t="s">
        <v>74</v>
      </c>
      <c r="E1276" t="s">
        <v>172</v>
      </c>
      <c r="F1276" t="s">
        <v>173</v>
      </c>
      <c r="G1276" t="s">
        <v>278</v>
      </c>
      <c r="H1276" t="s">
        <v>241</v>
      </c>
      <c r="I1276" t="s">
        <v>559</v>
      </c>
      <c r="J1276" t="s">
        <v>3119</v>
      </c>
      <c r="K1276" t="s">
        <v>105</v>
      </c>
      <c r="L1276" t="s">
        <v>187</v>
      </c>
      <c r="M1276" t="s">
        <v>164</v>
      </c>
      <c r="N1276" t="s">
        <v>57</v>
      </c>
      <c r="O1276" s="4">
        <v>3</v>
      </c>
      <c r="P1276" s="4">
        <v>5</v>
      </c>
      <c r="Q1276" t="s">
        <v>41</v>
      </c>
      <c r="R1276" s="2">
        <v>46187</v>
      </c>
      <c r="S1276" s="4">
        <v>16</v>
      </c>
      <c r="T1276" s="3">
        <v>260000000</v>
      </c>
      <c r="U1276" t="s">
        <v>42</v>
      </c>
      <c r="V1276" t="s">
        <v>43</v>
      </c>
      <c r="W1276" t="s">
        <v>203</v>
      </c>
      <c r="Y1276" t="s">
        <v>158</v>
      </c>
      <c r="Z1276" t="s">
        <v>3177</v>
      </c>
      <c r="AA1276" t="s">
        <v>181</v>
      </c>
      <c r="AB1276" t="s">
        <v>63</v>
      </c>
      <c r="AC1276" t="s">
        <v>181</v>
      </c>
    </row>
    <row r="1277" spans="1:29">
      <c r="A1277" t="s">
        <v>1693</v>
      </c>
      <c r="B1277" s="2">
        <v>46190</v>
      </c>
      <c r="C1277" t="s">
        <v>30</v>
      </c>
      <c r="D1277" t="s">
        <v>74</v>
      </c>
      <c r="E1277" t="s">
        <v>120</v>
      </c>
      <c r="F1277" t="s">
        <v>246</v>
      </c>
      <c r="G1277" t="s">
        <v>420</v>
      </c>
      <c r="H1277" t="s">
        <v>300</v>
      </c>
      <c r="I1277" t="s">
        <v>830</v>
      </c>
      <c r="J1277" t="s">
        <v>3159</v>
      </c>
      <c r="K1277" t="s">
        <v>37</v>
      </c>
      <c r="L1277" t="s">
        <v>187</v>
      </c>
      <c r="M1277" t="s">
        <v>39</v>
      </c>
      <c r="N1277" t="s">
        <v>40</v>
      </c>
      <c r="O1277" s="4">
        <v>2</v>
      </c>
      <c r="P1277" s="4">
        <v>8</v>
      </c>
      <c r="Q1277" t="s">
        <v>142</v>
      </c>
      <c r="R1277" s="2">
        <v>46182</v>
      </c>
      <c r="S1277" s="4">
        <v>21</v>
      </c>
      <c r="T1277" s="3">
        <v>195000000</v>
      </c>
      <c r="U1277" t="s">
        <v>42</v>
      </c>
      <c r="V1277" t="s">
        <v>43</v>
      </c>
      <c r="W1277" t="s">
        <v>239</v>
      </c>
      <c r="Y1277" t="s">
        <v>45</v>
      </c>
      <c r="Z1277" t="s">
        <v>3178</v>
      </c>
      <c r="AA1277" t="s">
        <v>97</v>
      </c>
      <c r="AB1277" t="s">
        <v>87</v>
      </c>
      <c r="AC1277" t="s">
        <v>97</v>
      </c>
    </row>
    <row r="1278" spans="1:29">
      <c r="A1278" t="s">
        <v>1694</v>
      </c>
      <c r="B1278" s="2">
        <v>46186</v>
      </c>
      <c r="C1278" t="s">
        <v>30</v>
      </c>
      <c r="D1278" t="s">
        <v>99</v>
      </c>
      <c r="E1278" t="s">
        <v>172</v>
      </c>
      <c r="F1278" t="s">
        <v>195</v>
      </c>
      <c r="G1278" t="s">
        <v>476</v>
      </c>
      <c r="H1278" t="s">
        <v>317</v>
      </c>
      <c r="I1278" t="s">
        <v>478</v>
      </c>
      <c r="J1278" t="s">
        <v>3099</v>
      </c>
      <c r="K1278" t="s">
        <v>105</v>
      </c>
      <c r="L1278" t="s">
        <v>38</v>
      </c>
      <c r="M1278" t="s">
        <v>81</v>
      </c>
      <c r="N1278" t="s">
        <v>40</v>
      </c>
      <c r="O1278" s="4">
        <v>2</v>
      </c>
      <c r="P1278" s="4">
        <v>4</v>
      </c>
      <c r="Q1278" t="s">
        <v>107</v>
      </c>
      <c r="R1278" s="2">
        <v>46183</v>
      </c>
      <c r="S1278" s="4">
        <v>20</v>
      </c>
      <c r="T1278" s="3">
        <v>305000000</v>
      </c>
      <c r="U1278" t="s">
        <v>42</v>
      </c>
      <c r="V1278" t="s">
        <v>43</v>
      </c>
      <c r="W1278" t="s">
        <v>178</v>
      </c>
      <c r="Y1278" t="s">
        <v>309</v>
      </c>
      <c r="Z1278" t="s">
        <v>3176</v>
      </c>
      <c r="AA1278" t="s">
        <v>181</v>
      </c>
      <c r="AB1278" t="s">
        <v>47</v>
      </c>
      <c r="AC1278" t="s">
        <v>181</v>
      </c>
    </row>
    <row r="1279" spans="1:29">
      <c r="A1279" t="s">
        <v>1695</v>
      </c>
      <c r="B1279" s="2">
        <v>46187</v>
      </c>
      <c r="C1279" t="s">
        <v>30</v>
      </c>
      <c r="D1279" t="s">
        <v>99</v>
      </c>
      <c r="E1279" t="s">
        <v>50</v>
      </c>
      <c r="F1279" t="s">
        <v>89</v>
      </c>
      <c r="G1279" t="s">
        <v>270</v>
      </c>
      <c r="H1279" t="s">
        <v>90</v>
      </c>
      <c r="I1279" t="s">
        <v>352</v>
      </c>
      <c r="J1279" t="s">
        <v>3060</v>
      </c>
      <c r="K1279" t="s">
        <v>105</v>
      </c>
      <c r="L1279" t="s">
        <v>68</v>
      </c>
      <c r="M1279" t="s">
        <v>81</v>
      </c>
      <c r="N1279" t="s">
        <v>213</v>
      </c>
      <c r="O1279" s="4">
        <v>6</v>
      </c>
      <c r="P1279" s="4">
        <v>14</v>
      </c>
      <c r="Q1279" t="s">
        <v>69</v>
      </c>
      <c r="R1279" s="2">
        <v>46187</v>
      </c>
      <c r="S1279" s="4">
        <v>16</v>
      </c>
      <c r="T1279" s="3">
        <v>216000000</v>
      </c>
      <c r="U1279" t="s">
        <v>214</v>
      </c>
      <c r="V1279" t="s">
        <v>70</v>
      </c>
      <c r="W1279" t="s">
        <v>390</v>
      </c>
      <c r="Y1279" t="s">
        <v>216</v>
      </c>
      <c r="Z1279" t="s">
        <v>3179</v>
      </c>
      <c r="AA1279" t="s">
        <v>62</v>
      </c>
      <c r="AB1279" t="s">
        <v>97</v>
      </c>
      <c r="AC1279" t="s">
        <v>62</v>
      </c>
    </row>
    <row r="1280" spans="1:29">
      <c r="A1280" t="s">
        <v>1696</v>
      </c>
      <c r="B1280" s="2">
        <v>46198</v>
      </c>
      <c r="C1280" t="s">
        <v>30</v>
      </c>
      <c r="D1280" t="s">
        <v>49</v>
      </c>
      <c r="E1280" t="s">
        <v>75</v>
      </c>
      <c r="F1280" t="s">
        <v>161</v>
      </c>
      <c r="G1280" t="s">
        <v>162</v>
      </c>
      <c r="H1280" t="s">
        <v>78</v>
      </c>
      <c r="I1280" t="s">
        <v>810</v>
      </c>
      <c r="J1280" t="s">
        <v>3157</v>
      </c>
      <c r="K1280" t="s">
        <v>105</v>
      </c>
      <c r="L1280" t="s">
        <v>68</v>
      </c>
      <c r="M1280" t="s">
        <v>129</v>
      </c>
      <c r="N1280" t="s">
        <v>57</v>
      </c>
      <c r="O1280" s="4">
        <v>3</v>
      </c>
      <c r="P1280" s="4">
        <v>8</v>
      </c>
      <c r="Q1280" t="s">
        <v>41</v>
      </c>
      <c r="R1280" s="2">
        <v>46195</v>
      </c>
      <c r="S1280" s="4">
        <v>8</v>
      </c>
      <c r="T1280" s="3">
        <v>78000000</v>
      </c>
      <c r="U1280" t="s">
        <v>42</v>
      </c>
      <c r="V1280" t="s">
        <v>59</v>
      </c>
      <c r="W1280" t="s">
        <v>203</v>
      </c>
      <c r="Y1280" t="s">
        <v>158</v>
      </c>
      <c r="Z1280" t="s">
        <v>3177</v>
      </c>
      <c r="AA1280" t="s">
        <v>86</v>
      </c>
      <c r="AB1280" t="s">
        <v>63</v>
      </c>
      <c r="AC1280" t="s">
        <v>86</v>
      </c>
    </row>
    <row r="1281" spans="1:29">
      <c r="A1281" t="s">
        <v>1697</v>
      </c>
      <c r="B1281" s="2">
        <v>46201</v>
      </c>
      <c r="C1281" t="s">
        <v>30</v>
      </c>
      <c r="D1281" t="s">
        <v>49</v>
      </c>
      <c r="E1281" t="s">
        <v>111</v>
      </c>
      <c r="F1281" t="s">
        <v>264</v>
      </c>
      <c r="G1281" t="s">
        <v>265</v>
      </c>
      <c r="H1281" t="s">
        <v>191</v>
      </c>
      <c r="I1281" t="s">
        <v>643</v>
      </c>
      <c r="J1281" t="s">
        <v>3138</v>
      </c>
      <c r="K1281" t="s">
        <v>37</v>
      </c>
      <c r="L1281" t="s">
        <v>38</v>
      </c>
      <c r="M1281" t="s">
        <v>106</v>
      </c>
      <c r="N1281" t="s">
        <v>57</v>
      </c>
      <c r="O1281" s="4">
        <v>3</v>
      </c>
      <c r="P1281" s="4">
        <v>4</v>
      </c>
      <c r="Q1281" t="s">
        <v>142</v>
      </c>
      <c r="R1281" s="2">
        <v>46192</v>
      </c>
      <c r="S1281" s="4">
        <v>11</v>
      </c>
      <c r="T1281" s="3">
        <v>190000000</v>
      </c>
      <c r="U1281" t="s">
        <v>42</v>
      </c>
      <c r="V1281" t="s">
        <v>59</v>
      </c>
      <c r="W1281" t="s">
        <v>60</v>
      </c>
      <c r="Y1281" t="s">
        <v>72</v>
      </c>
      <c r="Z1281" t="s">
        <v>3177</v>
      </c>
      <c r="AA1281" t="s">
        <v>118</v>
      </c>
      <c r="AB1281" t="s">
        <v>63</v>
      </c>
      <c r="AC1281" t="s">
        <v>118</v>
      </c>
    </row>
    <row r="1282" spans="1:29">
      <c r="A1282" t="s">
        <v>1698</v>
      </c>
      <c r="B1282" s="2">
        <v>46185</v>
      </c>
      <c r="C1282" t="s">
        <v>30</v>
      </c>
      <c r="D1282" t="s">
        <v>99</v>
      </c>
      <c r="E1282" t="s">
        <v>152</v>
      </c>
      <c r="F1282" t="s">
        <v>205</v>
      </c>
      <c r="G1282" t="s">
        <v>154</v>
      </c>
      <c r="H1282" t="s">
        <v>155</v>
      </c>
      <c r="I1282" t="s">
        <v>156</v>
      </c>
      <c r="J1282" t="s">
        <v>3020</v>
      </c>
      <c r="K1282" t="s">
        <v>92</v>
      </c>
      <c r="L1282" t="s">
        <v>68</v>
      </c>
      <c r="M1282" t="s">
        <v>164</v>
      </c>
      <c r="N1282" t="s">
        <v>82</v>
      </c>
      <c r="O1282" s="4">
        <v>1</v>
      </c>
      <c r="P1282" s="4">
        <v>10</v>
      </c>
      <c r="Q1282" t="s">
        <v>69</v>
      </c>
      <c r="R1282" s="2">
        <v>46179</v>
      </c>
      <c r="S1282" s="4">
        <v>24</v>
      </c>
      <c r="T1282" s="3">
        <v>74000000</v>
      </c>
      <c r="U1282" t="s">
        <v>177</v>
      </c>
      <c r="V1282" t="s">
        <v>43</v>
      </c>
      <c r="W1282" t="s">
        <v>404</v>
      </c>
      <c r="X1282" t="s">
        <v>381</v>
      </c>
      <c r="Y1282" t="s">
        <v>330</v>
      </c>
      <c r="Z1282" t="s">
        <v>3178</v>
      </c>
      <c r="AA1282" t="s">
        <v>159</v>
      </c>
      <c r="AB1282" t="s">
        <v>87</v>
      </c>
      <c r="AC1282" t="s">
        <v>159</v>
      </c>
    </row>
    <row r="1283" spans="1:29">
      <c r="A1283" t="s">
        <v>1699</v>
      </c>
      <c r="B1283" s="2">
        <v>46174</v>
      </c>
      <c r="C1283" t="s">
        <v>30</v>
      </c>
      <c r="D1283" t="s">
        <v>134</v>
      </c>
      <c r="E1283" t="s">
        <v>32</v>
      </c>
      <c r="F1283" t="s">
        <v>33</v>
      </c>
      <c r="G1283" t="s">
        <v>34</v>
      </c>
      <c r="H1283" t="s">
        <v>35</v>
      </c>
      <c r="I1283" t="s">
        <v>595</v>
      </c>
      <c r="J1283" t="s">
        <v>3128</v>
      </c>
      <c r="K1283" t="s">
        <v>105</v>
      </c>
      <c r="L1283" t="s">
        <v>187</v>
      </c>
      <c r="M1283" t="s">
        <v>164</v>
      </c>
      <c r="N1283" t="s">
        <v>130</v>
      </c>
      <c r="O1283" s="4">
        <v>5</v>
      </c>
      <c r="P1283" s="4">
        <v>4</v>
      </c>
      <c r="Q1283" t="s">
        <v>41</v>
      </c>
      <c r="R1283" s="2">
        <v>46165</v>
      </c>
      <c r="S1283" s="4">
        <v>38</v>
      </c>
      <c r="T1283" s="3">
        <v>118000000</v>
      </c>
      <c r="U1283" t="s">
        <v>42</v>
      </c>
      <c r="V1283" t="s">
        <v>143</v>
      </c>
      <c r="W1283" t="s">
        <v>131</v>
      </c>
      <c r="Y1283" t="s">
        <v>334</v>
      </c>
      <c r="Z1283" t="s">
        <v>3179</v>
      </c>
      <c r="AA1283" t="s">
        <v>46</v>
      </c>
      <c r="AB1283" t="s">
        <v>97</v>
      </c>
      <c r="AC1283" t="s">
        <v>46</v>
      </c>
    </row>
    <row r="1284" spans="1:29">
      <c r="A1284" t="s">
        <v>1700</v>
      </c>
      <c r="B1284" s="2">
        <v>46185</v>
      </c>
      <c r="C1284" t="s">
        <v>30</v>
      </c>
      <c r="D1284" t="s">
        <v>99</v>
      </c>
      <c r="E1284" t="s">
        <v>100</v>
      </c>
      <c r="F1284" t="s">
        <v>101</v>
      </c>
      <c r="G1284" t="s">
        <v>313</v>
      </c>
      <c r="H1284" t="s">
        <v>103</v>
      </c>
      <c r="I1284" t="s">
        <v>436</v>
      </c>
      <c r="J1284" t="s">
        <v>3084</v>
      </c>
      <c r="K1284" t="s">
        <v>105</v>
      </c>
      <c r="L1284" t="s">
        <v>187</v>
      </c>
      <c r="M1284" t="s">
        <v>129</v>
      </c>
      <c r="N1284" t="s">
        <v>213</v>
      </c>
      <c r="O1284" s="4">
        <v>6</v>
      </c>
      <c r="P1284" s="4">
        <v>17</v>
      </c>
      <c r="Q1284" t="s">
        <v>41</v>
      </c>
      <c r="R1284" s="2">
        <v>46178</v>
      </c>
      <c r="S1284" s="4">
        <v>25</v>
      </c>
      <c r="T1284" s="3">
        <v>78000000</v>
      </c>
      <c r="U1284" t="s">
        <v>214</v>
      </c>
      <c r="V1284" t="s">
        <v>70</v>
      </c>
      <c r="W1284" t="s">
        <v>390</v>
      </c>
      <c r="Y1284" t="s">
        <v>424</v>
      </c>
      <c r="Z1284" t="s">
        <v>3179</v>
      </c>
      <c r="AA1284" t="s">
        <v>109</v>
      </c>
      <c r="AB1284" t="s">
        <v>97</v>
      </c>
      <c r="AC1284" t="s">
        <v>109</v>
      </c>
    </row>
    <row r="1285" spans="1:29">
      <c r="A1285" t="s">
        <v>1701</v>
      </c>
      <c r="B1285" s="2">
        <v>46202</v>
      </c>
      <c r="C1285" t="s">
        <v>30</v>
      </c>
      <c r="D1285" t="s">
        <v>31</v>
      </c>
      <c r="E1285" t="s">
        <v>120</v>
      </c>
      <c r="F1285" t="s">
        <v>167</v>
      </c>
      <c r="G1285" t="s">
        <v>224</v>
      </c>
      <c r="H1285" t="s">
        <v>123</v>
      </c>
      <c r="I1285" t="s">
        <v>336</v>
      </c>
      <c r="J1285" t="s">
        <v>3055</v>
      </c>
      <c r="K1285" t="s">
        <v>105</v>
      </c>
      <c r="L1285" t="s">
        <v>55</v>
      </c>
      <c r="M1285" t="s">
        <v>39</v>
      </c>
      <c r="N1285" t="s">
        <v>57</v>
      </c>
      <c r="O1285" s="4">
        <v>3</v>
      </c>
      <c r="P1285" s="4">
        <v>10</v>
      </c>
      <c r="Q1285" t="s">
        <v>107</v>
      </c>
      <c r="R1285" s="2">
        <v>46194</v>
      </c>
      <c r="S1285" s="4">
        <v>9</v>
      </c>
      <c r="T1285" s="3">
        <v>345000000</v>
      </c>
      <c r="U1285" t="s">
        <v>42</v>
      </c>
      <c r="V1285" t="s">
        <v>59</v>
      </c>
      <c r="W1285" t="s">
        <v>203</v>
      </c>
      <c r="Y1285" t="s">
        <v>72</v>
      </c>
      <c r="Z1285" t="s">
        <v>3177</v>
      </c>
      <c r="AA1285" t="s">
        <v>97</v>
      </c>
      <c r="AB1285" t="s">
        <v>63</v>
      </c>
      <c r="AC1285" t="s">
        <v>97</v>
      </c>
    </row>
    <row r="1286" spans="1:29">
      <c r="A1286" t="s">
        <v>1702</v>
      </c>
      <c r="B1286" s="2">
        <v>46193</v>
      </c>
      <c r="C1286" t="s">
        <v>30</v>
      </c>
      <c r="D1286" t="s">
        <v>74</v>
      </c>
      <c r="E1286" t="s">
        <v>100</v>
      </c>
      <c r="F1286" t="s">
        <v>101</v>
      </c>
      <c r="G1286" t="s">
        <v>147</v>
      </c>
      <c r="H1286" t="s">
        <v>103</v>
      </c>
      <c r="I1286" t="s">
        <v>447</v>
      </c>
      <c r="J1286" t="s">
        <v>3088</v>
      </c>
      <c r="K1286" t="s">
        <v>92</v>
      </c>
      <c r="L1286" t="s">
        <v>187</v>
      </c>
      <c r="M1286" t="s">
        <v>129</v>
      </c>
      <c r="N1286" t="s">
        <v>94</v>
      </c>
      <c r="O1286" s="4">
        <v>4</v>
      </c>
      <c r="P1286" s="4">
        <v>11</v>
      </c>
      <c r="Q1286" t="s">
        <v>41</v>
      </c>
      <c r="R1286" s="2">
        <v>46190</v>
      </c>
      <c r="S1286" s="4">
        <v>13</v>
      </c>
      <c r="T1286" s="3">
        <v>73000000</v>
      </c>
      <c r="U1286" t="s">
        <v>42</v>
      </c>
      <c r="V1286" t="s">
        <v>70</v>
      </c>
      <c r="W1286" t="s">
        <v>188</v>
      </c>
      <c r="Y1286" t="s">
        <v>96</v>
      </c>
      <c r="Z1286" t="s">
        <v>3179</v>
      </c>
      <c r="AA1286" t="s">
        <v>109</v>
      </c>
      <c r="AB1286" t="s">
        <v>97</v>
      </c>
      <c r="AC1286" t="s">
        <v>109</v>
      </c>
    </row>
    <row r="1287" spans="1:29">
      <c r="A1287" t="s">
        <v>1703</v>
      </c>
      <c r="B1287" s="2">
        <v>46181</v>
      </c>
      <c r="C1287" t="s">
        <v>30</v>
      </c>
      <c r="D1287" t="s">
        <v>99</v>
      </c>
      <c r="E1287" t="s">
        <v>120</v>
      </c>
      <c r="F1287" t="s">
        <v>121</v>
      </c>
      <c r="G1287" t="s">
        <v>135</v>
      </c>
      <c r="H1287" t="s">
        <v>123</v>
      </c>
      <c r="I1287" t="s">
        <v>397</v>
      </c>
      <c r="J1287" t="s">
        <v>3073</v>
      </c>
      <c r="K1287" t="s">
        <v>37</v>
      </c>
      <c r="L1287" t="s">
        <v>187</v>
      </c>
      <c r="M1287" t="s">
        <v>39</v>
      </c>
      <c r="N1287" t="s">
        <v>94</v>
      </c>
      <c r="O1287" s="4">
        <v>4</v>
      </c>
      <c r="P1287" s="4">
        <v>13</v>
      </c>
      <c r="Q1287" t="s">
        <v>142</v>
      </c>
      <c r="R1287" s="2">
        <v>46171</v>
      </c>
      <c r="S1287" s="4">
        <v>32</v>
      </c>
      <c r="T1287" s="3">
        <v>227000000</v>
      </c>
      <c r="U1287" t="s">
        <v>42</v>
      </c>
      <c r="V1287" t="s">
        <v>59</v>
      </c>
      <c r="W1287" t="s">
        <v>267</v>
      </c>
      <c r="X1287" t="s">
        <v>117</v>
      </c>
      <c r="Y1287" t="s">
        <v>96</v>
      </c>
      <c r="Z1287" t="s">
        <v>3179</v>
      </c>
      <c r="AA1287" t="s">
        <v>97</v>
      </c>
      <c r="AB1287" t="s">
        <v>97</v>
      </c>
      <c r="AC1287" t="s">
        <v>97</v>
      </c>
    </row>
    <row r="1288" spans="1:29">
      <c r="A1288" t="s">
        <v>1704</v>
      </c>
      <c r="B1288" s="2">
        <v>46186</v>
      </c>
      <c r="C1288" t="s">
        <v>30</v>
      </c>
      <c r="D1288" t="s">
        <v>99</v>
      </c>
      <c r="E1288" t="s">
        <v>111</v>
      </c>
      <c r="F1288" t="s">
        <v>112</v>
      </c>
      <c r="G1288" t="s">
        <v>251</v>
      </c>
      <c r="H1288" t="s">
        <v>114</v>
      </c>
      <c r="I1288" t="s">
        <v>266</v>
      </c>
      <c r="J1288" t="s">
        <v>3037</v>
      </c>
      <c r="K1288" t="s">
        <v>56</v>
      </c>
      <c r="L1288" t="s">
        <v>150</v>
      </c>
      <c r="M1288" t="s">
        <v>81</v>
      </c>
      <c r="N1288" t="s">
        <v>94</v>
      </c>
      <c r="O1288" s="4">
        <v>4</v>
      </c>
      <c r="P1288" s="4">
        <v>8</v>
      </c>
      <c r="Q1288" t="s">
        <v>142</v>
      </c>
      <c r="R1288" s="2">
        <v>46181</v>
      </c>
      <c r="S1288" s="4">
        <v>22</v>
      </c>
      <c r="T1288" s="3">
        <v>150000000</v>
      </c>
      <c r="U1288" t="s">
        <v>426</v>
      </c>
      <c r="V1288" t="s">
        <v>59</v>
      </c>
      <c r="W1288" t="s">
        <v>188</v>
      </c>
      <c r="X1288" t="s">
        <v>422</v>
      </c>
      <c r="Y1288" t="s">
        <v>96</v>
      </c>
      <c r="Z1288" t="s">
        <v>3179</v>
      </c>
      <c r="AA1288" t="s">
        <v>118</v>
      </c>
      <c r="AB1288" t="s">
        <v>97</v>
      </c>
      <c r="AC1288" t="s">
        <v>118</v>
      </c>
    </row>
    <row r="1289" spans="1:29">
      <c r="A1289" t="s">
        <v>1705</v>
      </c>
      <c r="B1289" s="2">
        <v>46186</v>
      </c>
      <c r="C1289" t="s">
        <v>30</v>
      </c>
      <c r="D1289" t="s">
        <v>99</v>
      </c>
      <c r="E1289" t="s">
        <v>75</v>
      </c>
      <c r="F1289" t="s">
        <v>161</v>
      </c>
      <c r="G1289" t="s">
        <v>387</v>
      </c>
      <c r="H1289" t="s">
        <v>78</v>
      </c>
      <c r="I1289" t="s">
        <v>79</v>
      </c>
      <c r="J1289" t="s">
        <v>3011</v>
      </c>
      <c r="K1289" t="s">
        <v>92</v>
      </c>
      <c r="L1289" t="s">
        <v>80</v>
      </c>
      <c r="M1289" t="s">
        <v>93</v>
      </c>
      <c r="N1289" t="s">
        <v>130</v>
      </c>
      <c r="O1289" s="4">
        <v>5</v>
      </c>
      <c r="P1289" s="4">
        <v>9</v>
      </c>
      <c r="Q1289" t="s">
        <v>69</v>
      </c>
      <c r="R1289" s="2">
        <v>46181</v>
      </c>
      <c r="S1289" s="4">
        <v>22</v>
      </c>
      <c r="T1289" s="3">
        <v>89000000</v>
      </c>
      <c r="U1289" t="s">
        <v>426</v>
      </c>
      <c r="V1289" t="s">
        <v>143</v>
      </c>
      <c r="W1289" t="s">
        <v>144</v>
      </c>
      <c r="X1289" t="s">
        <v>520</v>
      </c>
      <c r="Y1289" t="s">
        <v>262</v>
      </c>
      <c r="Z1289" t="s">
        <v>3179</v>
      </c>
      <c r="AA1289" t="s">
        <v>86</v>
      </c>
      <c r="AB1289" t="s">
        <v>97</v>
      </c>
      <c r="AC1289" t="s">
        <v>86</v>
      </c>
    </row>
    <row r="1290" spans="1:29">
      <c r="A1290" t="s">
        <v>1706</v>
      </c>
      <c r="B1290" s="2">
        <v>46191</v>
      </c>
      <c r="C1290" t="s">
        <v>30</v>
      </c>
      <c r="D1290" t="s">
        <v>74</v>
      </c>
      <c r="E1290" t="s">
        <v>152</v>
      </c>
      <c r="F1290" t="s">
        <v>153</v>
      </c>
      <c r="G1290" t="s">
        <v>206</v>
      </c>
      <c r="H1290" t="s">
        <v>207</v>
      </c>
      <c r="I1290" t="s">
        <v>208</v>
      </c>
      <c r="J1290" t="s">
        <v>3027</v>
      </c>
      <c r="K1290" t="s">
        <v>56</v>
      </c>
      <c r="L1290" t="s">
        <v>187</v>
      </c>
      <c r="M1290" t="s">
        <v>129</v>
      </c>
      <c r="N1290" t="s">
        <v>57</v>
      </c>
      <c r="O1290" s="4">
        <v>3</v>
      </c>
      <c r="P1290" s="4">
        <v>7</v>
      </c>
      <c r="Q1290" t="s">
        <v>69</v>
      </c>
      <c r="R1290" s="2">
        <v>46181</v>
      </c>
      <c r="S1290" s="4">
        <v>22</v>
      </c>
      <c r="T1290" s="3">
        <v>213000000</v>
      </c>
      <c r="U1290" t="s">
        <v>42</v>
      </c>
      <c r="V1290" t="s">
        <v>59</v>
      </c>
      <c r="W1290" t="s">
        <v>157</v>
      </c>
      <c r="Y1290" t="s">
        <v>158</v>
      </c>
      <c r="Z1290" t="s">
        <v>3177</v>
      </c>
      <c r="AA1290" t="s">
        <v>159</v>
      </c>
      <c r="AB1290" t="s">
        <v>63</v>
      </c>
      <c r="AC1290" t="s">
        <v>159</v>
      </c>
    </row>
    <row r="1291" spans="1:29">
      <c r="A1291" t="s">
        <v>1707</v>
      </c>
      <c r="B1291" s="2">
        <v>46183</v>
      </c>
      <c r="C1291" t="s">
        <v>30</v>
      </c>
      <c r="D1291" t="s">
        <v>99</v>
      </c>
      <c r="E1291" t="s">
        <v>152</v>
      </c>
      <c r="F1291" t="s">
        <v>221</v>
      </c>
      <c r="G1291" t="s">
        <v>294</v>
      </c>
      <c r="H1291" t="s">
        <v>207</v>
      </c>
      <c r="I1291" t="s">
        <v>571</v>
      </c>
      <c r="J1291" t="s">
        <v>3122</v>
      </c>
      <c r="K1291" t="s">
        <v>37</v>
      </c>
      <c r="L1291" t="s">
        <v>68</v>
      </c>
      <c r="M1291" t="s">
        <v>106</v>
      </c>
      <c r="N1291" t="s">
        <v>57</v>
      </c>
      <c r="O1291" s="4">
        <v>3</v>
      </c>
      <c r="P1291" s="4">
        <v>16</v>
      </c>
      <c r="Q1291" t="s">
        <v>107</v>
      </c>
      <c r="R1291" s="2">
        <v>46173</v>
      </c>
      <c r="S1291" s="4">
        <v>30</v>
      </c>
      <c r="T1291" s="3">
        <v>165000000</v>
      </c>
      <c r="U1291" t="s">
        <v>42</v>
      </c>
      <c r="V1291" t="s">
        <v>59</v>
      </c>
      <c r="W1291" t="s">
        <v>203</v>
      </c>
      <c r="Y1291" t="s">
        <v>61</v>
      </c>
      <c r="Z1291" t="s">
        <v>3180</v>
      </c>
      <c r="AA1291" t="s">
        <v>159</v>
      </c>
      <c r="AB1291" t="s">
        <v>193</v>
      </c>
      <c r="AC1291" t="s">
        <v>159</v>
      </c>
    </row>
    <row r="1292" spans="1:29">
      <c r="A1292" t="s">
        <v>1708</v>
      </c>
      <c r="B1292" s="2">
        <v>46184</v>
      </c>
      <c r="C1292" t="s">
        <v>30</v>
      </c>
      <c r="D1292" t="s">
        <v>99</v>
      </c>
      <c r="E1292" t="s">
        <v>111</v>
      </c>
      <c r="F1292" t="s">
        <v>264</v>
      </c>
      <c r="G1292" t="s">
        <v>251</v>
      </c>
      <c r="H1292" t="s">
        <v>127</v>
      </c>
      <c r="I1292" t="s">
        <v>734</v>
      </c>
      <c r="J1292" t="s">
        <v>3150</v>
      </c>
      <c r="K1292" t="s">
        <v>105</v>
      </c>
      <c r="L1292" t="s">
        <v>187</v>
      </c>
      <c r="M1292" t="s">
        <v>93</v>
      </c>
      <c r="N1292" t="s">
        <v>213</v>
      </c>
      <c r="O1292" s="4">
        <v>6</v>
      </c>
      <c r="P1292" s="4">
        <v>9</v>
      </c>
      <c r="Q1292" t="s">
        <v>41</v>
      </c>
      <c r="R1292" s="2">
        <v>46184</v>
      </c>
      <c r="S1292" s="4">
        <v>19</v>
      </c>
      <c r="T1292" s="3">
        <v>89000000</v>
      </c>
      <c r="U1292" t="s">
        <v>214</v>
      </c>
      <c r="V1292" t="s">
        <v>70</v>
      </c>
      <c r="W1292" t="s">
        <v>215</v>
      </c>
      <c r="Y1292" t="s">
        <v>424</v>
      </c>
      <c r="Z1292" t="s">
        <v>3179</v>
      </c>
      <c r="AA1292" t="s">
        <v>118</v>
      </c>
      <c r="AB1292" t="s">
        <v>97</v>
      </c>
      <c r="AC1292" t="s">
        <v>118</v>
      </c>
    </row>
    <row r="1293" spans="1:29">
      <c r="A1293" t="s">
        <v>1709</v>
      </c>
      <c r="B1293" s="2">
        <v>46194</v>
      </c>
      <c r="C1293" t="s">
        <v>30</v>
      </c>
      <c r="D1293" t="s">
        <v>74</v>
      </c>
      <c r="E1293" t="s">
        <v>50</v>
      </c>
      <c r="F1293" t="s">
        <v>351</v>
      </c>
      <c r="G1293" t="s">
        <v>343</v>
      </c>
      <c r="H1293" t="s">
        <v>90</v>
      </c>
      <c r="I1293" t="s">
        <v>91</v>
      </c>
      <c r="J1293" t="s">
        <v>3012</v>
      </c>
      <c r="K1293" t="s">
        <v>105</v>
      </c>
      <c r="L1293" t="s">
        <v>38</v>
      </c>
      <c r="M1293" t="s">
        <v>106</v>
      </c>
      <c r="N1293" t="s">
        <v>196</v>
      </c>
      <c r="O1293" s="4">
        <v>7</v>
      </c>
      <c r="P1293" s="4">
        <v>10</v>
      </c>
      <c r="Q1293" t="s">
        <v>58</v>
      </c>
      <c r="R1293" s="2">
        <v>46186</v>
      </c>
      <c r="S1293" s="4">
        <v>17</v>
      </c>
      <c r="T1293" s="3">
        <v>112000000</v>
      </c>
      <c r="U1293" t="s">
        <v>564</v>
      </c>
      <c r="V1293" t="s">
        <v>70</v>
      </c>
      <c r="W1293" t="s">
        <v>675</v>
      </c>
      <c r="Y1293" t="s">
        <v>210</v>
      </c>
      <c r="Z1293" t="s">
        <v>3181</v>
      </c>
      <c r="AA1293" t="s">
        <v>62</v>
      </c>
      <c r="AB1293" t="s">
        <v>199</v>
      </c>
      <c r="AC1293" t="s">
        <v>62</v>
      </c>
    </row>
    <row r="1294" spans="1:29">
      <c r="A1294" t="s">
        <v>1710</v>
      </c>
      <c r="B1294" s="2">
        <v>46198</v>
      </c>
      <c r="C1294" t="s">
        <v>30</v>
      </c>
      <c r="D1294" t="s">
        <v>49</v>
      </c>
      <c r="E1294" t="s">
        <v>172</v>
      </c>
      <c r="F1294" t="s">
        <v>173</v>
      </c>
      <c r="G1294" t="s">
        <v>174</v>
      </c>
      <c r="H1294" t="s">
        <v>241</v>
      </c>
      <c r="I1294" t="s">
        <v>379</v>
      </c>
      <c r="J1294" t="s">
        <v>3069</v>
      </c>
      <c r="K1294" t="s">
        <v>105</v>
      </c>
      <c r="L1294" t="s">
        <v>68</v>
      </c>
      <c r="M1294" t="s">
        <v>93</v>
      </c>
      <c r="N1294" t="s">
        <v>130</v>
      </c>
      <c r="O1294" s="4">
        <v>5</v>
      </c>
      <c r="P1294" s="4">
        <v>11</v>
      </c>
      <c r="Q1294" t="s">
        <v>58</v>
      </c>
      <c r="R1294" s="2">
        <v>46188</v>
      </c>
      <c r="S1294" s="4">
        <v>15</v>
      </c>
      <c r="T1294" s="3">
        <v>171000000</v>
      </c>
      <c r="U1294" t="s">
        <v>42</v>
      </c>
      <c r="V1294" t="s">
        <v>70</v>
      </c>
      <c r="W1294" t="s">
        <v>355</v>
      </c>
      <c r="X1294" t="s">
        <v>253</v>
      </c>
      <c r="Y1294" t="s">
        <v>262</v>
      </c>
      <c r="Z1294" t="s">
        <v>3179</v>
      </c>
      <c r="AA1294" t="s">
        <v>181</v>
      </c>
      <c r="AB1294" t="s">
        <v>97</v>
      </c>
      <c r="AC1294" t="s">
        <v>181</v>
      </c>
    </row>
    <row r="1295" spans="1:29">
      <c r="A1295" t="s">
        <v>1711</v>
      </c>
      <c r="B1295" s="2">
        <v>46176</v>
      </c>
      <c r="C1295" t="s">
        <v>30</v>
      </c>
      <c r="D1295" t="s">
        <v>134</v>
      </c>
      <c r="E1295" t="s">
        <v>111</v>
      </c>
      <c r="F1295" t="s">
        <v>112</v>
      </c>
      <c r="G1295" t="s">
        <v>113</v>
      </c>
      <c r="H1295" t="s">
        <v>127</v>
      </c>
      <c r="I1295" t="s">
        <v>734</v>
      </c>
      <c r="J1295" t="s">
        <v>3150</v>
      </c>
      <c r="K1295" t="s">
        <v>37</v>
      </c>
      <c r="L1295" t="s">
        <v>80</v>
      </c>
      <c r="M1295" t="s">
        <v>56</v>
      </c>
      <c r="N1295" t="s">
        <v>82</v>
      </c>
      <c r="O1295" s="4">
        <v>1</v>
      </c>
      <c r="P1295" s="4">
        <v>12</v>
      </c>
      <c r="Q1295" t="s">
        <v>69</v>
      </c>
      <c r="R1295" s="2">
        <v>46168</v>
      </c>
      <c r="S1295" s="4">
        <v>35</v>
      </c>
      <c r="T1295" s="3">
        <v>98000000</v>
      </c>
      <c r="U1295" t="s">
        <v>42</v>
      </c>
      <c r="V1295" t="s">
        <v>43</v>
      </c>
      <c r="W1295" t="s">
        <v>84</v>
      </c>
      <c r="Y1295" t="s">
        <v>330</v>
      </c>
      <c r="Z1295" t="s">
        <v>3180</v>
      </c>
      <c r="AA1295" t="s">
        <v>118</v>
      </c>
      <c r="AB1295" t="s">
        <v>193</v>
      </c>
      <c r="AC1295" t="s">
        <v>118</v>
      </c>
    </row>
    <row r="1296" spans="1:29">
      <c r="A1296" t="s">
        <v>1712</v>
      </c>
      <c r="B1296" s="2">
        <v>46180</v>
      </c>
      <c r="C1296" t="s">
        <v>30</v>
      </c>
      <c r="D1296" t="s">
        <v>134</v>
      </c>
      <c r="E1296" t="s">
        <v>152</v>
      </c>
      <c r="F1296" t="s">
        <v>221</v>
      </c>
      <c r="G1296" t="s">
        <v>286</v>
      </c>
      <c r="H1296" t="s">
        <v>155</v>
      </c>
      <c r="I1296" t="s">
        <v>443</v>
      </c>
      <c r="J1296" t="s">
        <v>3086</v>
      </c>
      <c r="K1296" t="s">
        <v>56</v>
      </c>
      <c r="L1296" t="s">
        <v>55</v>
      </c>
      <c r="M1296" t="s">
        <v>106</v>
      </c>
      <c r="N1296" t="s">
        <v>94</v>
      </c>
      <c r="O1296" s="4">
        <v>4</v>
      </c>
      <c r="P1296" s="4">
        <v>17</v>
      </c>
      <c r="Q1296" t="s">
        <v>83</v>
      </c>
      <c r="R1296" s="2">
        <v>46175</v>
      </c>
      <c r="S1296" s="4">
        <v>28</v>
      </c>
      <c r="T1296" s="3">
        <v>124000000</v>
      </c>
      <c r="U1296" t="s">
        <v>42</v>
      </c>
      <c r="V1296" t="s">
        <v>59</v>
      </c>
      <c r="W1296" t="s">
        <v>170</v>
      </c>
      <c r="Y1296" t="s">
        <v>268</v>
      </c>
      <c r="Z1296" t="s">
        <v>3179</v>
      </c>
      <c r="AA1296" t="s">
        <v>159</v>
      </c>
      <c r="AB1296" t="s">
        <v>97</v>
      </c>
      <c r="AC1296" t="s">
        <v>159</v>
      </c>
    </row>
    <row r="1297" spans="1:29">
      <c r="A1297" t="s">
        <v>1713</v>
      </c>
      <c r="B1297" s="2">
        <v>46202</v>
      </c>
      <c r="C1297" t="s">
        <v>30</v>
      </c>
      <c r="D1297" t="s">
        <v>31</v>
      </c>
      <c r="E1297" t="s">
        <v>172</v>
      </c>
      <c r="F1297" t="s">
        <v>173</v>
      </c>
      <c r="G1297" t="s">
        <v>174</v>
      </c>
      <c r="H1297" t="s">
        <v>175</v>
      </c>
      <c r="I1297" t="s">
        <v>358</v>
      </c>
      <c r="J1297" t="s">
        <v>3062</v>
      </c>
      <c r="K1297" t="s">
        <v>37</v>
      </c>
      <c r="L1297" t="s">
        <v>187</v>
      </c>
      <c r="M1297" t="s">
        <v>106</v>
      </c>
      <c r="N1297" t="s">
        <v>213</v>
      </c>
      <c r="O1297" s="4">
        <v>6</v>
      </c>
      <c r="P1297" s="4">
        <v>9</v>
      </c>
      <c r="Q1297" t="s">
        <v>142</v>
      </c>
      <c r="R1297" s="2">
        <v>46193</v>
      </c>
      <c r="S1297" s="4">
        <v>10</v>
      </c>
      <c r="T1297" s="3">
        <v>146000000</v>
      </c>
      <c r="U1297" t="s">
        <v>214</v>
      </c>
      <c r="V1297" t="s">
        <v>143</v>
      </c>
      <c r="W1297" t="s">
        <v>438</v>
      </c>
      <c r="Y1297" t="s">
        <v>216</v>
      </c>
      <c r="Z1297" t="s">
        <v>3179</v>
      </c>
      <c r="AA1297" t="s">
        <v>181</v>
      </c>
      <c r="AB1297" t="s">
        <v>97</v>
      </c>
      <c r="AC1297" t="s">
        <v>181</v>
      </c>
    </row>
    <row r="1298" spans="1:29">
      <c r="A1298" t="s">
        <v>1714</v>
      </c>
      <c r="B1298" s="2">
        <v>46187</v>
      </c>
      <c r="C1298" t="s">
        <v>30</v>
      </c>
      <c r="D1298" t="s">
        <v>99</v>
      </c>
      <c r="E1298" t="s">
        <v>32</v>
      </c>
      <c r="F1298" t="s">
        <v>33</v>
      </c>
      <c r="G1298" t="s">
        <v>218</v>
      </c>
      <c r="H1298" t="s">
        <v>303</v>
      </c>
      <c r="I1298" t="s">
        <v>964</v>
      </c>
      <c r="J1298" t="s">
        <v>3167</v>
      </c>
      <c r="K1298" t="s">
        <v>105</v>
      </c>
      <c r="L1298" t="s">
        <v>80</v>
      </c>
      <c r="M1298" t="s">
        <v>129</v>
      </c>
      <c r="N1298" t="s">
        <v>57</v>
      </c>
      <c r="O1298" s="4">
        <v>3</v>
      </c>
      <c r="P1298" s="4">
        <v>1</v>
      </c>
      <c r="Q1298" t="s">
        <v>107</v>
      </c>
      <c r="R1298" s="2">
        <v>46179</v>
      </c>
      <c r="S1298" s="4">
        <v>24</v>
      </c>
      <c r="T1298" s="3">
        <v>118000000</v>
      </c>
      <c r="U1298" t="s">
        <v>42</v>
      </c>
      <c r="V1298" t="s">
        <v>43</v>
      </c>
      <c r="W1298" t="s">
        <v>71</v>
      </c>
      <c r="Y1298" t="s">
        <v>61</v>
      </c>
      <c r="Z1298" t="s">
        <v>3177</v>
      </c>
      <c r="AA1298" t="s">
        <v>46</v>
      </c>
      <c r="AB1298" t="s">
        <v>63</v>
      </c>
      <c r="AC1298" t="s">
        <v>46</v>
      </c>
    </row>
    <row r="1299" spans="1:29">
      <c r="A1299" t="s">
        <v>1715</v>
      </c>
      <c r="B1299" s="2">
        <v>46196</v>
      </c>
      <c r="C1299" t="s">
        <v>30</v>
      </c>
      <c r="D1299" t="s">
        <v>49</v>
      </c>
      <c r="E1299" t="s">
        <v>32</v>
      </c>
      <c r="F1299" t="s">
        <v>33</v>
      </c>
      <c r="G1299" t="s">
        <v>257</v>
      </c>
      <c r="H1299" t="s">
        <v>258</v>
      </c>
      <c r="I1299" t="s">
        <v>297</v>
      </c>
      <c r="J1299" t="s">
        <v>3044</v>
      </c>
      <c r="K1299" t="s">
        <v>92</v>
      </c>
      <c r="L1299" t="s">
        <v>80</v>
      </c>
      <c r="M1299" t="s">
        <v>81</v>
      </c>
      <c r="N1299" t="s">
        <v>94</v>
      </c>
      <c r="O1299" s="4">
        <v>4</v>
      </c>
      <c r="P1299" s="4">
        <v>5</v>
      </c>
      <c r="Q1299" t="s">
        <v>107</v>
      </c>
      <c r="R1299" s="2">
        <v>46194</v>
      </c>
      <c r="S1299" s="4">
        <v>9</v>
      </c>
      <c r="T1299" s="3">
        <v>219000000</v>
      </c>
      <c r="U1299" t="s">
        <v>42</v>
      </c>
      <c r="V1299" t="s">
        <v>59</v>
      </c>
      <c r="W1299" t="s">
        <v>170</v>
      </c>
      <c r="Y1299" t="s">
        <v>228</v>
      </c>
      <c r="Z1299" t="s">
        <v>3179</v>
      </c>
      <c r="AA1299" t="s">
        <v>46</v>
      </c>
      <c r="AB1299" t="s">
        <v>97</v>
      </c>
      <c r="AC1299" t="s">
        <v>46</v>
      </c>
    </row>
    <row r="1300" spans="1:29">
      <c r="A1300" t="s">
        <v>1716</v>
      </c>
      <c r="B1300" s="2">
        <v>46183</v>
      </c>
      <c r="C1300" t="s">
        <v>30</v>
      </c>
      <c r="D1300" t="s">
        <v>99</v>
      </c>
      <c r="E1300" t="s">
        <v>111</v>
      </c>
      <c r="F1300" t="s">
        <v>264</v>
      </c>
      <c r="G1300" t="s">
        <v>265</v>
      </c>
      <c r="H1300" t="s">
        <v>127</v>
      </c>
      <c r="I1300" t="s">
        <v>461</v>
      </c>
      <c r="J1300" t="s">
        <v>3094</v>
      </c>
      <c r="K1300" t="s">
        <v>56</v>
      </c>
      <c r="L1300" t="s">
        <v>55</v>
      </c>
      <c r="M1300" t="s">
        <v>129</v>
      </c>
      <c r="N1300" t="s">
        <v>40</v>
      </c>
      <c r="O1300" s="4">
        <v>2</v>
      </c>
      <c r="P1300" s="4">
        <v>12</v>
      </c>
      <c r="Q1300" t="s">
        <v>107</v>
      </c>
      <c r="R1300" s="2">
        <v>46182</v>
      </c>
      <c r="S1300" s="4">
        <v>21</v>
      </c>
      <c r="T1300" s="3">
        <v>178000000</v>
      </c>
      <c r="U1300" t="s">
        <v>42</v>
      </c>
      <c r="V1300" t="s">
        <v>43</v>
      </c>
      <c r="W1300" t="s">
        <v>44</v>
      </c>
      <c r="Y1300" t="s">
        <v>45</v>
      </c>
      <c r="Z1300" t="s">
        <v>3180</v>
      </c>
      <c r="AA1300" t="s">
        <v>118</v>
      </c>
      <c r="AB1300" t="s">
        <v>193</v>
      </c>
      <c r="AC1300" t="s">
        <v>118</v>
      </c>
    </row>
    <row r="1301" spans="1:29">
      <c r="A1301" t="s">
        <v>1717</v>
      </c>
      <c r="B1301" s="2">
        <v>46195</v>
      </c>
      <c r="C1301" t="s">
        <v>30</v>
      </c>
      <c r="D1301" t="s">
        <v>49</v>
      </c>
      <c r="E1301" t="s">
        <v>100</v>
      </c>
      <c r="F1301" t="s">
        <v>146</v>
      </c>
      <c r="G1301" t="s">
        <v>237</v>
      </c>
      <c r="H1301" t="s">
        <v>201</v>
      </c>
      <c r="I1301" t="s">
        <v>238</v>
      </c>
      <c r="J1301" t="s">
        <v>3033</v>
      </c>
      <c r="K1301" t="s">
        <v>56</v>
      </c>
      <c r="L1301" t="s">
        <v>150</v>
      </c>
      <c r="M1301" t="s">
        <v>39</v>
      </c>
      <c r="N1301" t="s">
        <v>57</v>
      </c>
      <c r="O1301" s="4">
        <v>3</v>
      </c>
      <c r="P1301" s="4">
        <v>7</v>
      </c>
      <c r="Q1301" t="s">
        <v>69</v>
      </c>
      <c r="R1301" s="2">
        <v>46194</v>
      </c>
      <c r="S1301" s="4">
        <v>9</v>
      </c>
      <c r="T1301" s="3">
        <v>465000000</v>
      </c>
      <c r="U1301" t="s">
        <v>42</v>
      </c>
      <c r="V1301" t="s">
        <v>43</v>
      </c>
      <c r="W1301" t="s">
        <v>60</v>
      </c>
      <c r="Y1301" t="s">
        <v>61</v>
      </c>
      <c r="Z1301" t="s">
        <v>3177</v>
      </c>
      <c r="AA1301" t="s">
        <v>109</v>
      </c>
      <c r="AB1301" t="s">
        <v>63</v>
      </c>
      <c r="AC1301" t="s">
        <v>109</v>
      </c>
    </row>
    <row r="1302" spans="1:29">
      <c r="A1302" t="s">
        <v>1718</v>
      </c>
      <c r="B1302" s="2">
        <v>46174</v>
      </c>
      <c r="C1302" t="s">
        <v>30</v>
      </c>
      <c r="D1302" t="s">
        <v>134</v>
      </c>
      <c r="E1302" t="s">
        <v>172</v>
      </c>
      <c r="F1302" t="s">
        <v>195</v>
      </c>
      <c r="G1302" t="s">
        <v>476</v>
      </c>
      <c r="H1302" t="s">
        <v>175</v>
      </c>
      <c r="I1302" t="s">
        <v>602</v>
      </c>
      <c r="J1302" t="s">
        <v>3129</v>
      </c>
      <c r="K1302" t="s">
        <v>37</v>
      </c>
      <c r="L1302" t="s">
        <v>68</v>
      </c>
      <c r="M1302" t="s">
        <v>93</v>
      </c>
      <c r="N1302" t="s">
        <v>40</v>
      </c>
      <c r="O1302" s="4">
        <v>2</v>
      </c>
      <c r="P1302" s="4">
        <v>3</v>
      </c>
      <c r="Q1302" t="s">
        <v>83</v>
      </c>
      <c r="R1302" s="2">
        <v>46166</v>
      </c>
      <c r="S1302" s="4">
        <v>37</v>
      </c>
      <c r="T1302" s="3">
        <v>130000000</v>
      </c>
      <c r="U1302" t="s">
        <v>42</v>
      </c>
      <c r="V1302" t="s">
        <v>43</v>
      </c>
      <c r="W1302" t="s">
        <v>44</v>
      </c>
      <c r="Y1302" t="s">
        <v>180</v>
      </c>
      <c r="Z1302" t="s">
        <v>3176</v>
      </c>
      <c r="AA1302" t="s">
        <v>181</v>
      </c>
      <c r="AB1302" t="s">
        <v>47</v>
      </c>
      <c r="AC1302" t="s">
        <v>181</v>
      </c>
    </row>
    <row r="1303" spans="1:29">
      <c r="A1303" t="s">
        <v>1719</v>
      </c>
      <c r="B1303" s="2">
        <v>46194</v>
      </c>
      <c r="C1303" t="s">
        <v>30</v>
      </c>
      <c r="D1303" t="s">
        <v>74</v>
      </c>
      <c r="E1303" t="s">
        <v>100</v>
      </c>
      <c r="F1303" t="s">
        <v>140</v>
      </c>
      <c r="G1303" t="s">
        <v>212</v>
      </c>
      <c r="H1303" t="s">
        <v>201</v>
      </c>
      <c r="I1303" t="s">
        <v>416</v>
      </c>
      <c r="J1303" t="s">
        <v>3078</v>
      </c>
      <c r="K1303" t="s">
        <v>37</v>
      </c>
      <c r="L1303" t="s">
        <v>55</v>
      </c>
      <c r="M1303" t="s">
        <v>39</v>
      </c>
      <c r="N1303" t="s">
        <v>130</v>
      </c>
      <c r="O1303" s="4">
        <v>5</v>
      </c>
      <c r="P1303" s="4">
        <v>15</v>
      </c>
      <c r="Q1303" t="s">
        <v>142</v>
      </c>
      <c r="R1303" s="2">
        <v>46187</v>
      </c>
      <c r="S1303" s="4">
        <v>16</v>
      </c>
      <c r="T1303" s="3">
        <v>152000000</v>
      </c>
      <c r="U1303" t="s">
        <v>42</v>
      </c>
      <c r="V1303" t="s">
        <v>70</v>
      </c>
      <c r="W1303" t="s">
        <v>131</v>
      </c>
      <c r="Y1303" t="s">
        <v>334</v>
      </c>
      <c r="Z1303" t="s">
        <v>3179</v>
      </c>
      <c r="AA1303" t="s">
        <v>109</v>
      </c>
      <c r="AB1303" t="s">
        <v>97</v>
      </c>
      <c r="AC1303" t="s">
        <v>109</v>
      </c>
    </row>
    <row r="1304" spans="1:29">
      <c r="A1304" t="s">
        <v>1720</v>
      </c>
      <c r="B1304" s="2">
        <v>46180</v>
      </c>
      <c r="C1304" t="s">
        <v>30</v>
      </c>
      <c r="D1304" t="s">
        <v>134</v>
      </c>
      <c r="E1304" t="s">
        <v>152</v>
      </c>
      <c r="F1304" t="s">
        <v>153</v>
      </c>
      <c r="G1304" t="s">
        <v>294</v>
      </c>
      <c r="H1304" t="s">
        <v>207</v>
      </c>
      <c r="I1304" t="s">
        <v>365</v>
      </c>
      <c r="J1304" t="s">
        <v>3063</v>
      </c>
      <c r="K1304" t="s">
        <v>92</v>
      </c>
      <c r="L1304" t="s">
        <v>187</v>
      </c>
      <c r="M1304" t="s">
        <v>106</v>
      </c>
      <c r="N1304" t="s">
        <v>94</v>
      </c>
      <c r="O1304" s="4">
        <v>4</v>
      </c>
      <c r="P1304" s="4">
        <v>13</v>
      </c>
      <c r="Q1304" t="s">
        <v>138</v>
      </c>
      <c r="R1304" s="2">
        <v>46170</v>
      </c>
      <c r="S1304" s="4">
        <v>33</v>
      </c>
      <c r="T1304" s="3">
        <v>88000000</v>
      </c>
      <c r="U1304" t="s">
        <v>42</v>
      </c>
      <c r="V1304" t="s">
        <v>70</v>
      </c>
      <c r="W1304" t="s">
        <v>267</v>
      </c>
      <c r="Y1304" t="s">
        <v>228</v>
      </c>
      <c r="Z1304" t="s">
        <v>3179</v>
      </c>
      <c r="AA1304" t="s">
        <v>159</v>
      </c>
      <c r="AB1304" t="s">
        <v>97</v>
      </c>
      <c r="AC1304" t="s">
        <v>159</v>
      </c>
    </row>
    <row r="1305" spans="1:29">
      <c r="A1305" t="s">
        <v>1721</v>
      </c>
      <c r="B1305" s="2">
        <v>46175</v>
      </c>
      <c r="C1305" t="s">
        <v>30</v>
      </c>
      <c r="D1305" t="s">
        <v>134</v>
      </c>
      <c r="E1305" t="s">
        <v>100</v>
      </c>
      <c r="F1305" t="s">
        <v>101</v>
      </c>
      <c r="G1305" t="s">
        <v>147</v>
      </c>
      <c r="H1305" t="s">
        <v>148</v>
      </c>
      <c r="I1305" t="s">
        <v>490</v>
      </c>
      <c r="J1305" t="s">
        <v>3103</v>
      </c>
      <c r="K1305" t="s">
        <v>37</v>
      </c>
      <c r="L1305" t="s">
        <v>55</v>
      </c>
      <c r="M1305" t="s">
        <v>106</v>
      </c>
      <c r="N1305" t="s">
        <v>196</v>
      </c>
      <c r="O1305" s="4">
        <v>7</v>
      </c>
      <c r="P1305" s="4">
        <v>23</v>
      </c>
      <c r="Q1305" t="s">
        <v>83</v>
      </c>
      <c r="R1305" s="2">
        <v>46175</v>
      </c>
      <c r="S1305" s="4">
        <v>28</v>
      </c>
      <c r="T1305" s="3">
        <v>111000000</v>
      </c>
      <c r="U1305" t="s">
        <v>196</v>
      </c>
      <c r="V1305" t="s">
        <v>70</v>
      </c>
      <c r="W1305" t="s">
        <v>243</v>
      </c>
      <c r="Y1305" t="s">
        <v>210</v>
      </c>
      <c r="Z1305" t="s">
        <v>3181</v>
      </c>
      <c r="AA1305" t="s">
        <v>109</v>
      </c>
      <c r="AB1305" t="s">
        <v>199</v>
      </c>
      <c r="AC1305" t="s">
        <v>109</v>
      </c>
    </row>
    <row r="1306" spans="1:29">
      <c r="A1306" t="s">
        <v>1722</v>
      </c>
      <c r="B1306" s="2">
        <v>46194</v>
      </c>
      <c r="C1306" t="s">
        <v>30</v>
      </c>
      <c r="D1306" t="s">
        <v>74</v>
      </c>
      <c r="E1306" t="s">
        <v>172</v>
      </c>
      <c r="F1306" t="s">
        <v>195</v>
      </c>
      <c r="G1306" t="s">
        <v>289</v>
      </c>
      <c r="H1306" t="s">
        <v>175</v>
      </c>
      <c r="I1306" t="s">
        <v>516</v>
      </c>
      <c r="J1306" t="s">
        <v>3108</v>
      </c>
      <c r="K1306" t="s">
        <v>92</v>
      </c>
      <c r="L1306" t="s">
        <v>80</v>
      </c>
      <c r="M1306" t="s">
        <v>93</v>
      </c>
      <c r="N1306" t="s">
        <v>94</v>
      </c>
      <c r="O1306" s="4">
        <v>4</v>
      </c>
      <c r="P1306" s="4">
        <v>7</v>
      </c>
      <c r="Q1306" t="s">
        <v>83</v>
      </c>
      <c r="R1306" s="2">
        <v>46190</v>
      </c>
      <c r="S1306" s="4">
        <v>13</v>
      </c>
      <c r="T1306" s="3">
        <v>138000000</v>
      </c>
      <c r="U1306" t="s">
        <v>42</v>
      </c>
      <c r="V1306" t="s">
        <v>59</v>
      </c>
      <c r="W1306" t="s">
        <v>267</v>
      </c>
      <c r="X1306" t="s">
        <v>117</v>
      </c>
      <c r="Y1306" t="s">
        <v>108</v>
      </c>
      <c r="Z1306" t="s">
        <v>3179</v>
      </c>
      <c r="AA1306" t="s">
        <v>181</v>
      </c>
      <c r="AB1306" t="s">
        <v>97</v>
      </c>
      <c r="AC1306" t="s">
        <v>181</v>
      </c>
    </row>
    <row r="1307" spans="1:29">
      <c r="A1307" t="s">
        <v>1723</v>
      </c>
      <c r="B1307" s="2">
        <v>46174</v>
      </c>
      <c r="C1307" t="s">
        <v>30</v>
      </c>
      <c r="D1307" t="s">
        <v>134</v>
      </c>
      <c r="E1307" t="s">
        <v>111</v>
      </c>
      <c r="F1307" t="s">
        <v>190</v>
      </c>
      <c r="G1307" t="s">
        <v>251</v>
      </c>
      <c r="H1307" t="s">
        <v>127</v>
      </c>
      <c r="I1307" t="s">
        <v>349</v>
      </c>
      <c r="J1307" t="s">
        <v>3059</v>
      </c>
      <c r="K1307" t="s">
        <v>105</v>
      </c>
      <c r="L1307" t="s">
        <v>55</v>
      </c>
      <c r="M1307" t="s">
        <v>129</v>
      </c>
      <c r="N1307" t="s">
        <v>94</v>
      </c>
      <c r="O1307" s="4">
        <v>4</v>
      </c>
      <c r="P1307" s="4">
        <v>8</v>
      </c>
      <c r="Q1307" t="s">
        <v>142</v>
      </c>
      <c r="R1307" s="2">
        <v>46171</v>
      </c>
      <c r="S1307" s="4">
        <v>32</v>
      </c>
      <c r="T1307" s="3">
        <v>200000000</v>
      </c>
      <c r="U1307" t="s">
        <v>42</v>
      </c>
      <c r="V1307" t="s">
        <v>59</v>
      </c>
      <c r="W1307" t="s">
        <v>267</v>
      </c>
      <c r="Y1307" t="s">
        <v>268</v>
      </c>
      <c r="Z1307" t="s">
        <v>3179</v>
      </c>
      <c r="AA1307" t="s">
        <v>118</v>
      </c>
      <c r="AB1307" t="s">
        <v>97</v>
      </c>
      <c r="AC1307" t="s">
        <v>118</v>
      </c>
    </row>
    <row r="1308" spans="1:29">
      <c r="A1308" t="s">
        <v>1724</v>
      </c>
      <c r="B1308" s="2">
        <v>46192</v>
      </c>
      <c r="C1308" t="s">
        <v>30</v>
      </c>
      <c r="D1308" t="s">
        <v>74</v>
      </c>
      <c r="E1308" t="s">
        <v>50</v>
      </c>
      <c r="F1308" t="s">
        <v>51</v>
      </c>
      <c r="G1308" t="s">
        <v>65</v>
      </c>
      <c r="H1308" t="s">
        <v>90</v>
      </c>
      <c r="I1308" t="s">
        <v>352</v>
      </c>
      <c r="J1308" t="s">
        <v>3060</v>
      </c>
      <c r="K1308" t="s">
        <v>37</v>
      </c>
      <c r="L1308" t="s">
        <v>187</v>
      </c>
      <c r="M1308" t="s">
        <v>56</v>
      </c>
      <c r="N1308" t="s">
        <v>94</v>
      </c>
      <c r="O1308" s="4">
        <v>4</v>
      </c>
      <c r="P1308" s="4">
        <v>8</v>
      </c>
      <c r="Q1308" t="s">
        <v>41</v>
      </c>
      <c r="R1308" s="2">
        <v>46186</v>
      </c>
      <c r="S1308" s="4">
        <v>17</v>
      </c>
      <c r="T1308" s="3">
        <v>234000000</v>
      </c>
      <c r="U1308" t="s">
        <v>42</v>
      </c>
      <c r="V1308" t="s">
        <v>59</v>
      </c>
      <c r="W1308" t="s">
        <v>95</v>
      </c>
      <c r="Y1308" t="s">
        <v>96</v>
      </c>
      <c r="Z1308" t="s">
        <v>3179</v>
      </c>
      <c r="AA1308" t="s">
        <v>62</v>
      </c>
      <c r="AB1308" t="s">
        <v>97</v>
      </c>
      <c r="AC1308" t="s">
        <v>62</v>
      </c>
    </row>
    <row r="1309" spans="1:29">
      <c r="A1309" t="s">
        <v>1725</v>
      </c>
      <c r="B1309" s="2">
        <v>46199</v>
      </c>
      <c r="C1309" t="s">
        <v>30</v>
      </c>
      <c r="D1309" t="s">
        <v>49</v>
      </c>
      <c r="E1309" t="s">
        <v>75</v>
      </c>
      <c r="F1309" t="s">
        <v>161</v>
      </c>
      <c r="G1309" t="s">
        <v>77</v>
      </c>
      <c r="H1309" t="s">
        <v>388</v>
      </c>
      <c r="I1309" t="s">
        <v>630</v>
      </c>
      <c r="J1309" t="s">
        <v>3135</v>
      </c>
      <c r="K1309" t="s">
        <v>37</v>
      </c>
      <c r="L1309" t="s">
        <v>68</v>
      </c>
      <c r="M1309" t="s">
        <v>81</v>
      </c>
      <c r="N1309" t="s">
        <v>94</v>
      </c>
      <c r="O1309" s="4">
        <v>4</v>
      </c>
      <c r="P1309" s="4">
        <v>5</v>
      </c>
      <c r="Q1309" t="s">
        <v>83</v>
      </c>
      <c r="R1309" s="2">
        <v>46191</v>
      </c>
      <c r="S1309" s="4">
        <v>12</v>
      </c>
      <c r="T1309" s="3">
        <v>223000000</v>
      </c>
      <c r="U1309" t="s">
        <v>42</v>
      </c>
      <c r="V1309" t="s">
        <v>59</v>
      </c>
      <c r="W1309" t="s">
        <v>188</v>
      </c>
      <c r="Y1309" t="s">
        <v>108</v>
      </c>
      <c r="Z1309" t="s">
        <v>3179</v>
      </c>
      <c r="AA1309" t="s">
        <v>86</v>
      </c>
      <c r="AB1309" t="s">
        <v>97</v>
      </c>
      <c r="AC1309" t="s">
        <v>86</v>
      </c>
    </row>
    <row r="1310" spans="1:29">
      <c r="A1310" t="s">
        <v>1726</v>
      </c>
      <c r="B1310" s="2">
        <v>46203</v>
      </c>
      <c r="C1310" t="s">
        <v>30</v>
      </c>
      <c r="D1310" t="s">
        <v>31</v>
      </c>
      <c r="E1310" t="s">
        <v>100</v>
      </c>
      <c r="F1310" t="s">
        <v>140</v>
      </c>
      <c r="G1310" t="s">
        <v>313</v>
      </c>
      <c r="H1310" t="s">
        <v>201</v>
      </c>
      <c r="I1310" t="s">
        <v>238</v>
      </c>
      <c r="J1310" t="s">
        <v>3033</v>
      </c>
      <c r="K1310" t="s">
        <v>37</v>
      </c>
      <c r="L1310" t="s">
        <v>169</v>
      </c>
      <c r="M1310" t="s">
        <v>56</v>
      </c>
      <c r="N1310" t="s">
        <v>213</v>
      </c>
      <c r="O1310" s="4">
        <v>6</v>
      </c>
      <c r="P1310" s="4">
        <v>14</v>
      </c>
      <c r="Q1310" t="s">
        <v>138</v>
      </c>
      <c r="R1310" s="2">
        <v>46198</v>
      </c>
      <c r="S1310" s="4">
        <v>5</v>
      </c>
      <c r="T1310" s="3">
        <v>275000000</v>
      </c>
      <c r="U1310" t="s">
        <v>214</v>
      </c>
      <c r="V1310" t="s">
        <v>70</v>
      </c>
      <c r="W1310" t="s">
        <v>438</v>
      </c>
      <c r="Y1310" t="s">
        <v>216</v>
      </c>
      <c r="Z1310" t="s">
        <v>3179</v>
      </c>
      <c r="AA1310" t="s">
        <v>109</v>
      </c>
      <c r="AB1310" t="s">
        <v>97</v>
      </c>
      <c r="AC1310" t="s">
        <v>109</v>
      </c>
    </row>
    <row r="1311" spans="1:29">
      <c r="A1311" t="s">
        <v>1727</v>
      </c>
      <c r="B1311" s="2">
        <v>46189</v>
      </c>
      <c r="C1311" t="s">
        <v>30</v>
      </c>
      <c r="D1311" t="s">
        <v>74</v>
      </c>
      <c r="E1311" t="s">
        <v>120</v>
      </c>
      <c r="F1311" t="s">
        <v>121</v>
      </c>
      <c r="G1311" t="s">
        <v>224</v>
      </c>
      <c r="H1311" t="s">
        <v>123</v>
      </c>
      <c r="I1311" t="s">
        <v>225</v>
      </c>
      <c r="J1311" t="s">
        <v>3030</v>
      </c>
      <c r="K1311" t="s">
        <v>105</v>
      </c>
      <c r="L1311" t="s">
        <v>55</v>
      </c>
      <c r="M1311" t="s">
        <v>39</v>
      </c>
      <c r="N1311" t="s">
        <v>82</v>
      </c>
      <c r="O1311" s="4">
        <v>1</v>
      </c>
      <c r="P1311" s="4">
        <v>12</v>
      </c>
      <c r="Q1311" t="s">
        <v>138</v>
      </c>
      <c r="R1311" s="2">
        <v>46188</v>
      </c>
      <c r="S1311" s="4">
        <v>15</v>
      </c>
      <c r="T1311" s="3">
        <v>216000000</v>
      </c>
      <c r="U1311" t="s">
        <v>42</v>
      </c>
      <c r="V1311" t="s">
        <v>43</v>
      </c>
      <c r="W1311" t="s">
        <v>404</v>
      </c>
      <c r="Y1311" t="s">
        <v>291</v>
      </c>
      <c r="Z1311" t="s">
        <v>3180</v>
      </c>
      <c r="AA1311" t="s">
        <v>97</v>
      </c>
      <c r="AB1311" t="s">
        <v>193</v>
      </c>
      <c r="AC1311" t="s">
        <v>97</v>
      </c>
    </row>
    <row r="1312" spans="1:29">
      <c r="A1312" t="s">
        <v>1728</v>
      </c>
      <c r="B1312" s="2">
        <v>46193</v>
      </c>
      <c r="C1312" t="s">
        <v>30</v>
      </c>
      <c r="D1312" t="s">
        <v>74</v>
      </c>
      <c r="E1312" t="s">
        <v>32</v>
      </c>
      <c r="F1312" t="s">
        <v>273</v>
      </c>
      <c r="G1312" t="s">
        <v>218</v>
      </c>
      <c r="H1312" t="s">
        <v>258</v>
      </c>
      <c r="I1312" t="s">
        <v>297</v>
      </c>
      <c r="J1312" t="s">
        <v>3044</v>
      </c>
      <c r="K1312" t="s">
        <v>56</v>
      </c>
      <c r="L1312" t="s">
        <v>55</v>
      </c>
      <c r="M1312" t="s">
        <v>39</v>
      </c>
      <c r="N1312" t="s">
        <v>40</v>
      </c>
      <c r="O1312" s="4">
        <v>2</v>
      </c>
      <c r="P1312" s="4">
        <v>1</v>
      </c>
      <c r="Q1312" t="s">
        <v>69</v>
      </c>
      <c r="R1312" s="2">
        <v>46192</v>
      </c>
      <c r="S1312" s="4">
        <v>11</v>
      </c>
      <c r="T1312" s="3">
        <v>329000000</v>
      </c>
      <c r="U1312" t="s">
        <v>260</v>
      </c>
      <c r="V1312" t="s">
        <v>43</v>
      </c>
      <c r="W1312" t="s">
        <v>298</v>
      </c>
      <c r="X1312" t="s">
        <v>422</v>
      </c>
      <c r="Y1312" t="s">
        <v>45</v>
      </c>
      <c r="Z1312" t="s">
        <v>3176</v>
      </c>
      <c r="AA1312" t="s">
        <v>46</v>
      </c>
      <c r="AB1312" t="s">
        <v>47</v>
      </c>
      <c r="AC1312" t="s">
        <v>46</v>
      </c>
    </row>
    <row r="1313" spans="1:29">
      <c r="A1313" t="s">
        <v>1729</v>
      </c>
      <c r="B1313" s="2">
        <v>46190</v>
      </c>
      <c r="C1313" t="s">
        <v>30</v>
      </c>
      <c r="D1313" t="s">
        <v>74</v>
      </c>
      <c r="E1313" t="s">
        <v>120</v>
      </c>
      <c r="F1313" t="s">
        <v>121</v>
      </c>
      <c r="G1313" t="s">
        <v>224</v>
      </c>
      <c r="H1313" t="s">
        <v>123</v>
      </c>
      <c r="I1313" t="s">
        <v>459</v>
      </c>
      <c r="J1313" t="s">
        <v>3093</v>
      </c>
      <c r="K1313" t="s">
        <v>92</v>
      </c>
      <c r="L1313" t="s">
        <v>68</v>
      </c>
      <c r="M1313" t="s">
        <v>56</v>
      </c>
      <c r="N1313" t="s">
        <v>196</v>
      </c>
      <c r="O1313" s="4">
        <v>7</v>
      </c>
      <c r="P1313" s="4">
        <v>15</v>
      </c>
      <c r="Q1313" t="s">
        <v>58</v>
      </c>
      <c r="R1313" s="2">
        <v>46181</v>
      </c>
      <c r="S1313" s="4">
        <v>22</v>
      </c>
      <c r="T1313" s="3">
        <v>58000000</v>
      </c>
      <c r="U1313" t="s">
        <v>196</v>
      </c>
      <c r="V1313" t="s">
        <v>70</v>
      </c>
      <c r="W1313" t="s">
        <v>675</v>
      </c>
      <c r="Y1313" t="s">
        <v>198</v>
      </c>
      <c r="Z1313" t="s">
        <v>3181</v>
      </c>
      <c r="AA1313" t="s">
        <v>97</v>
      </c>
      <c r="AB1313" t="s">
        <v>199</v>
      </c>
      <c r="AC1313" t="s">
        <v>97</v>
      </c>
    </row>
    <row r="1314" spans="1:29">
      <c r="A1314" t="s">
        <v>1730</v>
      </c>
      <c r="B1314" s="2">
        <v>46174</v>
      </c>
      <c r="C1314" t="s">
        <v>30</v>
      </c>
      <c r="D1314" t="s">
        <v>134</v>
      </c>
      <c r="E1314" t="s">
        <v>172</v>
      </c>
      <c r="F1314" t="s">
        <v>173</v>
      </c>
      <c r="G1314" t="s">
        <v>338</v>
      </c>
      <c r="H1314" t="s">
        <v>241</v>
      </c>
      <c r="I1314" t="s">
        <v>559</v>
      </c>
      <c r="J1314" t="s">
        <v>3119</v>
      </c>
      <c r="K1314" t="s">
        <v>56</v>
      </c>
      <c r="L1314" t="s">
        <v>187</v>
      </c>
      <c r="M1314" t="s">
        <v>39</v>
      </c>
      <c r="N1314" t="s">
        <v>94</v>
      </c>
      <c r="O1314" s="4">
        <v>4</v>
      </c>
      <c r="P1314" s="4">
        <v>7</v>
      </c>
      <c r="Q1314" t="s">
        <v>142</v>
      </c>
      <c r="R1314" s="2">
        <v>46166</v>
      </c>
      <c r="S1314" s="4">
        <v>37</v>
      </c>
      <c r="T1314" s="3">
        <v>336000000</v>
      </c>
      <c r="U1314" t="s">
        <v>42</v>
      </c>
      <c r="V1314" t="s">
        <v>70</v>
      </c>
      <c r="W1314" t="s">
        <v>267</v>
      </c>
      <c r="Y1314" t="s">
        <v>108</v>
      </c>
      <c r="Z1314" t="s">
        <v>3179</v>
      </c>
      <c r="AA1314" t="s">
        <v>181</v>
      </c>
      <c r="AB1314" t="s">
        <v>97</v>
      </c>
      <c r="AC1314" t="s">
        <v>181</v>
      </c>
    </row>
    <row r="1315" spans="1:29">
      <c r="A1315" t="s">
        <v>1731</v>
      </c>
      <c r="B1315" s="2">
        <v>46192</v>
      </c>
      <c r="C1315" t="s">
        <v>30</v>
      </c>
      <c r="D1315" t="s">
        <v>74</v>
      </c>
      <c r="E1315" t="s">
        <v>75</v>
      </c>
      <c r="F1315" t="s">
        <v>161</v>
      </c>
      <c r="G1315" t="s">
        <v>387</v>
      </c>
      <c r="H1315" t="s">
        <v>185</v>
      </c>
      <c r="I1315" t="s">
        <v>673</v>
      </c>
      <c r="J1315" t="s">
        <v>3146</v>
      </c>
      <c r="K1315" t="s">
        <v>105</v>
      </c>
      <c r="L1315" t="s">
        <v>187</v>
      </c>
      <c r="M1315" t="s">
        <v>81</v>
      </c>
      <c r="N1315" t="s">
        <v>94</v>
      </c>
      <c r="O1315" s="4">
        <v>4</v>
      </c>
      <c r="P1315" s="4">
        <v>7</v>
      </c>
      <c r="Q1315" t="s">
        <v>138</v>
      </c>
      <c r="R1315" s="2">
        <v>46183</v>
      </c>
      <c r="S1315" s="4">
        <v>20</v>
      </c>
      <c r="T1315" s="3">
        <v>243000000</v>
      </c>
      <c r="U1315" t="s">
        <v>42</v>
      </c>
      <c r="V1315" t="s">
        <v>59</v>
      </c>
      <c r="W1315" t="s">
        <v>188</v>
      </c>
      <c r="X1315" t="s">
        <v>117</v>
      </c>
      <c r="Y1315" t="s">
        <v>96</v>
      </c>
      <c r="Z1315" t="s">
        <v>3179</v>
      </c>
      <c r="AA1315" t="s">
        <v>86</v>
      </c>
      <c r="AB1315" t="s">
        <v>97</v>
      </c>
      <c r="AC1315" t="s">
        <v>86</v>
      </c>
    </row>
    <row r="1316" spans="1:29">
      <c r="A1316" t="s">
        <v>1732</v>
      </c>
      <c r="B1316" s="2">
        <v>46191</v>
      </c>
      <c r="C1316" t="s">
        <v>30</v>
      </c>
      <c r="D1316" t="s">
        <v>74</v>
      </c>
      <c r="E1316" t="s">
        <v>111</v>
      </c>
      <c r="F1316" t="s">
        <v>112</v>
      </c>
      <c r="G1316" t="s">
        <v>251</v>
      </c>
      <c r="H1316" t="s">
        <v>191</v>
      </c>
      <c r="I1316" t="s">
        <v>606</v>
      </c>
      <c r="J1316" t="s">
        <v>3131</v>
      </c>
      <c r="K1316" t="s">
        <v>105</v>
      </c>
      <c r="L1316" t="s">
        <v>187</v>
      </c>
      <c r="M1316" t="s">
        <v>164</v>
      </c>
      <c r="N1316" t="s">
        <v>94</v>
      </c>
      <c r="O1316" s="4">
        <v>4</v>
      </c>
      <c r="P1316" s="4">
        <v>8</v>
      </c>
      <c r="Q1316" t="s">
        <v>69</v>
      </c>
      <c r="R1316" s="2">
        <v>46187</v>
      </c>
      <c r="S1316" s="4">
        <v>16</v>
      </c>
      <c r="T1316" s="3">
        <v>324000000</v>
      </c>
      <c r="U1316" t="s">
        <v>42</v>
      </c>
      <c r="V1316" t="s">
        <v>59</v>
      </c>
      <c r="W1316" t="s">
        <v>188</v>
      </c>
      <c r="Y1316" t="s">
        <v>268</v>
      </c>
      <c r="Z1316" t="s">
        <v>3179</v>
      </c>
      <c r="AA1316" t="s">
        <v>118</v>
      </c>
      <c r="AB1316" t="s">
        <v>97</v>
      </c>
      <c r="AC1316" t="s">
        <v>118</v>
      </c>
    </row>
    <row r="1317" spans="1:29">
      <c r="A1317" t="s">
        <v>1733</v>
      </c>
      <c r="B1317" s="2">
        <v>46175</v>
      </c>
      <c r="C1317" t="s">
        <v>30</v>
      </c>
      <c r="D1317" t="s">
        <v>134</v>
      </c>
      <c r="E1317" t="s">
        <v>75</v>
      </c>
      <c r="F1317" t="s">
        <v>183</v>
      </c>
      <c r="G1317" t="s">
        <v>230</v>
      </c>
      <c r="H1317" t="s">
        <v>185</v>
      </c>
      <c r="I1317" t="s">
        <v>542</v>
      </c>
      <c r="J1317" t="s">
        <v>3115</v>
      </c>
      <c r="K1317" t="s">
        <v>92</v>
      </c>
      <c r="L1317" t="s">
        <v>187</v>
      </c>
      <c r="M1317" t="s">
        <v>93</v>
      </c>
      <c r="N1317" t="s">
        <v>57</v>
      </c>
      <c r="O1317" s="4">
        <v>3</v>
      </c>
      <c r="P1317" s="4">
        <v>10</v>
      </c>
      <c r="Q1317" t="s">
        <v>58</v>
      </c>
      <c r="R1317" s="2">
        <v>46168</v>
      </c>
      <c r="S1317" s="4">
        <v>35</v>
      </c>
      <c r="T1317" s="3">
        <v>90000000</v>
      </c>
      <c r="U1317" t="s">
        <v>42</v>
      </c>
      <c r="V1317" t="s">
        <v>59</v>
      </c>
      <c r="W1317" t="s">
        <v>71</v>
      </c>
      <c r="Y1317" t="s">
        <v>72</v>
      </c>
      <c r="Z1317" t="s">
        <v>3177</v>
      </c>
      <c r="AA1317" t="s">
        <v>86</v>
      </c>
      <c r="AB1317" t="s">
        <v>63</v>
      </c>
      <c r="AC1317" t="s">
        <v>86</v>
      </c>
    </row>
    <row r="1318" spans="1:29">
      <c r="A1318" t="s">
        <v>1734</v>
      </c>
      <c r="B1318" s="2">
        <v>46184</v>
      </c>
      <c r="C1318" t="s">
        <v>30</v>
      </c>
      <c r="D1318" t="s">
        <v>99</v>
      </c>
      <c r="E1318" t="s">
        <v>75</v>
      </c>
      <c r="F1318" t="s">
        <v>161</v>
      </c>
      <c r="G1318" t="s">
        <v>387</v>
      </c>
      <c r="H1318" t="s">
        <v>78</v>
      </c>
      <c r="I1318" t="s">
        <v>810</v>
      </c>
      <c r="J1318" t="s">
        <v>3157</v>
      </c>
      <c r="K1318" t="s">
        <v>105</v>
      </c>
      <c r="L1318" t="s">
        <v>150</v>
      </c>
      <c r="M1318" t="s">
        <v>93</v>
      </c>
      <c r="N1318" t="s">
        <v>40</v>
      </c>
      <c r="O1318" s="4">
        <v>2</v>
      </c>
      <c r="P1318" s="4">
        <v>4</v>
      </c>
      <c r="Q1318" t="s">
        <v>107</v>
      </c>
      <c r="R1318" s="2">
        <v>46174</v>
      </c>
      <c r="S1318" s="4">
        <v>29</v>
      </c>
      <c r="T1318" s="3">
        <v>287000000</v>
      </c>
      <c r="U1318" t="s">
        <v>42</v>
      </c>
      <c r="V1318" t="s">
        <v>43</v>
      </c>
      <c r="W1318" t="s">
        <v>178</v>
      </c>
      <c r="Y1318" t="s">
        <v>180</v>
      </c>
      <c r="Z1318" t="s">
        <v>3176</v>
      </c>
      <c r="AA1318" t="s">
        <v>86</v>
      </c>
      <c r="AB1318" t="s">
        <v>47</v>
      </c>
      <c r="AC1318" t="s">
        <v>86</v>
      </c>
    </row>
    <row r="1319" spans="1:29">
      <c r="A1319" t="s">
        <v>1735</v>
      </c>
      <c r="B1319" s="2">
        <v>46175</v>
      </c>
      <c r="C1319" t="s">
        <v>30</v>
      </c>
      <c r="D1319" t="s">
        <v>134</v>
      </c>
      <c r="E1319" t="s">
        <v>172</v>
      </c>
      <c r="F1319" t="s">
        <v>277</v>
      </c>
      <c r="G1319" t="s">
        <v>174</v>
      </c>
      <c r="H1319" t="s">
        <v>317</v>
      </c>
      <c r="I1319" t="s">
        <v>478</v>
      </c>
      <c r="J1319" t="s">
        <v>3099</v>
      </c>
      <c r="K1319" t="s">
        <v>105</v>
      </c>
      <c r="L1319" t="s">
        <v>169</v>
      </c>
      <c r="M1319" t="s">
        <v>56</v>
      </c>
      <c r="N1319" t="s">
        <v>130</v>
      </c>
      <c r="O1319" s="4">
        <v>5</v>
      </c>
      <c r="P1319" s="4">
        <v>6</v>
      </c>
      <c r="Q1319" t="s">
        <v>107</v>
      </c>
      <c r="R1319" s="2">
        <v>46168</v>
      </c>
      <c r="S1319" s="4">
        <v>35</v>
      </c>
      <c r="T1319" s="3">
        <v>330000000</v>
      </c>
      <c r="U1319" t="s">
        <v>42</v>
      </c>
      <c r="V1319" t="s">
        <v>70</v>
      </c>
      <c r="W1319" t="s">
        <v>252</v>
      </c>
      <c r="Y1319" t="s">
        <v>262</v>
      </c>
      <c r="Z1319" t="s">
        <v>3179</v>
      </c>
      <c r="AA1319" t="s">
        <v>181</v>
      </c>
      <c r="AB1319" t="s">
        <v>97</v>
      </c>
      <c r="AC1319" t="s">
        <v>181</v>
      </c>
    </row>
    <row r="1320" spans="1:29">
      <c r="A1320" t="s">
        <v>1736</v>
      </c>
      <c r="B1320" s="2">
        <v>46180</v>
      </c>
      <c r="C1320" t="s">
        <v>30</v>
      </c>
      <c r="D1320" t="s">
        <v>134</v>
      </c>
      <c r="E1320" t="s">
        <v>172</v>
      </c>
      <c r="F1320" t="s">
        <v>195</v>
      </c>
      <c r="G1320" t="s">
        <v>289</v>
      </c>
      <c r="H1320" t="s">
        <v>175</v>
      </c>
      <c r="I1320" t="s">
        <v>333</v>
      </c>
      <c r="J1320" t="s">
        <v>3054</v>
      </c>
      <c r="K1320" t="s">
        <v>37</v>
      </c>
      <c r="L1320" t="s">
        <v>80</v>
      </c>
      <c r="M1320" t="s">
        <v>56</v>
      </c>
      <c r="N1320" t="s">
        <v>40</v>
      </c>
      <c r="O1320" s="4">
        <v>2</v>
      </c>
      <c r="P1320" s="4">
        <v>8</v>
      </c>
      <c r="Q1320" t="s">
        <v>83</v>
      </c>
      <c r="R1320" s="2">
        <v>46174</v>
      </c>
      <c r="S1320" s="4">
        <v>29</v>
      </c>
      <c r="T1320" s="3">
        <v>214000000</v>
      </c>
      <c r="U1320" t="s">
        <v>42</v>
      </c>
      <c r="V1320" t="s">
        <v>59</v>
      </c>
      <c r="W1320" t="s">
        <v>298</v>
      </c>
      <c r="Y1320" t="s">
        <v>45</v>
      </c>
      <c r="Z1320" t="s">
        <v>3178</v>
      </c>
      <c r="AA1320" t="s">
        <v>181</v>
      </c>
      <c r="AB1320" t="s">
        <v>87</v>
      </c>
      <c r="AC1320" t="s">
        <v>181</v>
      </c>
    </row>
    <row r="1321" spans="1:29">
      <c r="A1321" t="s">
        <v>1737</v>
      </c>
      <c r="B1321" s="2">
        <v>46182</v>
      </c>
      <c r="C1321" t="s">
        <v>30</v>
      </c>
      <c r="D1321" t="s">
        <v>99</v>
      </c>
      <c r="E1321" t="s">
        <v>32</v>
      </c>
      <c r="F1321" t="s">
        <v>273</v>
      </c>
      <c r="G1321" t="s">
        <v>257</v>
      </c>
      <c r="H1321" t="s">
        <v>35</v>
      </c>
      <c r="I1321" t="s">
        <v>595</v>
      </c>
      <c r="J1321" t="s">
        <v>3128</v>
      </c>
      <c r="K1321" t="s">
        <v>56</v>
      </c>
      <c r="L1321" t="s">
        <v>187</v>
      </c>
      <c r="M1321" t="s">
        <v>164</v>
      </c>
      <c r="N1321" t="s">
        <v>82</v>
      </c>
      <c r="O1321" s="4">
        <v>1</v>
      </c>
      <c r="P1321" s="4">
        <v>1</v>
      </c>
      <c r="Q1321" t="s">
        <v>142</v>
      </c>
      <c r="R1321" s="2">
        <v>46173</v>
      </c>
      <c r="S1321" s="4">
        <v>30</v>
      </c>
      <c r="T1321" s="3">
        <v>149000000</v>
      </c>
      <c r="U1321" t="s">
        <v>42</v>
      </c>
      <c r="V1321" t="s">
        <v>43</v>
      </c>
      <c r="W1321" t="s">
        <v>404</v>
      </c>
      <c r="Y1321" t="s">
        <v>291</v>
      </c>
      <c r="Z1321" t="s">
        <v>3176</v>
      </c>
      <c r="AA1321" t="s">
        <v>46</v>
      </c>
      <c r="AB1321" t="s">
        <v>47</v>
      </c>
      <c r="AC1321" t="s">
        <v>46</v>
      </c>
    </row>
    <row r="1322" spans="1:29">
      <c r="A1322" t="s">
        <v>1738</v>
      </c>
      <c r="B1322" s="2">
        <v>46176</v>
      </c>
      <c r="C1322" t="s">
        <v>30</v>
      </c>
      <c r="D1322" t="s">
        <v>134</v>
      </c>
      <c r="E1322" t="s">
        <v>111</v>
      </c>
      <c r="F1322" t="s">
        <v>264</v>
      </c>
      <c r="G1322" t="s">
        <v>126</v>
      </c>
      <c r="H1322" t="s">
        <v>114</v>
      </c>
      <c r="I1322" t="s">
        <v>613</v>
      </c>
      <c r="J1322" t="s">
        <v>3133</v>
      </c>
      <c r="K1322" t="s">
        <v>56</v>
      </c>
      <c r="L1322" t="s">
        <v>80</v>
      </c>
      <c r="M1322" t="s">
        <v>81</v>
      </c>
      <c r="N1322" t="s">
        <v>94</v>
      </c>
      <c r="O1322" s="4">
        <v>4</v>
      </c>
      <c r="P1322" s="4">
        <v>11</v>
      </c>
      <c r="Q1322" t="s">
        <v>58</v>
      </c>
      <c r="R1322" s="2">
        <v>46173</v>
      </c>
      <c r="S1322" s="4">
        <v>30</v>
      </c>
      <c r="T1322" s="3">
        <v>239000000</v>
      </c>
      <c r="U1322" t="s">
        <v>426</v>
      </c>
      <c r="V1322" t="s">
        <v>70</v>
      </c>
      <c r="W1322" t="s">
        <v>170</v>
      </c>
      <c r="X1322" t="s">
        <v>308</v>
      </c>
      <c r="Y1322" t="s">
        <v>228</v>
      </c>
      <c r="Z1322" t="s">
        <v>3179</v>
      </c>
      <c r="AA1322" t="s">
        <v>118</v>
      </c>
      <c r="AB1322" t="s">
        <v>97</v>
      </c>
      <c r="AC1322" t="s">
        <v>118</v>
      </c>
    </row>
    <row r="1323" spans="1:29">
      <c r="A1323" t="s">
        <v>1739</v>
      </c>
      <c r="B1323" s="2">
        <v>46177</v>
      </c>
      <c r="C1323" t="s">
        <v>30</v>
      </c>
      <c r="D1323" t="s">
        <v>134</v>
      </c>
      <c r="E1323" t="s">
        <v>75</v>
      </c>
      <c r="F1323" t="s">
        <v>183</v>
      </c>
      <c r="G1323" t="s">
        <v>230</v>
      </c>
      <c r="H1323" t="s">
        <v>78</v>
      </c>
      <c r="I1323" t="s">
        <v>79</v>
      </c>
      <c r="J1323" t="s">
        <v>3011</v>
      </c>
      <c r="K1323" t="s">
        <v>105</v>
      </c>
      <c r="L1323" t="s">
        <v>187</v>
      </c>
      <c r="M1323" t="s">
        <v>129</v>
      </c>
      <c r="N1323" t="s">
        <v>82</v>
      </c>
      <c r="O1323" s="4">
        <v>1</v>
      </c>
      <c r="P1323" s="4">
        <v>6</v>
      </c>
      <c r="Q1323" t="s">
        <v>142</v>
      </c>
      <c r="R1323" s="2">
        <v>46175</v>
      </c>
      <c r="S1323" s="4">
        <v>28</v>
      </c>
      <c r="T1323" s="3">
        <v>340000000</v>
      </c>
      <c r="U1323" t="s">
        <v>42</v>
      </c>
      <c r="V1323" t="s">
        <v>43</v>
      </c>
      <c r="W1323" t="s">
        <v>290</v>
      </c>
      <c r="Y1323" t="s">
        <v>305</v>
      </c>
      <c r="Z1323" t="s">
        <v>3178</v>
      </c>
      <c r="AA1323" t="s">
        <v>86</v>
      </c>
      <c r="AB1323" t="s">
        <v>87</v>
      </c>
      <c r="AC1323" t="s">
        <v>86</v>
      </c>
    </row>
    <row r="1324" spans="1:29">
      <c r="A1324" t="s">
        <v>1740</v>
      </c>
      <c r="B1324" s="2">
        <v>46196</v>
      </c>
      <c r="C1324" t="s">
        <v>30</v>
      </c>
      <c r="D1324" t="s">
        <v>49</v>
      </c>
      <c r="E1324" t="s">
        <v>100</v>
      </c>
      <c r="F1324" t="s">
        <v>140</v>
      </c>
      <c r="G1324" t="s">
        <v>313</v>
      </c>
      <c r="H1324" t="s">
        <v>103</v>
      </c>
      <c r="I1324" t="s">
        <v>411</v>
      </c>
      <c r="J1324" t="s">
        <v>3077</v>
      </c>
      <c r="K1324" t="s">
        <v>56</v>
      </c>
      <c r="L1324" t="s">
        <v>38</v>
      </c>
      <c r="M1324" t="s">
        <v>164</v>
      </c>
      <c r="N1324" t="s">
        <v>40</v>
      </c>
      <c r="O1324" s="4">
        <v>2</v>
      </c>
      <c r="P1324" s="4">
        <v>18</v>
      </c>
      <c r="Q1324" t="s">
        <v>142</v>
      </c>
      <c r="R1324" s="2">
        <v>46191</v>
      </c>
      <c r="S1324" s="4">
        <v>12</v>
      </c>
      <c r="T1324" s="3">
        <v>350000000</v>
      </c>
      <c r="U1324" t="s">
        <v>42</v>
      </c>
      <c r="V1324" t="s">
        <v>43</v>
      </c>
      <c r="W1324" t="s">
        <v>44</v>
      </c>
      <c r="Y1324" t="s">
        <v>281</v>
      </c>
      <c r="Z1324" t="s">
        <v>3180</v>
      </c>
      <c r="AA1324" t="s">
        <v>109</v>
      </c>
      <c r="AB1324" t="s">
        <v>193</v>
      </c>
      <c r="AC1324" t="s">
        <v>109</v>
      </c>
    </row>
    <row r="1325" spans="1:29">
      <c r="A1325" t="s">
        <v>1741</v>
      </c>
      <c r="B1325" s="2">
        <v>46195</v>
      </c>
      <c r="C1325" t="s">
        <v>30</v>
      </c>
      <c r="D1325" t="s">
        <v>49</v>
      </c>
      <c r="E1325" t="s">
        <v>120</v>
      </c>
      <c r="F1325" t="s">
        <v>121</v>
      </c>
      <c r="G1325" t="s">
        <v>420</v>
      </c>
      <c r="H1325" t="s">
        <v>300</v>
      </c>
      <c r="I1325" t="s">
        <v>527</v>
      </c>
      <c r="J1325" t="s">
        <v>3110</v>
      </c>
      <c r="K1325" t="s">
        <v>56</v>
      </c>
      <c r="L1325" t="s">
        <v>55</v>
      </c>
      <c r="M1325" t="s">
        <v>39</v>
      </c>
      <c r="N1325" t="s">
        <v>57</v>
      </c>
      <c r="O1325" s="4">
        <v>3</v>
      </c>
      <c r="P1325" s="4">
        <v>10</v>
      </c>
      <c r="Q1325" t="s">
        <v>107</v>
      </c>
      <c r="R1325" s="2">
        <v>46193</v>
      </c>
      <c r="S1325" s="4">
        <v>10</v>
      </c>
      <c r="T1325" s="3">
        <v>401000000</v>
      </c>
      <c r="U1325" t="s">
        <v>42</v>
      </c>
      <c r="V1325" t="s">
        <v>43</v>
      </c>
      <c r="W1325" t="s">
        <v>60</v>
      </c>
      <c r="Y1325" t="s">
        <v>72</v>
      </c>
      <c r="Z1325" t="s">
        <v>3177</v>
      </c>
      <c r="AA1325" t="s">
        <v>97</v>
      </c>
      <c r="AB1325" t="s">
        <v>63</v>
      </c>
      <c r="AC1325" t="s">
        <v>97</v>
      </c>
    </row>
    <row r="1326" spans="1:29">
      <c r="A1326" t="s">
        <v>1742</v>
      </c>
      <c r="B1326" s="2">
        <v>46179</v>
      </c>
      <c r="C1326" t="s">
        <v>30</v>
      </c>
      <c r="D1326" t="s">
        <v>134</v>
      </c>
      <c r="E1326" t="s">
        <v>152</v>
      </c>
      <c r="F1326" t="s">
        <v>221</v>
      </c>
      <c r="G1326" t="s">
        <v>206</v>
      </c>
      <c r="H1326" t="s">
        <v>283</v>
      </c>
      <c r="I1326" t="s">
        <v>393</v>
      </c>
      <c r="J1326" t="s">
        <v>3072</v>
      </c>
      <c r="K1326" t="s">
        <v>105</v>
      </c>
      <c r="L1326" t="s">
        <v>187</v>
      </c>
      <c r="M1326" t="s">
        <v>81</v>
      </c>
      <c r="N1326" t="s">
        <v>213</v>
      </c>
      <c r="O1326" s="4">
        <v>6</v>
      </c>
      <c r="P1326" s="4">
        <v>9</v>
      </c>
      <c r="Q1326" t="s">
        <v>58</v>
      </c>
      <c r="R1326" s="2">
        <v>46179</v>
      </c>
      <c r="S1326" s="4">
        <v>24</v>
      </c>
      <c r="T1326" s="3">
        <v>182000000</v>
      </c>
      <c r="U1326" t="s">
        <v>214</v>
      </c>
      <c r="V1326" t="s">
        <v>70</v>
      </c>
      <c r="W1326" t="s">
        <v>248</v>
      </c>
      <c r="Y1326" t="s">
        <v>249</v>
      </c>
      <c r="Z1326" t="s">
        <v>3179</v>
      </c>
      <c r="AA1326" t="s">
        <v>159</v>
      </c>
      <c r="AB1326" t="s">
        <v>97</v>
      </c>
      <c r="AC1326" t="s">
        <v>159</v>
      </c>
    </row>
    <row r="1327" spans="1:29">
      <c r="A1327" t="s">
        <v>1743</v>
      </c>
      <c r="B1327" s="2">
        <v>46203</v>
      </c>
      <c r="C1327" t="s">
        <v>30</v>
      </c>
      <c r="D1327" t="s">
        <v>31</v>
      </c>
      <c r="E1327" t="s">
        <v>100</v>
      </c>
      <c r="F1327" t="s">
        <v>146</v>
      </c>
      <c r="G1327" t="s">
        <v>313</v>
      </c>
      <c r="H1327" t="s">
        <v>148</v>
      </c>
      <c r="I1327" t="s">
        <v>315</v>
      </c>
      <c r="J1327" t="s">
        <v>3049</v>
      </c>
      <c r="K1327" t="s">
        <v>37</v>
      </c>
      <c r="L1327" t="s">
        <v>150</v>
      </c>
      <c r="M1327" t="s">
        <v>81</v>
      </c>
      <c r="N1327" t="s">
        <v>213</v>
      </c>
      <c r="O1327" s="4">
        <v>6</v>
      </c>
      <c r="P1327" s="4">
        <v>20</v>
      </c>
      <c r="Q1327" t="s">
        <v>58</v>
      </c>
      <c r="R1327" s="2">
        <v>46197</v>
      </c>
      <c r="S1327" s="4">
        <v>6</v>
      </c>
      <c r="T1327" s="3">
        <v>169000000</v>
      </c>
      <c r="U1327" t="s">
        <v>214</v>
      </c>
      <c r="V1327" t="s">
        <v>70</v>
      </c>
      <c r="W1327" t="s">
        <v>390</v>
      </c>
      <c r="Y1327" t="s">
        <v>249</v>
      </c>
      <c r="Z1327" t="s">
        <v>3179</v>
      </c>
      <c r="AA1327" t="s">
        <v>109</v>
      </c>
      <c r="AB1327" t="s">
        <v>97</v>
      </c>
      <c r="AC1327" t="s">
        <v>109</v>
      </c>
    </row>
    <row r="1328" spans="1:29">
      <c r="A1328" t="s">
        <v>1744</v>
      </c>
      <c r="B1328" s="2">
        <v>46189</v>
      </c>
      <c r="C1328" t="s">
        <v>30</v>
      </c>
      <c r="D1328" t="s">
        <v>74</v>
      </c>
      <c r="E1328" t="s">
        <v>32</v>
      </c>
      <c r="F1328" t="s">
        <v>256</v>
      </c>
      <c r="G1328" t="s">
        <v>463</v>
      </c>
      <c r="H1328" t="s">
        <v>258</v>
      </c>
      <c r="I1328" t="s">
        <v>1008</v>
      </c>
      <c r="J1328" t="s">
        <v>3170</v>
      </c>
      <c r="K1328" t="s">
        <v>105</v>
      </c>
      <c r="L1328" t="s">
        <v>150</v>
      </c>
      <c r="M1328" t="s">
        <v>106</v>
      </c>
      <c r="N1328" t="s">
        <v>82</v>
      </c>
      <c r="O1328" s="4">
        <v>1</v>
      </c>
      <c r="P1328" s="4">
        <v>5</v>
      </c>
      <c r="Q1328" t="s">
        <v>83</v>
      </c>
      <c r="R1328" s="2">
        <v>46181</v>
      </c>
      <c r="S1328" s="4">
        <v>22</v>
      </c>
      <c r="T1328" s="3">
        <v>139000000</v>
      </c>
      <c r="U1328" t="s">
        <v>42</v>
      </c>
      <c r="V1328" t="s">
        <v>59</v>
      </c>
      <c r="W1328" t="s">
        <v>84</v>
      </c>
      <c r="Y1328" t="s">
        <v>305</v>
      </c>
      <c r="Z1328" t="s">
        <v>3178</v>
      </c>
      <c r="AA1328" t="s">
        <v>46</v>
      </c>
      <c r="AB1328" t="s">
        <v>87</v>
      </c>
      <c r="AC1328" t="s">
        <v>46</v>
      </c>
    </row>
    <row r="1329" spans="1:29">
      <c r="A1329" t="s">
        <v>1745</v>
      </c>
      <c r="B1329" s="2">
        <v>46178</v>
      </c>
      <c r="C1329" t="s">
        <v>30</v>
      </c>
      <c r="D1329" t="s">
        <v>134</v>
      </c>
      <c r="E1329" t="s">
        <v>50</v>
      </c>
      <c r="F1329" t="s">
        <v>351</v>
      </c>
      <c r="G1329" t="s">
        <v>234</v>
      </c>
      <c r="H1329" t="s">
        <v>66</v>
      </c>
      <c r="I1329" t="s">
        <v>902</v>
      </c>
      <c r="J1329" t="s">
        <v>3165</v>
      </c>
      <c r="K1329" t="s">
        <v>105</v>
      </c>
      <c r="L1329" t="s">
        <v>187</v>
      </c>
      <c r="M1329" t="s">
        <v>56</v>
      </c>
      <c r="N1329" t="s">
        <v>57</v>
      </c>
      <c r="O1329" s="4">
        <v>3</v>
      </c>
      <c r="P1329" s="4">
        <v>12</v>
      </c>
      <c r="Q1329" t="s">
        <v>83</v>
      </c>
      <c r="R1329" s="2">
        <v>46174</v>
      </c>
      <c r="S1329" s="4">
        <v>29</v>
      </c>
      <c r="T1329" s="3">
        <v>288000000</v>
      </c>
      <c r="U1329" t="s">
        <v>42</v>
      </c>
      <c r="V1329" t="s">
        <v>59</v>
      </c>
      <c r="W1329" t="s">
        <v>71</v>
      </c>
      <c r="Y1329" t="s">
        <v>158</v>
      </c>
      <c r="Z1329" t="s">
        <v>3180</v>
      </c>
      <c r="AA1329" t="s">
        <v>62</v>
      </c>
      <c r="AB1329" t="s">
        <v>193</v>
      </c>
      <c r="AC1329" t="s">
        <v>62</v>
      </c>
    </row>
    <row r="1330" spans="1:29">
      <c r="A1330" t="s">
        <v>1746</v>
      </c>
      <c r="B1330" s="2">
        <v>46182</v>
      </c>
      <c r="C1330" t="s">
        <v>30</v>
      </c>
      <c r="D1330" t="s">
        <v>99</v>
      </c>
      <c r="E1330" t="s">
        <v>152</v>
      </c>
      <c r="F1330" t="s">
        <v>153</v>
      </c>
      <c r="G1330" t="s">
        <v>286</v>
      </c>
      <c r="H1330" t="s">
        <v>283</v>
      </c>
      <c r="I1330" t="s">
        <v>474</v>
      </c>
      <c r="J1330" t="s">
        <v>3098</v>
      </c>
      <c r="K1330" t="s">
        <v>92</v>
      </c>
      <c r="L1330" t="s">
        <v>187</v>
      </c>
      <c r="M1330" t="s">
        <v>164</v>
      </c>
      <c r="N1330" t="s">
        <v>57</v>
      </c>
      <c r="O1330" s="4">
        <v>3</v>
      </c>
      <c r="P1330" s="4">
        <v>21</v>
      </c>
      <c r="Q1330" t="s">
        <v>138</v>
      </c>
      <c r="R1330" s="2">
        <v>46182</v>
      </c>
      <c r="S1330" s="4">
        <v>21</v>
      </c>
      <c r="T1330" s="3">
        <v>213000000</v>
      </c>
      <c r="U1330" t="s">
        <v>42</v>
      </c>
      <c r="V1330" t="s">
        <v>59</v>
      </c>
      <c r="W1330" t="s">
        <v>60</v>
      </c>
      <c r="Y1330" t="s">
        <v>165</v>
      </c>
      <c r="Z1330" t="s">
        <v>3180</v>
      </c>
      <c r="AA1330" t="s">
        <v>159</v>
      </c>
      <c r="AB1330" t="s">
        <v>193</v>
      </c>
      <c r="AC1330" t="s">
        <v>159</v>
      </c>
    </row>
    <row r="1331" spans="1:29">
      <c r="A1331" t="s">
        <v>1747</v>
      </c>
      <c r="B1331" s="2">
        <v>46176</v>
      </c>
      <c r="C1331" t="s">
        <v>30</v>
      </c>
      <c r="D1331" t="s">
        <v>134</v>
      </c>
      <c r="E1331" t="s">
        <v>50</v>
      </c>
      <c r="F1331" t="s">
        <v>51</v>
      </c>
      <c r="G1331" t="s">
        <v>52</v>
      </c>
      <c r="H1331" t="s">
        <v>53</v>
      </c>
      <c r="I1331" t="s">
        <v>368</v>
      </c>
      <c r="J1331" t="s">
        <v>3064</v>
      </c>
      <c r="K1331" t="s">
        <v>105</v>
      </c>
      <c r="L1331" t="s">
        <v>150</v>
      </c>
      <c r="M1331" t="s">
        <v>81</v>
      </c>
      <c r="N1331" t="s">
        <v>196</v>
      </c>
      <c r="O1331" s="4">
        <v>7</v>
      </c>
      <c r="P1331" s="4">
        <v>15</v>
      </c>
      <c r="Q1331" t="s">
        <v>69</v>
      </c>
      <c r="R1331" s="2">
        <v>46166</v>
      </c>
      <c r="S1331" s="4">
        <v>37</v>
      </c>
      <c r="T1331" s="3">
        <v>328000000</v>
      </c>
      <c r="U1331" t="s">
        <v>196</v>
      </c>
      <c r="V1331" t="s">
        <v>70</v>
      </c>
      <c r="W1331" t="s">
        <v>243</v>
      </c>
      <c r="Y1331" t="s">
        <v>369</v>
      </c>
      <c r="Z1331" t="s">
        <v>3181</v>
      </c>
      <c r="AA1331" t="s">
        <v>62</v>
      </c>
      <c r="AB1331" t="s">
        <v>199</v>
      </c>
      <c r="AC1331" t="s">
        <v>62</v>
      </c>
    </row>
    <row r="1332" spans="1:29">
      <c r="A1332" t="s">
        <v>1748</v>
      </c>
      <c r="B1332" s="2">
        <v>46190</v>
      </c>
      <c r="C1332" t="s">
        <v>30</v>
      </c>
      <c r="D1332" t="s">
        <v>74</v>
      </c>
      <c r="E1332" t="s">
        <v>50</v>
      </c>
      <c r="F1332" t="s">
        <v>351</v>
      </c>
      <c r="G1332" t="s">
        <v>234</v>
      </c>
      <c r="H1332" t="s">
        <v>66</v>
      </c>
      <c r="I1332" t="s">
        <v>280</v>
      </c>
      <c r="J1332" t="s">
        <v>3040</v>
      </c>
      <c r="K1332" t="s">
        <v>56</v>
      </c>
      <c r="L1332" t="s">
        <v>55</v>
      </c>
      <c r="M1332" t="s">
        <v>129</v>
      </c>
      <c r="N1332" t="s">
        <v>130</v>
      </c>
      <c r="O1332" s="4">
        <v>5</v>
      </c>
      <c r="P1332" s="4">
        <v>10</v>
      </c>
      <c r="Q1332" t="s">
        <v>69</v>
      </c>
      <c r="R1332" s="2">
        <v>46190</v>
      </c>
      <c r="S1332" s="4">
        <v>13</v>
      </c>
      <c r="T1332" s="3">
        <v>467000000</v>
      </c>
      <c r="U1332" t="s">
        <v>42</v>
      </c>
      <c r="V1332" t="s">
        <v>70</v>
      </c>
      <c r="W1332" t="s">
        <v>144</v>
      </c>
      <c r="X1332" t="s">
        <v>117</v>
      </c>
      <c r="Y1332" t="s">
        <v>262</v>
      </c>
      <c r="Z1332" t="s">
        <v>3179</v>
      </c>
      <c r="AA1332" t="s">
        <v>62</v>
      </c>
      <c r="AB1332" t="s">
        <v>97</v>
      </c>
      <c r="AC1332" t="s">
        <v>62</v>
      </c>
    </row>
    <row r="1333" spans="1:29">
      <c r="A1333" t="s">
        <v>1749</v>
      </c>
      <c r="B1333" s="2">
        <v>46200</v>
      </c>
      <c r="C1333" t="s">
        <v>30</v>
      </c>
      <c r="D1333" t="s">
        <v>49</v>
      </c>
      <c r="E1333" t="s">
        <v>172</v>
      </c>
      <c r="F1333" t="s">
        <v>277</v>
      </c>
      <c r="G1333" t="s">
        <v>289</v>
      </c>
      <c r="H1333" t="s">
        <v>175</v>
      </c>
      <c r="I1333" t="s">
        <v>602</v>
      </c>
      <c r="J1333" t="s">
        <v>3129</v>
      </c>
      <c r="K1333" t="s">
        <v>37</v>
      </c>
      <c r="L1333" t="s">
        <v>55</v>
      </c>
      <c r="M1333" t="s">
        <v>39</v>
      </c>
      <c r="N1333" t="s">
        <v>94</v>
      </c>
      <c r="O1333" s="4">
        <v>4</v>
      </c>
      <c r="P1333" s="4">
        <v>4</v>
      </c>
      <c r="Q1333" t="s">
        <v>107</v>
      </c>
      <c r="R1333" s="2">
        <v>46194</v>
      </c>
      <c r="S1333" s="4">
        <v>9</v>
      </c>
      <c r="T1333" s="3">
        <v>239000000</v>
      </c>
      <c r="U1333" t="s">
        <v>42</v>
      </c>
      <c r="V1333" t="s">
        <v>59</v>
      </c>
      <c r="W1333" t="s">
        <v>95</v>
      </c>
      <c r="Y1333" t="s">
        <v>108</v>
      </c>
      <c r="Z1333" t="s">
        <v>3179</v>
      </c>
      <c r="AA1333" t="s">
        <v>181</v>
      </c>
      <c r="AB1333" t="s">
        <v>97</v>
      </c>
      <c r="AC1333" t="s">
        <v>181</v>
      </c>
    </row>
    <row r="1334" spans="1:29">
      <c r="A1334" t="s">
        <v>1750</v>
      </c>
      <c r="B1334" s="2">
        <v>46200</v>
      </c>
      <c r="C1334" t="s">
        <v>30</v>
      </c>
      <c r="D1334" t="s">
        <v>49</v>
      </c>
      <c r="E1334" t="s">
        <v>32</v>
      </c>
      <c r="F1334" t="s">
        <v>273</v>
      </c>
      <c r="G1334" t="s">
        <v>257</v>
      </c>
      <c r="H1334" t="s">
        <v>303</v>
      </c>
      <c r="I1334" t="s">
        <v>464</v>
      </c>
      <c r="J1334" t="s">
        <v>3095</v>
      </c>
      <c r="K1334" t="s">
        <v>37</v>
      </c>
      <c r="L1334" t="s">
        <v>38</v>
      </c>
      <c r="M1334" t="s">
        <v>129</v>
      </c>
      <c r="N1334" t="s">
        <v>57</v>
      </c>
      <c r="O1334" s="4">
        <v>3</v>
      </c>
      <c r="P1334" s="4">
        <v>1</v>
      </c>
      <c r="Q1334" t="s">
        <v>41</v>
      </c>
      <c r="R1334" s="2">
        <v>46196</v>
      </c>
      <c r="S1334" s="4">
        <v>7</v>
      </c>
      <c r="T1334" s="3">
        <v>126000000</v>
      </c>
      <c r="U1334" t="s">
        <v>42</v>
      </c>
      <c r="V1334" t="s">
        <v>59</v>
      </c>
      <c r="W1334" t="s">
        <v>71</v>
      </c>
      <c r="Y1334" t="s">
        <v>61</v>
      </c>
      <c r="Z1334" t="s">
        <v>3177</v>
      </c>
      <c r="AA1334" t="s">
        <v>46</v>
      </c>
      <c r="AB1334" t="s">
        <v>63</v>
      </c>
      <c r="AC1334" t="s">
        <v>46</v>
      </c>
    </row>
    <row r="1335" spans="1:29">
      <c r="A1335" t="s">
        <v>1751</v>
      </c>
      <c r="B1335" s="2">
        <v>46200</v>
      </c>
      <c r="C1335" t="s">
        <v>30</v>
      </c>
      <c r="D1335" t="s">
        <v>49</v>
      </c>
      <c r="E1335" t="s">
        <v>111</v>
      </c>
      <c r="F1335" t="s">
        <v>112</v>
      </c>
      <c r="G1335" t="s">
        <v>126</v>
      </c>
      <c r="H1335" t="s">
        <v>114</v>
      </c>
      <c r="I1335" t="s">
        <v>988</v>
      </c>
      <c r="J1335" t="s">
        <v>3168</v>
      </c>
      <c r="K1335" t="s">
        <v>56</v>
      </c>
      <c r="L1335" t="s">
        <v>80</v>
      </c>
      <c r="M1335" t="s">
        <v>81</v>
      </c>
      <c r="N1335" t="s">
        <v>82</v>
      </c>
      <c r="O1335" s="4">
        <v>1</v>
      </c>
      <c r="P1335" s="4">
        <v>11</v>
      </c>
      <c r="Q1335" t="s">
        <v>41</v>
      </c>
      <c r="R1335" s="2">
        <v>46199</v>
      </c>
      <c r="S1335" s="4">
        <v>4</v>
      </c>
      <c r="T1335" s="3">
        <v>274000000</v>
      </c>
      <c r="U1335" t="s">
        <v>42</v>
      </c>
      <c r="V1335" t="s">
        <v>43</v>
      </c>
      <c r="W1335" t="s">
        <v>290</v>
      </c>
      <c r="Y1335" t="s">
        <v>330</v>
      </c>
      <c r="Z1335" t="s">
        <v>3178</v>
      </c>
      <c r="AA1335" t="s">
        <v>118</v>
      </c>
      <c r="AB1335" t="s">
        <v>87</v>
      </c>
      <c r="AC1335" t="s">
        <v>118</v>
      </c>
    </row>
    <row r="1336" spans="1:29">
      <c r="A1336" t="s">
        <v>1752</v>
      </c>
      <c r="B1336" s="2">
        <v>46195</v>
      </c>
      <c r="C1336" t="s">
        <v>30</v>
      </c>
      <c r="D1336" t="s">
        <v>49</v>
      </c>
      <c r="E1336" t="s">
        <v>172</v>
      </c>
      <c r="F1336" t="s">
        <v>195</v>
      </c>
      <c r="G1336" t="s">
        <v>338</v>
      </c>
      <c r="H1336" t="s">
        <v>317</v>
      </c>
      <c r="I1336" t="s">
        <v>756</v>
      </c>
      <c r="J1336" t="s">
        <v>3152</v>
      </c>
      <c r="K1336" t="s">
        <v>105</v>
      </c>
      <c r="L1336" t="s">
        <v>38</v>
      </c>
      <c r="M1336" t="s">
        <v>39</v>
      </c>
      <c r="N1336" t="s">
        <v>57</v>
      </c>
      <c r="O1336" s="4">
        <v>3</v>
      </c>
      <c r="P1336" s="4">
        <v>8</v>
      </c>
      <c r="Q1336" t="s">
        <v>58</v>
      </c>
      <c r="R1336" s="2">
        <v>46185</v>
      </c>
      <c r="S1336" s="4">
        <v>18</v>
      </c>
      <c r="T1336" s="3">
        <v>291000000</v>
      </c>
      <c r="U1336" t="s">
        <v>42</v>
      </c>
      <c r="V1336" t="s">
        <v>59</v>
      </c>
      <c r="W1336" t="s">
        <v>60</v>
      </c>
      <c r="Y1336" t="s">
        <v>158</v>
      </c>
      <c r="Z1336" t="s">
        <v>3177</v>
      </c>
      <c r="AA1336" t="s">
        <v>181</v>
      </c>
      <c r="AB1336" t="s">
        <v>63</v>
      </c>
      <c r="AC1336" t="s">
        <v>181</v>
      </c>
    </row>
    <row r="1337" spans="1:29">
      <c r="A1337" t="s">
        <v>1753</v>
      </c>
      <c r="B1337" s="2">
        <v>46183</v>
      </c>
      <c r="C1337" t="s">
        <v>30</v>
      </c>
      <c r="D1337" t="s">
        <v>99</v>
      </c>
      <c r="E1337" t="s">
        <v>32</v>
      </c>
      <c r="F1337" t="s">
        <v>256</v>
      </c>
      <c r="G1337" t="s">
        <v>463</v>
      </c>
      <c r="H1337" t="s">
        <v>258</v>
      </c>
      <c r="I1337" t="s">
        <v>259</v>
      </c>
      <c r="J1337" t="s">
        <v>3036</v>
      </c>
      <c r="K1337" t="s">
        <v>37</v>
      </c>
      <c r="L1337" t="s">
        <v>150</v>
      </c>
      <c r="M1337" t="s">
        <v>81</v>
      </c>
      <c r="N1337" t="s">
        <v>94</v>
      </c>
      <c r="O1337" s="4">
        <v>4</v>
      </c>
      <c r="P1337" s="4">
        <v>4</v>
      </c>
      <c r="Q1337" t="s">
        <v>107</v>
      </c>
      <c r="R1337" s="2">
        <v>46183</v>
      </c>
      <c r="S1337" s="4">
        <v>20</v>
      </c>
      <c r="T1337" s="3">
        <v>119000000</v>
      </c>
      <c r="U1337" t="s">
        <v>42</v>
      </c>
      <c r="V1337" t="s">
        <v>70</v>
      </c>
      <c r="W1337" t="s">
        <v>95</v>
      </c>
      <c r="X1337" t="s">
        <v>117</v>
      </c>
      <c r="Y1337" t="s">
        <v>108</v>
      </c>
      <c r="Z1337" t="s">
        <v>3179</v>
      </c>
      <c r="AA1337" t="s">
        <v>46</v>
      </c>
      <c r="AB1337" t="s">
        <v>97</v>
      </c>
      <c r="AC1337" t="s">
        <v>46</v>
      </c>
    </row>
    <row r="1338" spans="1:29">
      <c r="A1338" t="s">
        <v>1754</v>
      </c>
      <c r="B1338" s="2">
        <v>46176</v>
      </c>
      <c r="C1338" t="s">
        <v>30</v>
      </c>
      <c r="D1338" t="s">
        <v>134</v>
      </c>
      <c r="E1338" t="s">
        <v>75</v>
      </c>
      <c r="F1338" t="s">
        <v>76</v>
      </c>
      <c r="G1338" t="s">
        <v>387</v>
      </c>
      <c r="H1338" t="s">
        <v>388</v>
      </c>
      <c r="I1338" t="s">
        <v>576</v>
      </c>
      <c r="J1338" t="s">
        <v>3123</v>
      </c>
      <c r="K1338" t="s">
        <v>56</v>
      </c>
      <c r="L1338" t="s">
        <v>68</v>
      </c>
      <c r="M1338" t="s">
        <v>93</v>
      </c>
      <c r="N1338" t="s">
        <v>57</v>
      </c>
      <c r="O1338" s="4">
        <v>3</v>
      </c>
      <c r="P1338" s="4">
        <v>8</v>
      </c>
      <c r="Q1338" t="s">
        <v>83</v>
      </c>
      <c r="R1338" s="2">
        <v>46169</v>
      </c>
      <c r="S1338" s="4">
        <v>34</v>
      </c>
      <c r="T1338" s="3">
        <v>110000000</v>
      </c>
      <c r="U1338" t="s">
        <v>42</v>
      </c>
      <c r="V1338" t="s">
        <v>59</v>
      </c>
      <c r="W1338" t="s">
        <v>203</v>
      </c>
      <c r="Y1338" t="s">
        <v>72</v>
      </c>
      <c r="Z1338" t="s">
        <v>3177</v>
      </c>
      <c r="AA1338" t="s">
        <v>86</v>
      </c>
      <c r="AB1338" t="s">
        <v>63</v>
      </c>
      <c r="AC1338" t="s">
        <v>86</v>
      </c>
    </row>
    <row r="1339" spans="1:29">
      <c r="A1339" t="s">
        <v>1755</v>
      </c>
      <c r="B1339" s="2">
        <v>46182</v>
      </c>
      <c r="C1339" t="s">
        <v>30</v>
      </c>
      <c r="D1339" t="s">
        <v>99</v>
      </c>
      <c r="E1339" t="s">
        <v>32</v>
      </c>
      <c r="F1339" t="s">
        <v>273</v>
      </c>
      <c r="G1339" t="s">
        <v>257</v>
      </c>
      <c r="H1339" t="s">
        <v>258</v>
      </c>
      <c r="I1339" t="s">
        <v>1756</v>
      </c>
      <c r="J1339" t="s">
        <v>3175</v>
      </c>
      <c r="K1339" t="s">
        <v>56</v>
      </c>
      <c r="L1339" t="s">
        <v>80</v>
      </c>
      <c r="M1339" t="s">
        <v>39</v>
      </c>
      <c r="N1339" t="s">
        <v>57</v>
      </c>
      <c r="O1339" s="4">
        <v>3</v>
      </c>
      <c r="P1339" s="4">
        <v>1</v>
      </c>
      <c r="Q1339" t="s">
        <v>41</v>
      </c>
      <c r="R1339" s="2">
        <v>46177</v>
      </c>
      <c r="S1339" s="4">
        <v>26</v>
      </c>
      <c r="T1339" s="3">
        <v>410000000</v>
      </c>
      <c r="U1339" t="s">
        <v>42</v>
      </c>
      <c r="V1339" t="s">
        <v>59</v>
      </c>
      <c r="W1339" t="s">
        <v>203</v>
      </c>
      <c r="Y1339" t="s">
        <v>72</v>
      </c>
      <c r="Z1339" t="s">
        <v>3177</v>
      </c>
      <c r="AA1339" t="s">
        <v>46</v>
      </c>
      <c r="AB1339" t="s">
        <v>63</v>
      </c>
      <c r="AC1339" t="s">
        <v>46</v>
      </c>
    </row>
    <row r="1340" spans="1:29">
      <c r="A1340" t="s">
        <v>1757</v>
      </c>
      <c r="B1340" s="2">
        <v>46195</v>
      </c>
      <c r="C1340" t="s">
        <v>30</v>
      </c>
      <c r="D1340" t="s">
        <v>49</v>
      </c>
      <c r="E1340" t="s">
        <v>111</v>
      </c>
      <c r="F1340" t="s">
        <v>112</v>
      </c>
      <c r="G1340" t="s">
        <v>126</v>
      </c>
      <c r="H1340" t="s">
        <v>191</v>
      </c>
      <c r="I1340" t="s">
        <v>578</v>
      </c>
      <c r="J1340" t="s">
        <v>3124</v>
      </c>
      <c r="K1340" t="s">
        <v>37</v>
      </c>
      <c r="L1340" t="s">
        <v>80</v>
      </c>
      <c r="M1340" t="s">
        <v>56</v>
      </c>
      <c r="N1340" t="s">
        <v>196</v>
      </c>
      <c r="O1340" s="4">
        <v>7</v>
      </c>
      <c r="P1340" s="4">
        <v>16</v>
      </c>
      <c r="Q1340" t="s">
        <v>69</v>
      </c>
      <c r="R1340" s="2">
        <v>46189</v>
      </c>
      <c r="S1340" s="4">
        <v>14</v>
      </c>
      <c r="T1340" s="3">
        <v>275000000</v>
      </c>
      <c r="U1340" t="s">
        <v>232</v>
      </c>
      <c r="V1340" t="s">
        <v>70</v>
      </c>
      <c r="W1340" t="s">
        <v>243</v>
      </c>
      <c r="Y1340" t="s">
        <v>369</v>
      </c>
      <c r="Z1340" t="s">
        <v>3181</v>
      </c>
      <c r="AA1340" t="s">
        <v>118</v>
      </c>
      <c r="AB1340" t="s">
        <v>199</v>
      </c>
      <c r="AC1340" t="s">
        <v>118</v>
      </c>
    </row>
    <row r="1341" spans="1:29">
      <c r="A1341" t="s">
        <v>1758</v>
      </c>
      <c r="B1341" s="2">
        <v>46195</v>
      </c>
      <c r="C1341" t="s">
        <v>30</v>
      </c>
      <c r="D1341" t="s">
        <v>49</v>
      </c>
      <c r="E1341" t="s">
        <v>32</v>
      </c>
      <c r="F1341" t="s">
        <v>256</v>
      </c>
      <c r="G1341" t="s">
        <v>34</v>
      </c>
      <c r="H1341" t="s">
        <v>35</v>
      </c>
      <c r="I1341" t="s">
        <v>36</v>
      </c>
      <c r="J1341" t="s">
        <v>3008</v>
      </c>
      <c r="K1341" t="s">
        <v>37</v>
      </c>
      <c r="L1341" t="s">
        <v>68</v>
      </c>
      <c r="M1341" t="s">
        <v>39</v>
      </c>
      <c r="N1341" t="s">
        <v>57</v>
      </c>
      <c r="O1341" s="4">
        <v>3</v>
      </c>
      <c r="P1341" s="4">
        <v>2</v>
      </c>
      <c r="Q1341" t="s">
        <v>58</v>
      </c>
      <c r="R1341" s="2">
        <v>46188</v>
      </c>
      <c r="S1341" s="4">
        <v>15</v>
      </c>
      <c r="T1341" s="3">
        <v>258000000</v>
      </c>
      <c r="U1341" t="s">
        <v>177</v>
      </c>
      <c r="V1341" t="s">
        <v>43</v>
      </c>
      <c r="W1341" t="s">
        <v>157</v>
      </c>
      <c r="X1341" t="s">
        <v>520</v>
      </c>
      <c r="Y1341" t="s">
        <v>61</v>
      </c>
      <c r="Z1341" t="s">
        <v>3177</v>
      </c>
      <c r="AA1341" t="s">
        <v>46</v>
      </c>
      <c r="AB1341" t="s">
        <v>63</v>
      </c>
      <c r="AC1341" t="s">
        <v>46</v>
      </c>
    </row>
    <row r="1342" spans="1:29">
      <c r="A1342" t="s">
        <v>1759</v>
      </c>
      <c r="B1342" s="2">
        <v>46202</v>
      </c>
      <c r="C1342" t="s">
        <v>30</v>
      </c>
      <c r="D1342" t="s">
        <v>31</v>
      </c>
      <c r="E1342" t="s">
        <v>32</v>
      </c>
      <c r="F1342" t="s">
        <v>33</v>
      </c>
      <c r="G1342" t="s">
        <v>361</v>
      </c>
      <c r="H1342" t="s">
        <v>258</v>
      </c>
      <c r="I1342" t="s">
        <v>259</v>
      </c>
      <c r="J1342" t="s">
        <v>3036</v>
      </c>
      <c r="K1342" t="s">
        <v>56</v>
      </c>
      <c r="L1342" t="s">
        <v>187</v>
      </c>
      <c r="M1342" t="s">
        <v>106</v>
      </c>
      <c r="N1342" t="s">
        <v>94</v>
      </c>
      <c r="O1342" s="4">
        <v>4</v>
      </c>
      <c r="P1342" s="4">
        <v>6</v>
      </c>
      <c r="Q1342" t="s">
        <v>41</v>
      </c>
      <c r="R1342" s="2">
        <v>46195</v>
      </c>
      <c r="S1342" s="4">
        <v>8</v>
      </c>
      <c r="T1342" s="3">
        <v>438000000</v>
      </c>
      <c r="U1342" t="s">
        <v>42</v>
      </c>
      <c r="V1342" t="s">
        <v>143</v>
      </c>
      <c r="W1342" t="s">
        <v>188</v>
      </c>
      <c r="Y1342" t="s">
        <v>108</v>
      </c>
      <c r="Z1342" t="s">
        <v>3179</v>
      </c>
      <c r="AA1342" t="s">
        <v>46</v>
      </c>
      <c r="AB1342" t="s">
        <v>97</v>
      </c>
      <c r="AC1342" t="s">
        <v>46</v>
      </c>
    </row>
    <row r="1343" spans="1:29">
      <c r="A1343" t="s">
        <v>1760</v>
      </c>
      <c r="B1343" s="2">
        <v>46199</v>
      </c>
      <c r="C1343" t="s">
        <v>30</v>
      </c>
      <c r="D1343" t="s">
        <v>49</v>
      </c>
      <c r="E1343" t="s">
        <v>172</v>
      </c>
      <c r="F1343" t="s">
        <v>173</v>
      </c>
      <c r="G1343" t="s">
        <v>338</v>
      </c>
      <c r="H1343" t="s">
        <v>317</v>
      </c>
      <c r="I1343" t="s">
        <v>1124</v>
      </c>
      <c r="J1343" t="s">
        <v>3173</v>
      </c>
      <c r="K1343" t="s">
        <v>105</v>
      </c>
      <c r="L1343" t="s">
        <v>55</v>
      </c>
      <c r="M1343" t="s">
        <v>93</v>
      </c>
      <c r="N1343" t="s">
        <v>213</v>
      </c>
      <c r="O1343" s="4">
        <v>6</v>
      </c>
      <c r="P1343" s="4">
        <v>7</v>
      </c>
      <c r="Q1343" t="s">
        <v>107</v>
      </c>
      <c r="R1343" s="2">
        <v>46197</v>
      </c>
      <c r="S1343" s="4">
        <v>6</v>
      </c>
      <c r="T1343" s="3">
        <v>104000000</v>
      </c>
      <c r="U1343" t="s">
        <v>214</v>
      </c>
      <c r="V1343" t="s">
        <v>143</v>
      </c>
      <c r="W1343" t="s">
        <v>390</v>
      </c>
      <c r="Y1343" t="s">
        <v>424</v>
      </c>
      <c r="Z1343" t="s">
        <v>3179</v>
      </c>
      <c r="AA1343" t="s">
        <v>181</v>
      </c>
      <c r="AB1343" t="s">
        <v>97</v>
      </c>
      <c r="AC1343" t="s">
        <v>181</v>
      </c>
    </row>
    <row r="1344" spans="1:29">
      <c r="A1344" t="s">
        <v>1761</v>
      </c>
      <c r="B1344" s="2">
        <v>46190</v>
      </c>
      <c r="C1344" t="s">
        <v>30</v>
      </c>
      <c r="D1344" t="s">
        <v>74</v>
      </c>
      <c r="E1344" t="s">
        <v>152</v>
      </c>
      <c r="F1344" t="s">
        <v>221</v>
      </c>
      <c r="G1344" t="s">
        <v>294</v>
      </c>
      <c r="H1344" t="s">
        <v>207</v>
      </c>
      <c r="I1344" t="s">
        <v>571</v>
      </c>
      <c r="J1344" t="s">
        <v>3122</v>
      </c>
      <c r="K1344" t="s">
        <v>116</v>
      </c>
      <c r="L1344" t="s">
        <v>68</v>
      </c>
      <c r="M1344" t="s">
        <v>39</v>
      </c>
      <c r="N1344" t="s">
        <v>57</v>
      </c>
      <c r="O1344" s="4">
        <v>3</v>
      </c>
      <c r="P1344" s="4">
        <v>13</v>
      </c>
      <c r="Q1344" t="s">
        <v>107</v>
      </c>
      <c r="R1344" s="2">
        <v>46183</v>
      </c>
      <c r="S1344" s="4">
        <v>20</v>
      </c>
      <c r="T1344" s="3">
        <v>110000000</v>
      </c>
      <c r="U1344" t="s">
        <v>42</v>
      </c>
      <c r="V1344" t="s">
        <v>43</v>
      </c>
      <c r="W1344" t="s">
        <v>157</v>
      </c>
      <c r="Y1344" t="s">
        <v>165</v>
      </c>
      <c r="Z1344" t="s">
        <v>3180</v>
      </c>
      <c r="AA1344" t="s">
        <v>159</v>
      </c>
      <c r="AB1344" t="s">
        <v>193</v>
      </c>
      <c r="AC1344" t="s">
        <v>159</v>
      </c>
    </row>
    <row r="1345" spans="1:29">
      <c r="A1345" t="s">
        <v>1762</v>
      </c>
      <c r="B1345" s="2">
        <v>46196</v>
      </c>
      <c r="C1345" t="s">
        <v>30</v>
      </c>
      <c r="D1345" t="s">
        <v>49</v>
      </c>
      <c r="E1345" t="s">
        <v>75</v>
      </c>
      <c r="F1345" t="s">
        <v>76</v>
      </c>
      <c r="G1345" t="s">
        <v>162</v>
      </c>
      <c r="H1345" t="s">
        <v>185</v>
      </c>
      <c r="I1345" t="s">
        <v>354</v>
      </c>
      <c r="J1345" t="s">
        <v>3061</v>
      </c>
      <c r="K1345" t="s">
        <v>116</v>
      </c>
      <c r="L1345" t="s">
        <v>55</v>
      </c>
      <c r="M1345" t="s">
        <v>129</v>
      </c>
      <c r="N1345" t="s">
        <v>57</v>
      </c>
      <c r="O1345" s="4">
        <v>3</v>
      </c>
      <c r="P1345" s="4">
        <v>7</v>
      </c>
      <c r="Q1345" t="s">
        <v>58</v>
      </c>
      <c r="R1345" s="2">
        <v>46187</v>
      </c>
      <c r="S1345" s="4">
        <v>16</v>
      </c>
      <c r="T1345" s="3">
        <v>102000000</v>
      </c>
      <c r="U1345" t="s">
        <v>42</v>
      </c>
      <c r="V1345" t="s">
        <v>43</v>
      </c>
      <c r="W1345" t="s">
        <v>157</v>
      </c>
      <c r="Y1345" t="s">
        <v>61</v>
      </c>
      <c r="Z1345" t="s">
        <v>3177</v>
      </c>
      <c r="AA1345" t="s">
        <v>86</v>
      </c>
      <c r="AB1345" t="s">
        <v>63</v>
      </c>
      <c r="AC1345" t="s">
        <v>86</v>
      </c>
    </row>
    <row r="1346" spans="1:29">
      <c r="A1346" t="s">
        <v>1763</v>
      </c>
      <c r="B1346" s="2">
        <v>46178</v>
      </c>
      <c r="C1346" t="s">
        <v>30</v>
      </c>
      <c r="D1346" t="s">
        <v>134</v>
      </c>
      <c r="E1346" t="s">
        <v>152</v>
      </c>
      <c r="F1346" t="s">
        <v>153</v>
      </c>
      <c r="G1346" t="s">
        <v>294</v>
      </c>
      <c r="H1346" t="s">
        <v>155</v>
      </c>
      <c r="I1346" t="s">
        <v>375</v>
      </c>
      <c r="J1346" t="s">
        <v>3067</v>
      </c>
      <c r="K1346" t="s">
        <v>37</v>
      </c>
      <c r="L1346" t="s">
        <v>38</v>
      </c>
      <c r="M1346" t="s">
        <v>129</v>
      </c>
      <c r="N1346" t="s">
        <v>130</v>
      </c>
      <c r="O1346" s="4">
        <v>5</v>
      </c>
      <c r="P1346" s="4">
        <v>8</v>
      </c>
      <c r="Q1346" t="s">
        <v>107</v>
      </c>
      <c r="R1346" s="2">
        <v>46175</v>
      </c>
      <c r="S1346" s="4">
        <v>28</v>
      </c>
      <c r="T1346" s="3">
        <v>203000000</v>
      </c>
      <c r="U1346" t="s">
        <v>42</v>
      </c>
      <c r="V1346" t="s">
        <v>143</v>
      </c>
      <c r="W1346" t="s">
        <v>252</v>
      </c>
      <c r="Y1346" t="s">
        <v>262</v>
      </c>
      <c r="Z1346" t="s">
        <v>3179</v>
      </c>
      <c r="AA1346" t="s">
        <v>159</v>
      </c>
      <c r="AB1346" t="s">
        <v>97</v>
      </c>
      <c r="AC1346" t="s">
        <v>159</v>
      </c>
    </row>
    <row r="1347" spans="1:29">
      <c r="A1347" t="s">
        <v>1764</v>
      </c>
      <c r="B1347" s="2">
        <v>46196</v>
      </c>
      <c r="C1347" t="s">
        <v>30</v>
      </c>
      <c r="D1347" t="s">
        <v>49</v>
      </c>
      <c r="E1347" t="s">
        <v>172</v>
      </c>
      <c r="F1347" t="s">
        <v>173</v>
      </c>
      <c r="G1347" t="s">
        <v>476</v>
      </c>
      <c r="H1347" t="s">
        <v>241</v>
      </c>
      <c r="I1347" t="s">
        <v>559</v>
      </c>
      <c r="J1347" t="s">
        <v>3119</v>
      </c>
      <c r="K1347" t="s">
        <v>92</v>
      </c>
      <c r="L1347" t="s">
        <v>169</v>
      </c>
      <c r="M1347" t="s">
        <v>39</v>
      </c>
      <c r="N1347" t="s">
        <v>130</v>
      </c>
      <c r="O1347" s="4">
        <v>5</v>
      </c>
      <c r="P1347" s="4">
        <v>6</v>
      </c>
      <c r="Q1347" t="s">
        <v>83</v>
      </c>
      <c r="R1347" s="2">
        <v>46189</v>
      </c>
      <c r="S1347" s="4">
        <v>14</v>
      </c>
      <c r="T1347" s="3">
        <v>232000000</v>
      </c>
      <c r="U1347" t="s">
        <v>42</v>
      </c>
      <c r="V1347" t="s">
        <v>143</v>
      </c>
      <c r="W1347" t="s">
        <v>252</v>
      </c>
      <c r="Y1347" t="s">
        <v>132</v>
      </c>
      <c r="Z1347" t="s">
        <v>3179</v>
      </c>
      <c r="AA1347" t="s">
        <v>181</v>
      </c>
      <c r="AB1347" t="s">
        <v>97</v>
      </c>
      <c r="AC1347" t="s">
        <v>181</v>
      </c>
    </row>
    <row r="1348" spans="1:29">
      <c r="A1348" t="s">
        <v>1765</v>
      </c>
      <c r="B1348" s="2">
        <v>46186</v>
      </c>
      <c r="C1348" t="s">
        <v>30</v>
      </c>
      <c r="D1348" t="s">
        <v>99</v>
      </c>
      <c r="E1348" t="s">
        <v>152</v>
      </c>
      <c r="F1348" t="s">
        <v>153</v>
      </c>
      <c r="G1348" t="s">
        <v>294</v>
      </c>
      <c r="H1348" t="s">
        <v>155</v>
      </c>
      <c r="I1348" t="s">
        <v>418</v>
      </c>
      <c r="J1348" t="s">
        <v>3079</v>
      </c>
      <c r="K1348" t="s">
        <v>37</v>
      </c>
      <c r="L1348" t="s">
        <v>38</v>
      </c>
      <c r="M1348" t="s">
        <v>106</v>
      </c>
      <c r="N1348" t="s">
        <v>94</v>
      </c>
      <c r="O1348" s="4">
        <v>4</v>
      </c>
      <c r="P1348" s="4">
        <v>8</v>
      </c>
      <c r="Q1348" t="s">
        <v>83</v>
      </c>
      <c r="R1348" s="2">
        <v>46180</v>
      </c>
      <c r="S1348" s="4">
        <v>23</v>
      </c>
      <c r="T1348" s="3">
        <v>151000000</v>
      </c>
      <c r="U1348" t="s">
        <v>42</v>
      </c>
      <c r="V1348" t="s">
        <v>59</v>
      </c>
      <c r="W1348" t="s">
        <v>188</v>
      </c>
      <c r="Y1348" t="s">
        <v>228</v>
      </c>
      <c r="Z1348" t="s">
        <v>3179</v>
      </c>
      <c r="AA1348" t="s">
        <v>159</v>
      </c>
      <c r="AB1348" t="s">
        <v>97</v>
      </c>
      <c r="AC1348" t="s">
        <v>159</v>
      </c>
    </row>
    <row r="1349" spans="1:29">
      <c r="A1349" t="s">
        <v>1766</v>
      </c>
      <c r="B1349" s="2">
        <v>46190</v>
      </c>
      <c r="C1349" t="s">
        <v>30</v>
      </c>
      <c r="D1349" t="s">
        <v>74</v>
      </c>
      <c r="E1349" t="s">
        <v>75</v>
      </c>
      <c r="F1349" t="s">
        <v>76</v>
      </c>
      <c r="G1349" t="s">
        <v>184</v>
      </c>
      <c r="H1349" t="s">
        <v>78</v>
      </c>
      <c r="I1349" t="s">
        <v>810</v>
      </c>
      <c r="J1349" t="s">
        <v>3157</v>
      </c>
      <c r="K1349" t="s">
        <v>92</v>
      </c>
      <c r="L1349" t="s">
        <v>169</v>
      </c>
      <c r="M1349" t="s">
        <v>81</v>
      </c>
      <c r="N1349" t="s">
        <v>196</v>
      </c>
      <c r="O1349" s="4">
        <v>7</v>
      </c>
      <c r="P1349" s="4">
        <v>14</v>
      </c>
      <c r="Q1349" t="s">
        <v>107</v>
      </c>
      <c r="R1349" s="2">
        <v>46182</v>
      </c>
      <c r="S1349" s="4">
        <v>21</v>
      </c>
      <c r="T1349" s="3">
        <v>59000000</v>
      </c>
      <c r="U1349" t="s">
        <v>564</v>
      </c>
      <c r="V1349" t="s">
        <v>70</v>
      </c>
      <c r="W1349" t="s">
        <v>243</v>
      </c>
      <c r="Y1349" t="s">
        <v>198</v>
      </c>
      <c r="Z1349" t="s">
        <v>3181</v>
      </c>
      <c r="AA1349" t="s">
        <v>86</v>
      </c>
      <c r="AB1349" t="s">
        <v>199</v>
      </c>
      <c r="AC1349" t="s">
        <v>86</v>
      </c>
    </row>
    <row r="1350" spans="1:29">
      <c r="A1350" t="s">
        <v>1767</v>
      </c>
      <c r="B1350" s="2">
        <v>46200</v>
      </c>
      <c r="C1350" t="s">
        <v>30</v>
      </c>
      <c r="D1350" t="s">
        <v>49</v>
      </c>
      <c r="E1350" t="s">
        <v>50</v>
      </c>
      <c r="F1350" t="s">
        <v>51</v>
      </c>
      <c r="G1350" t="s">
        <v>270</v>
      </c>
      <c r="H1350" t="s">
        <v>66</v>
      </c>
      <c r="I1350" t="s">
        <v>346</v>
      </c>
      <c r="J1350" t="s">
        <v>3058</v>
      </c>
      <c r="K1350" t="s">
        <v>116</v>
      </c>
      <c r="L1350" t="s">
        <v>38</v>
      </c>
      <c r="M1350" t="s">
        <v>93</v>
      </c>
      <c r="N1350" t="s">
        <v>196</v>
      </c>
      <c r="O1350" s="4">
        <v>7</v>
      </c>
      <c r="P1350" s="4">
        <v>13</v>
      </c>
      <c r="Q1350" t="s">
        <v>41</v>
      </c>
      <c r="R1350" s="2">
        <v>46192</v>
      </c>
      <c r="S1350" s="4">
        <v>11</v>
      </c>
      <c r="T1350" s="3">
        <v>46000000</v>
      </c>
      <c r="U1350" t="s">
        <v>196</v>
      </c>
      <c r="V1350" t="s">
        <v>70</v>
      </c>
      <c r="W1350" t="s">
        <v>675</v>
      </c>
      <c r="Y1350" t="s">
        <v>369</v>
      </c>
      <c r="Z1350" t="s">
        <v>3181</v>
      </c>
      <c r="AA1350" t="s">
        <v>62</v>
      </c>
      <c r="AB1350" t="s">
        <v>199</v>
      </c>
      <c r="AC1350" t="s">
        <v>62</v>
      </c>
    </row>
    <row r="1351" spans="1:29">
      <c r="A1351" t="s">
        <v>1768</v>
      </c>
      <c r="B1351" s="2">
        <v>46201</v>
      </c>
      <c r="C1351" t="s">
        <v>30</v>
      </c>
      <c r="D1351" t="s">
        <v>49</v>
      </c>
      <c r="E1351" t="s">
        <v>75</v>
      </c>
      <c r="F1351" t="s">
        <v>161</v>
      </c>
      <c r="G1351" t="s">
        <v>162</v>
      </c>
      <c r="H1351" t="s">
        <v>185</v>
      </c>
      <c r="I1351" t="s">
        <v>428</v>
      </c>
      <c r="J1351" t="s">
        <v>3081</v>
      </c>
      <c r="K1351" t="s">
        <v>105</v>
      </c>
      <c r="L1351" t="s">
        <v>150</v>
      </c>
      <c r="M1351" t="s">
        <v>106</v>
      </c>
      <c r="N1351" t="s">
        <v>40</v>
      </c>
      <c r="O1351" s="4">
        <v>2</v>
      </c>
      <c r="P1351" s="4">
        <v>7</v>
      </c>
      <c r="Q1351" t="s">
        <v>83</v>
      </c>
      <c r="R1351" s="2">
        <v>46199</v>
      </c>
      <c r="S1351" s="4">
        <v>4</v>
      </c>
      <c r="T1351" s="3">
        <v>60000000</v>
      </c>
      <c r="U1351" t="s">
        <v>42</v>
      </c>
      <c r="V1351" t="s">
        <v>43</v>
      </c>
      <c r="W1351" t="s">
        <v>298</v>
      </c>
      <c r="Y1351" t="s">
        <v>180</v>
      </c>
      <c r="Z1351" t="s">
        <v>3178</v>
      </c>
      <c r="AA1351" t="s">
        <v>86</v>
      </c>
      <c r="AB1351" t="s">
        <v>87</v>
      </c>
      <c r="AC1351" t="s">
        <v>86</v>
      </c>
    </row>
    <row r="1352" spans="1:29">
      <c r="A1352" t="s">
        <v>1769</v>
      </c>
      <c r="B1352" s="2">
        <v>46174</v>
      </c>
      <c r="C1352" t="s">
        <v>30</v>
      </c>
      <c r="D1352" t="s">
        <v>134</v>
      </c>
      <c r="E1352" t="s">
        <v>75</v>
      </c>
      <c r="F1352" t="s">
        <v>183</v>
      </c>
      <c r="G1352" t="s">
        <v>77</v>
      </c>
      <c r="H1352" t="s">
        <v>388</v>
      </c>
      <c r="I1352" t="s">
        <v>630</v>
      </c>
      <c r="J1352" t="s">
        <v>3135</v>
      </c>
      <c r="K1352" t="s">
        <v>105</v>
      </c>
      <c r="L1352" t="s">
        <v>38</v>
      </c>
      <c r="M1352" t="s">
        <v>93</v>
      </c>
      <c r="N1352" t="s">
        <v>94</v>
      </c>
      <c r="O1352" s="4">
        <v>4</v>
      </c>
      <c r="P1352" s="4">
        <v>13</v>
      </c>
      <c r="Q1352" t="s">
        <v>58</v>
      </c>
      <c r="R1352" s="2">
        <v>46171</v>
      </c>
      <c r="S1352" s="4">
        <v>32</v>
      </c>
      <c r="T1352" s="3">
        <v>313000000</v>
      </c>
      <c r="U1352" t="s">
        <v>42</v>
      </c>
      <c r="V1352" t="s">
        <v>70</v>
      </c>
      <c r="W1352" t="s">
        <v>170</v>
      </c>
      <c r="X1352" t="s">
        <v>117</v>
      </c>
      <c r="Y1352" t="s">
        <v>268</v>
      </c>
      <c r="Z1352" t="s">
        <v>3179</v>
      </c>
      <c r="AA1352" t="s">
        <v>86</v>
      </c>
      <c r="AB1352" t="s">
        <v>97</v>
      </c>
      <c r="AC1352" t="s">
        <v>86</v>
      </c>
    </row>
    <row r="1353" spans="1:29">
      <c r="A1353" t="s">
        <v>1770</v>
      </c>
      <c r="B1353" s="2">
        <v>46179</v>
      </c>
      <c r="C1353" t="s">
        <v>30</v>
      </c>
      <c r="D1353" t="s">
        <v>134</v>
      </c>
      <c r="E1353" t="s">
        <v>100</v>
      </c>
      <c r="F1353" t="s">
        <v>140</v>
      </c>
      <c r="G1353" t="s">
        <v>147</v>
      </c>
      <c r="H1353" t="s">
        <v>148</v>
      </c>
      <c r="I1353" t="s">
        <v>315</v>
      </c>
      <c r="J1353" t="s">
        <v>3049</v>
      </c>
      <c r="K1353" t="s">
        <v>92</v>
      </c>
      <c r="L1353" t="s">
        <v>68</v>
      </c>
      <c r="M1353" t="s">
        <v>93</v>
      </c>
      <c r="N1353" t="s">
        <v>57</v>
      </c>
      <c r="O1353" s="4">
        <v>3</v>
      </c>
      <c r="P1353" s="4">
        <v>8</v>
      </c>
      <c r="Q1353" t="s">
        <v>41</v>
      </c>
      <c r="R1353" s="2">
        <v>46176</v>
      </c>
      <c r="S1353" s="4">
        <v>27</v>
      </c>
      <c r="T1353" s="3">
        <v>170000000</v>
      </c>
      <c r="U1353" t="s">
        <v>42</v>
      </c>
      <c r="V1353" t="s">
        <v>43</v>
      </c>
      <c r="W1353" t="s">
        <v>60</v>
      </c>
      <c r="Y1353" t="s">
        <v>165</v>
      </c>
      <c r="Z1353" t="s">
        <v>3177</v>
      </c>
      <c r="AA1353" t="s">
        <v>109</v>
      </c>
      <c r="AB1353" t="s">
        <v>63</v>
      </c>
      <c r="AC1353" t="s">
        <v>109</v>
      </c>
    </row>
    <row r="1354" spans="1:29">
      <c r="A1354" t="s">
        <v>1771</v>
      </c>
      <c r="B1354" s="2">
        <v>46203</v>
      </c>
      <c r="C1354" t="s">
        <v>30</v>
      </c>
      <c r="D1354" t="s">
        <v>31</v>
      </c>
      <c r="E1354" t="s">
        <v>152</v>
      </c>
      <c r="F1354" t="s">
        <v>221</v>
      </c>
      <c r="G1354" t="s">
        <v>154</v>
      </c>
      <c r="H1354" t="s">
        <v>207</v>
      </c>
      <c r="I1354" t="s">
        <v>773</v>
      </c>
      <c r="J1354" t="s">
        <v>3153</v>
      </c>
      <c r="K1354" t="s">
        <v>56</v>
      </c>
      <c r="L1354" t="s">
        <v>38</v>
      </c>
      <c r="M1354" t="s">
        <v>129</v>
      </c>
      <c r="N1354" t="s">
        <v>82</v>
      </c>
      <c r="O1354" s="4">
        <v>1</v>
      </c>
      <c r="P1354" s="4">
        <v>6</v>
      </c>
      <c r="Q1354" t="s">
        <v>107</v>
      </c>
      <c r="R1354" s="2">
        <v>46196</v>
      </c>
      <c r="S1354" s="4">
        <v>7</v>
      </c>
      <c r="T1354" s="3">
        <v>168000000</v>
      </c>
      <c r="U1354" t="s">
        <v>42</v>
      </c>
      <c r="V1354" t="s">
        <v>43</v>
      </c>
      <c r="W1354" t="s">
        <v>290</v>
      </c>
      <c r="Y1354" t="s">
        <v>85</v>
      </c>
      <c r="Z1354" t="s">
        <v>3178</v>
      </c>
      <c r="AA1354" t="s">
        <v>159</v>
      </c>
      <c r="AB1354" t="s">
        <v>87</v>
      </c>
      <c r="AC1354" t="s">
        <v>159</v>
      </c>
    </row>
    <row r="1355" spans="1:29">
      <c r="A1355" t="s">
        <v>1772</v>
      </c>
      <c r="B1355" s="2">
        <v>46199</v>
      </c>
      <c r="C1355" t="s">
        <v>30</v>
      </c>
      <c r="D1355" t="s">
        <v>49</v>
      </c>
      <c r="E1355" t="s">
        <v>120</v>
      </c>
      <c r="F1355" t="s">
        <v>121</v>
      </c>
      <c r="G1355" t="s">
        <v>224</v>
      </c>
      <c r="H1355" t="s">
        <v>123</v>
      </c>
      <c r="I1355" t="s">
        <v>336</v>
      </c>
      <c r="J1355" t="s">
        <v>3055</v>
      </c>
      <c r="K1355" t="s">
        <v>37</v>
      </c>
      <c r="L1355" t="s">
        <v>38</v>
      </c>
      <c r="M1355" t="s">
        <v>129</v>
      </c>
      <c r="N1355" t="s">
        <v>130</v>
      </c>
      <c r="O1355" s="4">
        <v>5</v>
      </c>
      <c r="P1355" s="4">
        <v>12</v>
      </c>
      <c r="Q1355" t="s">
        <v>138</v>
      </c>
      <c r="R1355" s="2">
        <v>46190</v>
      </c>
      <c r="S1355" s="4">
        <v>13</v>
      </c>
      <c r="T1355" s="3">
        <v>150000000</v>
      </c>
      <c r="U1355" t="s">
        <v>42</v>
      </c>
      <c r="V1355" t="s">
        <v>143</v>
      </c>
      <c r="W1355" t="s">
        <v>252</v>
      </c>
      <c r="Y1355" t="s">
        <v>254</v>
      </c>
      <c r="Z1355" t="s">
        <v>3179</v>
      </c>
      <c r="AA1355" t="s">
        <v>97</v>
      </c>
      <c r="AB1355" t="s">
        <v>97</v>
      </c>
      <c r="AC1355" t="s">
        <v>97</v>
      </c>
    </row>
    <row r="1356" spans="1:29">
      <c r="A1356" t="s">
        <v>1773</v>
      </c>
      <c r="B1356" s="2">
        <v>46193</v>
      </c>
      <c r="C1356" t="s">
        <v>30</v>
      </c>
      <c r="D1356" t="s">
        <v>74</v>
      </c>
      <c r="E1356" t="s">
        <v>75</v>
      </c>
      <c r="F1356" t="s">
        <v>161</v>
      </c>
      <c r="G1356" t="s">
        <v>77</v>
      </c>
      <c r="H1356" t="s">
        <v>388</v>
      </c>
      <c r="I1356" t="s">
        <v>409</v>
      </c>
      <c r="J1356" t="s">
        <v>3076</v>
      </c>
      <c r="K1356" t="s">
        <v>105</v>
      </c>
      <c r="L1356" t="s">
        <v>55</v>
      </c>
      <c r="M1356" t="s">
        <v>81</v>
      </c>
      <c r="N1356" t="s">
        <v>40</v>
      </c>
      <c r="O1356" s="4">
        <v>2</v>
      </c>
      <c r="P1356" s="4">
        <v>6</v>
      </c>
      <c r="Q1356" t="s">
        <v>138</v>
      </c>
      <c r="R1356" s="2">
        <v>46192</v>
      </c>
      <c r="S1356" s="4">
        <v>11</v>
      </c>
      <c r="T1356" s="3">
        <v>233000000</v>
      </c>
      <c r="U1356" t="s">
        <v>42</v>
      </c>
      <c r="V1356" t="s">
        <v>43</v>
      </c>
      <c r="W1356" t="s">
        <v>239</v>
      </c>
      <c r="Y1356" t="s">
        <v>45</v>
      </c>
      <c r="Z1356" t="s">
        <v>3178</v>
      </c>
      <c r="AA1356" t="s">
        <v>86</v>
      </c>
      <c r="AB1356" t="s">
        <v>87</v>
      </c>
      <c r="AC1356" t="s">
        <v>86</v>
      </c>
    </row>
    <row r="1357" spans="1:29">
      <c r="A1357" t="s">
        <v>1774</v>
      </c>
      <c r="B1357" s="2">
        <v>46191</v>
      </c>
      <c r="C1357" t="s">
        <v>30</v>
      </c>
      <c r="D1357" t="s">
        <v>74</v>
      </c>
      <c r="E1357" t="s">
        <v>100</v>
      </c>
      <c r="F1357" t="s">
        <v>140</v>
      </c>
      <c r="G1357" t="s">
        <v>313</v>
      </c>
      <c r="H1357" t="s">
        <v>201</v>
      </c>
      <c r="I1357" t="s">
        <v>202</v>
      </c>
      <c r="J1357" t="s">
        <v>3026</v>
      </c>
      <c r="K1357" t="s">
        <v>37</v>
      </c>
      <c r="L1357" t="s">
        <v>169</v>
      </c>
      <c r="M1357" t="s">
        <v>56</v>
      </c>
      <c r="N1357" t="s">
        <v>94</v>
      </c>
      <c r="O1357" s="4">
        <v>4</v>
      </c>
      <c r="P1357" s="4">
        <v>14</v>
      </c>
      <c r="Q1357" t="s">
        <v>83</v>
      </c>
      <c r="R1357" s="2">
        <v>46182</v>
      </c>
      <c r="S1357" s="4">
        <v>21</v>
      </c>
      <c r="T1357" s="3">
        <v>102000000</v>
      </c>
      <c r="U1357" t="s">
        <v>426</v>
      </c>
      <c r="V1357" t="s">
        <v>59</v>
      </c>
      <c r="W1357" t="s">
        <v>95</v>
      </c>
      <c r="X1357" t="s">
        <v>381</v>
      </c>
      <c r="Y1357" t="s">
        <v>108</v>
      </c>
      <c r="Z1357" t="s">
        <v>3179</v>
      </c>
      <c r="AA1357" t="s">
        <v>109</v>
      </c>
      <c r="AB1357" t="s">
        <v>97</v>
      </c>
      <c r="AC1357" t="s">
        <v>109</v>
      </c>
    </row>
    <row r="1358" spans="1:29">
      <c r="A1358" t="s">
        <v>1775</v>
      </c>
      <c r="B1358" s="2">
        <v>46176</v>
      </c>
      <c r="C1358" t="s">
        <v>30</v>
      </c>
      <c r="D1358" t="s">
        <v>134</v>
      </c>
      <c r="E1358" t="s">
        <v>32</v>
      </c>
      <c r="F1358" t="s">
        <v>256</v>
      </c>
      <c r="G1358" t="s">
        <v>463</v>
      </c>
      <c r="H1358" t="s">
        <v>35</v>
      </c>
      <c r="I1358" t="s">
        <v>219</v>
      </c>
      <c r="J1358" t="s">
        <v>3028</v>
      </c>
      <c r="K1358" t="s">
        <v>105</v>
      </c>
      <c r="L1358" t="s">
        <v>68</v>
      </c>
      <c r="M1358" t="s">
        <v>164</v>
      </c>
      <c r="N1358" t="s">
        <v>130</v>
      </c>
      <c r="O1358" s="4">
        <v>5</v>
      </c>
      <c r="P1358" s="4">
        <v>7</v>
      </c>
      <c r="Q1358" t="s">
        <v>41</v>
      </c>
      <c r="R1358" s="2">
        <v>46176</v>
      </c>
      <c r="S1358" s="4">
        <v>27</v>
      </c>
      <c r="T1358" s="3">
        <v>124000000</v>
      </c>
      <c r="U1358" t="s">
        <v>42</v>
      </c>
      <c r="V1358" t="s">
        <v>70</v>
      </c>
      <c r="W1358" t="s">
        <v>355</v>
      </c>
      <c r="Y1358" t="s">
        <v>334</v>
      </c>
      <c r="Z1358" t="s">
        <v>3179</v>
      </c>
      <c r="AA1358" t="s">
        <v>46</v>
      </c>
      <c r="AB1358" t="s">
        <v>97</v>
      </c>
      <c r="AC1358" t="s">
        <v>46</v>
      </c>
    </row>
    <row r="1359" spans="1:29">
      <c r="A1359" t="s">
        <v>1776</v>
      </c>
      <c r="B1359" s="2">
        <v>46195</v>
      </c>
      <c r="C1359" t="s">
        <v>30</v>
      </c>
      <c r="D1359" t="s">
        <v>49</v>
      </c>
      <c r="E1359" t="s">
        <v>32</v>
      </c>
      <c r="F1359" t="s">
        <v>33</v>
      </c>
      <c r="G1359" t="s">
        <v>463</v>
      </c>
      <c r="H1359" t="s">
        <v>258</v>
      </c>
      <c r="I1359" t="s">
        <v>593</v>
      </c>
      <c r="J1359" t="s">
        <v>3127</v>
      </c>
      <c r="K1359" t="s">
        <v>92</v>
      </c>
      <c r="L1359" t="s">
        <v>38</v>
      </c>
      <c r="M1359" t="s">
        <v>39</v>
      </c>
      <c r="N1359" t="s">
        <v>40</v>
      </c>
      <c r="O1359" s="4">
        <v>2</v>
      </c>
      <c r="P1359" s="4">
        <v>3</v>
      </c>
      <c r="Q1359" t="s">
        <v>138</v>
      </c>
      <c r="R1359" s="2">
        <v>46191</v>
      </c>
      <c r="S1359" s="4">
        <v>12</v>
      </c>
      <c r="T1359" s="3">
        <v>135000000</v>
      </c>
      <c r="U1359" t="s">
        <v>42</v>
      </c>
      <c r="V1359" t="s">
        <v>43</v>
      </c>
      <c r="W1359" t="s">
        <v>298</v>
      </c>
      <c r="Y1359" t="s">
        <v>309</v>
      </c>
      <c r="Z1359" t="s">
        <v>3176</v>
      </c>
      <c r="AA1359" t="s">
        <v>46</v>
      </c>
      <c r="AB1359" t="s">
        <v>47</v>
      </c>
      <c r="AC1359" t="s">
        <v>46</v>
      </c>
    </row>
    <row r="1360" spans="1:29">
      <c r="A1360" t="s">
        <v>1777</v>
      </c>
      <c r="B1360" s="2">
        <v>46193</v>
      </c>
      <c r="C1360" t="s">
        <v>30</v>
      </c>
      <c r="D1360" t="s">
        <v>74</v>
      </c>
      <c r="E1360" t="s">
        <v>152</v>
      </c>
      <c r="F1360" t="s">
        <v>153</v>
      </c>
      <c r="G1360" t="s">
        <v>328</v>
      </c>
      <c r="H1360" t="s">
        <v>283</v>
      </c>
      <c r="I1360" t="s">
        <v>663</v>
      </c>
      <c r="J1360" t="s">
        <v>3145</v>
      </c>
      <c r="K1360" t="s">
        <v>105</v>
      </c>
      <c r="L1360" t="s">
        <v>38</v>
      </c>
      <c r="M1360" t="s">
        <v>39</v>
      </c>
      <c r="N1360" t="s">
        <v>130</v>
      </c>
      <c r="O1360" s="4">
        <v>5</v>
      </c>
      <c r="P1360" s="4">
        <v>10</v>
      </c>
      <c r="Q1360" t="s">
        <v>107</v>
      </c>
      <c r="R1360" s="2">
        <v>46188</v>
      </c>
      <c r="S1360" s="4">
        <v>15</v>
      </c>
      <c r="T1360" s="3">
        <v>132000000</v>
      </c>
      <c r="U1360" t="s">
        <v>42</v>
      </c>
      <c r="V1360" t="s">
        <v>70</v>
      </c>
      <c r="W1360" t="s">
        <v>144</v>
      </c>
      <c r="X1360" t="s">
        <v>117</v>
      </c>
      <c r="Y1360" t="s">
        <v>132</v>
      </c>
      <c r="Z1360" t="s">
        <v>3179</v>
      </c>
      <c r="AA1360" t="s">
        <v>159</v>
      </c>
      <c r="AB1360" t="s">
        <v>97</v>
      </c>
      <c r="AC1360" t="s">
        <v>159</v>
      </c>
    </row>
    <row r="1361" spans="1:29">
      <c r="A1361" t="s">
        <v>1778</v>
      </c>
      <c r="B1361" s="2">
        <v>46185</v>
      </c>
      <c r="C1361" t="s">
        <v>30</v>
      </c>
      <c r="D1361" t="s">
        <v>99</v>
      </c>
      <c r="E1361" t="s">
        <v>100</v>
      </c>
      <c r="F1361" t="s">
        <v>146</v>
      </c>
      <c r="G1361" t="s">
        <v>237</v>
      </c>
      <c r="H1361" t="s">
        <v>148</v>
      </c>
      <c r="I1361" t="s">
        <v>315</v>
      </c>
      <c r="J1361" t="s">
        <v>3049</v>
      </c>
      <c r="K1361" t="s">
        <v>92</v>
      </c>
      <c r="L1361" t="s">
        <v>80</v>
      </c>
      <c r="M1361" t="s">
        <v>81</v>
      </c>
      <c r="N1361" t="s">
        <v>40</v>
      </c>
      <c r="O1361" s="4">
        <v>2</v>
      </c>
      <c r="P1361" s="4">
        <v>10</v>
      </c>
      <c r="Q1361" t="s">
        <v>83</v>
      </c>
      <c r="R1361" s="2">
        <v>46178</v>
      </c>
      <c r="S1361" s="4">
        <v>25</v>
      </c>
      <c r="T1361" s="3">
        <v>129000000</v>
      </c>
      <c r="U1361" t="s">
        <v>42</v>
      </c>
      <c r="V1361" t="s">
        <v>43</v>
      </c>
      <c r="W1361" t="s">
        <v>239</v>
      </c>
      <c r="Y1361" t="s">
        <v>180</v>
      </c>
      <c r="Z1361" t="s">
        <v>3178</v>
      </c>
      <c r="AA1361" t="s">
        <v>109</v>
      </c>
      <c r="AB1361" t="s">
        <v>87</v>
      </c>
      <c r="AC1361" t="s">
        <v>109</v>
      </c>
    </row>
    <row r="1362" spans="1:29">
      <c r="A1362" t="s">
        <v>1779</v>
      </c>
      <c r="B1362" s="2">
        <v>46201</v>
      </c>
      <c r="C1362" t="s">
        <v>30</v>
      </c>
      <c r="D1362" t="s">
        <v>49</v>
      </c>
      <c r="E1362" t="s">
        <v>100</v>
      </c>
      <c r="F1362" t="s">
        <v>101</v>
      </c>
      <c r="G1362" t="s">
        <v>237</v>
      </c>
      <c r="H1362" t="s">
        <v>201</v>
      </c>
      <c r="I1362" t="s">
        <v>453</v>
      </c>
      <c r="J1362" t="s">
        <v>3090</v>
      </c>
      <c r="K1362" t="s">
        <v>56</v>
      </c>
      <c r="L1362" t="s">
        <v>38</v>
      </c>
      <c r="M1362" t="s">
        <v>106</v>
      </c>
      <c r="N1362" t="s">
        <v>196</v>
      </c>
      <c r="O1362" s="4">
        <v>7</v>
      </c>
      <c r="P1362" s="4">
        <v>13</v>
      </c>
      <c r="Q1362" t="s">
        <v>58</v>
      </c>
      <c r="R1362" s="2">
        <v>46198</v>
      </c>
      <c r="S1362" s="4">
        <v>5</v>
      </c>
      <c r="T1362" s="3">
        <v>268000000</v>
      </c>
      <c r="U1362" t="s">
        <v>564</v>
      </c>
      <c r="V1362" t="s">
        <v>70</v>
      </c>
      <c r="W1362" t="s">
        <v>243</v>
      </c>
      <c r="Y1362" t="s">
        <v>210</v>
      </c>
      <c r="Z1362" t="s">
        <v>3181</v>
      </c>
      <c r="AA1362" t="s">
        <v>109</v>
      </c>
      <c r="AB1362" t="s">
        <v>199</v>
      </c>
      <c r="AC1362" t="s">
        <v>109</v>
      </c>
    </row>
    <row r="1363" spans="1:29">
      <c r="A1363" t="s">
        <v>1780</v>
      </c>
      <c r="B1363" s="2">
        <v>46199</v>
      </c>
      <c r="C1363" t="s">
        <v>30</v>
      </c>
      <c r="D1363" t="s">
        <v>49</v>
      </c>
      <c r="E1363" t="s">
        <v>172</v>
      </c>
      <c r="F1363" t="s">
        <v>173</v>
      </c>
      <c r="G1363" t="s">
        <v>278</v>
      </c>
      <c r="H1363" t="s">
        <v>317</v>
      </c>
      <c r="I1363" t="s">
        <v>318</v>
      </c>
      <c r="J1363" t="s">
        <v>3050</v>
      </c>
      <c r="K1363" t="s">
        <v>37</v>
      </c>
      <c r="L1363" t="s">
        <v>187</v>
      </c>
      <c r="M1363" t="s">
        <v>164</v>
      </c>
      <c r="N1363" t="s">
        <v>94</v>
      </c>
      <c r="O1363" s="4">
        <v>4</v>
      </c>
      <c r="P1363" s="4">
        <v>4</v>
      </c>
      <c r="Q1363" t="s">
        <v>83</v>
      </c>
      <c r="R1363" s="2">
        <v>46198</v>
      </c>
      <c r="S1363" s="4">
        <v>5</v>
      </c>
      <c r="T1363" s="3">
        <v>255000000</v>
      </c>
      <c r="U1363" t="s">
        <v>42</v>
      </c>
      <c r="V1363" t="s">
        <v>70</v>
      </c>
      <c r="W1363" t="s">
        <v>188</v>
      </c>
      <c r="Y1363" t="s">
        <v>96</v>
      </c>
      <c r="Z1363" t="s">
        <v>3179</v>
      </c>
      <c r="AA1363" t="s">
        <v>181</v>
      </c>
      <c r="AB1363" t="s">
        <v>97</v>
      </c>
      <c r="AC1363" t="s">
        <v>181</v>
      </c>
    </row>
    <row r="1364" spans="1:29">
      <c r="A1364" t="s">
        <v>1781</v>
      </c>
      <c r="B1364" s="2">
        <v>46197</v>
      </c>
      <c r="C1364" t="s">
        <v>30</v>
      </c>
      <c r="D1364" t="s">
        <v>49</v>
      </c>
      <c r="E1364" t="s">
        <v>120</v>
      </c>
      <c r="F1364" t="s">
        <v>246</v>
      </c>
      <c r="G1364" t="s">
        <v>122</v>
      </c>
      <c r="H1364" t="s">
        <v>300</v>
      </c>
      <c r="I1364" t="s">
        <v>430</v>
      </c>
      <c r="J1364" t="s">
        <v>3082</v>
      </c>
      <c r="K1364" t="s">
        <v>56</v>
      </c>
      <c r="L1364" t="s">
        <v>150</v>
      </c>
      <c r="M1364" t="s">
        <v>129</v>
      </c>
      <c r="N1364" t="s">
        <v>40</v>
      </c>
      <c r="O1364" s="4">
        <v>2</v>
      </c>
      <c r="P1364" s="4">
        <v>8</v>
      </c>
      <c r="Q1364" t="s">
        <v>83</v>
      </c>
      <c r="R1364" s="2">
        <v>46194</v>
      </c>
      <c r="S1364" s="4">
        <v>9</v>
      </c>
      <c r="T1364" s="3">
        <v>284000000</v>
      </c>
      <c r="U1364" t="s">
        <v>42</v>
      </c>
      <c r="V1364" t="s">
        <v>43</v>
      </c>
      <c r="W1364" t="s">
        <v>298</v>
      </c>
      <c r="Y1364" t="s">
        <v>281</v>
      </c>
      <c r="Z1364" t="s">
        <v>3178</v>
      </c>
      <c r="AA1364" t="s">
        <v>97</v>
      </c>
      <c r="AB1364" t="s">
        <v>87</v>
      </c>
      <c r="AC1364" t="s">
        <v>97</v>
      </c>
    </row>
    <row r="1365" spans="1:29">
      <c r="A1365" t="s">
        <v>1782</v>
      </c>
      <c r="B1365" s="2">
        <v>46176</v>
      </c>
      <c r="C1365" t="s">
        <v>30</v>
      </c>
      <c r="D1365" t="s">
        <v>134</v>
      </c>
      <c r="E1365" t="s">
        <v>100</v>
      </c>
      <c r="F1365" t="s">
        <v>101</v>
      </c>
      <c r="G1365" t="s">
        <v>237</v>
      </c>
      <c r="H1365" t="s">
        <v>201</v>
      </c>
      <c r="I1365" t="s">
        <v>371</v>
      </c>
      <c r="J1365" t="s">
        <v>3065</v>
      </c>
      <c r="K1365" t="s">
        <v>37</v>
      </c>
      <c r="L1365" t="s">
        <v>187</v>
      </c>
      <c r="M1365" t="s">
        <v>93</v>
      </c>
      <c r="N1365" t="s">
        <v>82</v>
      </c>
      <c r="O1365" s="4">
        <v>1</v>
      </c>
      <c r="P1365" s="4">
        <v>14</v>
      </c>
      <c r="Q1365" t="s">
        <v>58</v>
      </c>
      <c r="R1365" s="2">
        <v>46173</v>
      </c>
      <c r="S1365" s="4">
        <v>30</v>
      </c>
      <c r="T1365" s="3">
        <v>120000000</v>
      </c>
      <c r="U1365" t="s">
        <v>42</v>
      </c>
      <c r="V1365" t="s">
        <v>43</v>
      </c>
      <c r="W1365" t="s">
        <v>84</v>
      </c>
      <c r="Y1365" t="s">
        <v>85</v>
      </c>
      <c r="Z1365" t="s">
        <v>3180</v>
      </c>
      <c r="AA1365" t="s">
        <v>109</v>
      </c>
      <c r="AB1365" t="s">
        <v>193</v>
      </c>
      <c r="AC1365" t="s">
        <v>109</v>
      </c>
    </row>
    <row r="1366" spans="1:29">
      <c r="A1366" t="s">
        <v>1783</v>
      </c>
      <c r="B1366" s="2">
        <v>46175</v>
      </c>
      <c r="C1366" t="s">
        <v>30</v>
      </c>
      <c r="D1366" t="s">
        <v>134</v>
      </c>
      <c r="E1366" t="s">
        <v>32</v>
      </c>
      <c r="F1366" t="s">
        <v>33</v>
      </c>
      <c r="G1366" t="s">
        <v>257</v>
      </c>
      <c r="H1366" t="s">
        <v>303</v>
      </c>
      <c r="I1366" t="s">
        <v>483</v>
      </c>
      <c r="J1366" t="s">
        <v>3100</v>
      </c>
      <c r="K1366" t="s">
        <v>92</v>
      </c>
      <c r="L1366" t="s">
        <v>80</v>
      </c>
      <c r="M1366" t="s">
        <v>129</v>
      </c>
      <c r="N1366" t="s">
        <v>57</v>
      </c>
      <c r="O1366" s="4">
        <v>3</v>
      </c>
      <c r="P1366" s="4">
        <v>2</v>
      </c>
      <c r="Q1366" t="s">
        <v>107</v>
      </c>
      <c r="R1366" s="2">
        <v>46167</v>
      </c>
      <c r="S1366" s="4">
        <v>36</v>
      </c>
      <c r="T1366" s="3">
        <v>103000000</v>
      </c>
      <c r="U1366" t="s">
        <v>42</v>
      </c>
      <c r="V1366" t="s">
        <v>59</v>
      </c>
      <c r="W1366" t="s">
        <v>60</v>
      </c>
      <c r="Y1366" t="s">
        <v>61</v>
      </c>
      <c r="Z1366" t="s">
        <v>3177</v>
      </c>
      <c r="AA1366" t="s">
        <v>46</v>
      </c>
      <c r="AB1366" t="s">
        <v>63</v>
      </c>
      <c r="AC1366" t="s">
        <v>46</v>
      </c>
    </row>
    <row r="1367" spans="1:29">
      <c r="A1367" t="s">
        <v>1784</v>
      </c>
      <c r="B1367" s="2">
        <v>46180</v>
      </c>
      <c r="C1367" t="s">
        <v>30</v>
      </c>
      <c r="D1367" t="s">
        <v>134</v>
      </c>
      <c r="E1367" t="s">
        <v>111</v>
      </c>
      <c r="F1367" t="s">
        <v>264</v>
      </c>
      <c r="G1367" t="s">
        <v>113</v>
      </c>
      <c r="H1367" t="s">
        <v>191</v>
      </c>
      <c r="I1367" t="s">
        <v>643</v>
      </c>
      <c r="J1367" t="s">
        <v>3138</v>
      </c>
      <c r="K1367" t="s">
        <v>92</v>
      </c>
      <c r="L1367" t="s">
        <v>68</v>
      </c>
      <c r="M1367" t="s">
        <v>56</v>
      </c>
      <c r="N1367" t="s">
        <v>40</v>
      </c>
      <c r="O1367" s="4">
        <v>2</v>
      </c>
      <c r="P1367" s="4">
        <v>5</v>
      </c>
      <c r="Q1367" t="s">
        <v>69</v>
      </c>
      <c r="R1367" s="2">
        <v>46172</v>
      </c>
      <c r="S1367" s="4">
        <v>31</v>
      </c>
      <c r="T1367" s="3">
        <v>180000000</v>
      </c>
      <c r="U1367" t="s">
        <v>42</v>
      </c>
      <c r="V1367" t="s">
        <v>43</v>
      </c>
      <c r="W1367" t="s">
        <v>44</v>
      </c>
      <c r="Y1367" t="s">
        <v>281</v>
      </c>
      <c r="Z1367" t="s">
        <v>3178</v>
      </c>
      <c r="AA1367" t="s">
        <v>118</v>
      </c>
      <c r="AB1367" t="s">
        <v>87</v>
      </c>
      <c r="AC1367" t="s">
        <v>118</v>
      </c>
    </row>
    <row r="1368" spans="1:29">
      <c r="A1368" t="s">
        <v>1785</v>
      </c>
      <c r="B1368" s="2">
        <v>46182</v>
      </c>
      <c r="C1368" t="s">
        <v>30</v>
      </c>
      <c r="D1368" t="s">
        <v>99</v>
      </c>
      <c r="E1368" t="s">
        <v>32</v>
      </c>
      <c r="F1368" t="s">
        <v>273</v>
      </c>
      <c r="G1368" t="s">
        <v>218</v>
      </c>
      <c r="H1368" t="s">
        <v>258</v>
      </c>
      <c r="I1368" t="s">
        <v>297</v>
      </c>
      <c r="J1368" t="s">
        <v>3044</v>
      </c>
      <c r="K1368" t="s">
        <v>56</v>
      </c>
      <c r="L1368" t="s">
        <v>55</v>
      </c>
      <c r="M1368" t="s">
        <v>93</v>
      </c>
      <c r="N1368" t="s">
        <v>82</v>
      </c>
      <c r="O1368" s="4">
        <v>1</v>
      </c>
      <c r="P1368" s="4">
        <v>4</v>
      </c>
      <c r="Q1368" t="s">
        <v>41</v>
      </c>
      <c r="R1368" s="2">
        <v>46174</v>
      </c>
      <c r="S1368" s="4">
        <v>29</v>
      </c>
      <c r="T1368" s="3">
        <v>265000000</v>
      </c>
      <c r="U1368" t="s">
        <v>42</v>
      </c>
      <c r="V1368" t="s">
        <v>43</v>
      </c>
      <c r="W1368" t="s">
        <v>290</v>
      </c>
      <c r="Y1368" t="s">
        <v>330</v>
      </c>
      <c r="Z1368" t="s">
        <v>3176</v>
      </c>
      <c r="AA1368" t="s">
        <v>46</v>
      </c>
      <c r="AB1368" t="s">
        <v>47</v>
      </c>
      <c r="AC1368" t="s">
        <v>46</v>
      </c>
    </row>
    <row r="1369" spans="1:29">
      <c r="A1369" t="s">
        <v>1786</v>
      </c>
      <c r="B1369" s="2">
        <v>46190</v>
      </c>
      <c r="C1369" t="s">
        <v>30</v>
      </c>
      <c r="D1369" t="s">
        <v>74</v>
      </c>
      <c r="E1369" t="s">
        <v>75</v>
      </c>
      <c r="F1369" t="s">
        <v>76</v>
      </c>
      <c r="G1369" t="s">
        <v>77</v>
      </c>
      <c r="H1369" t="s">
        <v>78</v>
      </c>
      <c r="I1369" t="s">
        <v>494</v>
      </c>
      <c r="J1369" t="s">
        <v>3104</v>
      </c>
      <c r="K1369" t="s">
        <v>116</v>
      </c>
      <c r="L1369" t="s">
        <v>150</v>
      </c>
      <c r="M1369" t="s">
        <v>93</v>
      </c>
      <c r="N1369" t="s">
        <v>94</v>
      </c>
      <c r="O1369" s="4">
        <v>4</v>
      </c>
      <c r="P1369" s="4">
        <v>6</v>
      </c>
      <c r="Q1369" t="s">
        <v>41</v>
      </c>
      <c r="R1369" s="2">
        <v>46189</v>
      </c>
      <c r="S1369" s="4">
        <v>14</v>
      </c>
      <c r="T1369" s="3">
        <v>48000000</v>
      </c>
      <c r="U1369" t="s">
        <v>42</v>
      </c>
      <c r="V1369" t="s">
        <v>143</v>
      </c>
      <c r="W1369" t="s">
        <v>95</v>
      </c>
      <c r="X1369" t="s">
        <v>117</v>
      </c>
      <c r="Y1369" t="s">
        <v>96</v>
      </c>
      <c r="Z1369" t="s">
        <v>3179</v>
      </c>
      <c r="AA1369" t="s">
        <v>86</v>
      </c>
      <c r="AB1369" t="s">
        <v>97</v>
      </c>
      <c r="AC1369" t="s">
        <v>86</v>
      </c>
    </row>
    <row r="1370" spans="1:29">
      <c r="A1370" t="s">
        <v>1787</v>
      </c>
      <c r="B1370" s="2">
        <v>46201</v>
      </c>
      <c r="C1370" t="s">
        <v>30</v>
      </c>
      <c r="D1370" t="s">
        <v>49</v>
      </c>
      <c r="E1370" t="s">
        <v>152</v>
      </c>
      <c r="F1370" t="s">
        <v>221</v>
      </c>
      <c r="G1370" t="s">
        <v>294</v>
      </c>
      <c r="H1370" t="s">
        <v>155</v>
      </c>
      <c r="I1370" t="s">
        <v>375</v>
      </c>
      <c r="J1370" t="s">
        <v>3067</v>
      </c>
      <c r="K1370" t="s">
        <v>92</v>
      </c>
      <c r="L1370" t="s">
        <v>80</v>
      </c>
      <c r="M1370" t="s">
        <v>164</v>
      </c>
      <c r="N1370" t="s">
        <v>40</v>
      </c>
      <c r="O1370" s="4">
        <v>2</v>
      </c>
      <c r="P1370" s="4">
        <v>12</v>
      </c>
      <c r="Q1370" t="s">
        <v>69</v>
      </c>
      <c r="R1370" s="2">
        <v>46195</v>
      </c>
      <c r="S1370" s="4">
        <v>8</v>
      </c>
      <c r="T1370" s="3">
        <v>109000000</v>
      </c>
      <c r="U1370" t="s">
        <v>42</v>
      </c>
      <c r="V1370" t="s">
        <v>59</v>
      </c>
      <c r="W1370" t="s">
        <v>239</v>
      </c>
      <c r="Y1370" t="s">
        <v>281</v>
      </c>
      <c r="Z1370" t="s">
        <v>3180</v>
      </c>
      <c r="AA1370" t="s">
        <v>159</v>
      </c>
      <c r="AB1370" t="s">
        <v>193</v>
      </c>
      <c r="AC1370" t="s">
        <v>159</v>
      </c>
    </row>
    <row r="1371" spans="1:29">
      <c r="A1371" t="s">
        <v>1788</v>
      </c>
      <c r="B1371" s="2">
        <v>46179</v>
      </c>
      <c r="C1371" t="s">
        <v>30</v>
      </c>
      <c r="D1371" t="s">
        <v>134</v>
      </c>
      <c r="E1371" t="s">
        <v>100</v>
      </c>
      <c r="F1371" t="s">
        <v>146</v>
      </c>
      <c r="G1371" t="s">
        <v>313</v>
      </c>
      <c r="H1371" t="s">
        <v>201</v>
      </c>
      <c r="I1371" t="s">
        <v>453</v>
      </c>
      <c r="J1371" t="s">
        <v>3090</v>
      </c>
      <c r="K1371" t="s">
        <v>37</v>
      </c>
      <c r="L1371" t="s">
        <v>38</v>
      </c>
      <c r="M1371" t="s">
        <v>93</v>
      </c>
      <c r="N1371" t="s">
        <v>130</v>
      </c>
      <c r="O1371" s="4">
        <v>5</v>
      </c>
      <c r="P1371" s="4">
        <v>14</v>
      </c>
      <c r="Q1371" t="s">
        <v>138</v>
      </c>
      <c r="R1371" s="2">
        <v>46176</v>
      </c>
      <c r="S1371" s="4">
        <v>27</v>
      </c>
      <c r="T1371" s="3">
        <v>186000000</v>
      </c>
      <c r="U1371" t="s">
        <v>42</v>
      </c>
      <c r="V1371" t="s">
        <v>70</v>
      </c>
      <c r="W1371" t="s">
        <v>144</v>
      </c>
      <c r="Y1371" t="s">
        <v>254</v>
      </c>
      <c r="Z1371" t="s">
        <v>3179</v>
      </c>
      <c r="AA1371" t="s">
        <v>109</v>
      </c>
      <c r="AB1371" t="s">
        <v>97</v>
      </c>
      <c r="AC1371" t="s">
        <v>109</v>
      </c>
    </row>
    <row r="1372" spans="1:29">
      <c r="A1372" t="s">
        <v>1789</v>
      </c>
      <c r="B1372" s="2">
        <v>46178</v>
      </c>
      <c r="C1372" t="s">
        <v>30</v>
      </c>
      <c r="D1372" t="s">
        <v>134</v>
      </c>
      <c r="E1372" t="s">
        <v>50</v>
      </c>
      <c r="F1372" t="s">
        <v>51</v>
      </c>
      <c r="G1372" t="s">
        <v>343</v>
      </c>
      <c r="H1372" t="s">
        <v>90</v>
      </c>
      <c r="I1372" t="s">
        <v>842</v>
      </c>
      <c r="J1372" t="s">
        <v>3161</v>
      </c>
      <c r="K1372" t="s">
        <v>92</v>
      </c>
      <c r="L1372" t="s">
        <v>80</v>
      </c>
      <c r="M1372" t="s">
        <v>106</v>
      </c>
      <c r="N1372" t="s">
        <v>196</v>
      </c>
      <c r="O1372" s="4">
        <v>7</v>
      </c>
      <c r="P1372" s="4">
        <v>14</v>
      </c>
      <c r="Q1372" t="s">
        <v>69</v>
      </c>
      <c r="R1372" s="2">
        <v>46168</v>
      </c>
      <c r="S1372" s="4">
        <v>35</v>
      </c>
      <c r="T1372" s="3">
        <v>150000000</v>
      </c>
      <c r="U1372" t="s">
        <v>196</v>
      </c>
      <c r="V1372" t="s">
        <v>70</v>
      </c>
      <c r="W1372" t="s">
        <v>243</v>
      </c>
      <c r="Y1372" t="s">
        <v>198</v>
      </c>
      <c r="Z1372" t="s">
        <v>3181</v>
      </c>
      <c r="AA1372" t="s">
        <v>62</v>
      </c>
      <c r="AB1372" t="s">
        <v>199</v>
      </c>
      <c r="AC1372" t="s">
        <v>62</v>
      </c>
    </row>
    <row r="1373" spans="1:29">
      <c r="A1373" t="s">
        <v>1790</v>
      </c>
      <c r="B1373" s="2">
        <v>46179</v>
      </c>
      <c r="C1373" t="s">
        <v>30</v>
      </c>
      <c r="D1373" t="s">
        <v>134</v>
      </c>
      <c r="E1373" t="s">
        <v>100</v>
      </c>
      <c r="F1373" t="s">
        <v>101</v>
      </c>
      <c r="G1373" t="s">
        <v>237</v>
      </c>
      <c r="H1373" t="s">
        <v>148</v>
      </c>
      <c r="I1373" t="s">
        <v>724</v>
      </c>
      <c r="J1373" t="s">
        <v>3148</v>
      </c>
      <c r="K1373" t="s">
        <v>56</v>
      </c>
      <c r="L1373" t="s">
        <v>55</v>
      </c>
      <c r="M1373" t="s">
        <v>93</v>
      </c>
      <c r="N1373" t="s">
        <v>196</v>
      </c>
      <c r="O1373" s="4">
        <v>7</v>
      </c>
      <c r="P1373" s="4">
        <v>20</v>
      </c>
      <c r="Q1373" t="s">
        <v>107</v>
      </c>
      <c r="R1373" s="2">
        <v>46176</v>
      </c>
      <c r="S1373" s="4">
        <v>27</v>
      </c>
      <c r="T1373" s="3">
        <v>219000000</v>
      </c>
      <c r="U1373" t="s">
        <v>196</v>
      </c>
      <c r="V1373" t="s">
        <v>70</v>
      </c>
      <c r="W1373" t="s">
        <v>197</v>
      </c>
      <c r="Y1373" t="s">
        <v>369</v>
      </c>
      <c r="Z1373" t="s">
        <v>3181</v>
      </c>
      <c r="AA1373" t="s">
        <v>109</v>
      </c>
      <c r="AB1373" t="s">
        <v>199</v>
      </c>
      <c r="AC1373" t="s">
        <v>109</v>
      </c>
    </row>
    <row r="1374" spans="1:29">
      <c r="A1374" t="s">
        <v>1791</v>
      </c>
      <c r="B1374" s="2">
        <v>46187</v>
      </c>
      <c r="C1374" t="s">
        <v>30</v>
      </c>
      <c r="D1374" t="s">
        <v>99</v>
      </c>
      <c r="E1374" t="s">
        <v>75</v>
      </c>
      <c r="F1374" t="s">
        <v>161</v>
      </c>
      <c r="G1374" t="s">
        <v>184</v>
      </c>
      <c r="H1374" t="s">
        <v>78</v>
      </c>
      <c r="I1374" t="s">
        <v>163</v>
      </c>
      <c r="J1374" t="s">
        <v>3021</v>
      </c>
      <c r="K1374" t="s">
        <v>105</v>
      </c>
      <c r="L1374" t="s">
        <v>80</v>
      </c>
      <c r="M1374" t="s">
        <v>39</v>
      </c>
      <c r="N1374" t="s">
        <v>82</v>
      </c>
      <c r="O1374" s="4">
        <v>1</v>
      </c>
      <c r="P1374" s="4">
        <v>11</v>
      </c>
      <c r="Q1374" t="s">
        <v>69</v>
      </c>
      <c r="R1374" s="2">
        <v>46183</v>
      </c>
      <c r="S1374" s="4">
        <v>20</v>
      </c>
      <c r="T1374" s="3">
        <v>217000000</v>
      </c>
      <c r="U1374" t="s">
        <v>42</v>
      </c>
      <c r="V1374" t="s">
        <v>59</v>
      </c>
      <c r="W1374" t="s">
        <v>290</v>
      </c>
      <c r="Y1374" t="s">
        <v>85</v>
      </c>
      <c r="Z1374" t="s">
        <v>3178</v>
      </c>
      <c r="AA1374" t="s">
        <v>86</v>
      </c>
      <c r="AB1374" t="s">
        <v>87</v>
      </c>
      <c r="AC1374" t="s">
        <v>86</v>
      </c>
    </row>
    <row r="1375" spans="1:29">
      <c r="A1375" t="s">
        <v>1792</v>
      </c>
      <c r="B1375" s="2">
        <v>46189</v>
      </c>
      <c r="C1375" t="s">
        <v>30</v>
      </c>
      <c r="D1375" t="s">
        <v>74</v>
      </c>
      <c r="E1375" t="s">
        <v>152</v>
      </c>
      <c r="F1375" t="s">
        <v>153</v>
      </c>
      <c r="G1375" t="s">
        <v>328</v>
      </c>
      <c r="H1375" t="s">
        <v>155</v>
      </c>
      <c r="I1375" t="s">
        <v>729</v>
      </c>
      <c r="J1375" t="s">
        <v>3149</v>
      </c>
      <c r="K1375" t="s">
        <v>105</v>
      </c>
      <c r="L1375" t="s">
        <v>80</v>
      </c>
      <c r="M1375" t="s">
        <v>164</v>
      </c>
      <c r="N1375" t="s">
        <v>130</v>
      </c>
      <c r="O1375" s="4">
        <v>5</v>
      </c>
      <c r="P1375" s="4">
        <v>8</v>
      </c>
      <c r="Q1375" t="s">
        <v>58</v>
      </c>
      <c r="R1375" s="2">
        <v>46183</v>
      </c>
      <c r="S1375" s="4">
        <v>20</v>
      </c>
      <c r="T1375" s="3">
        <v>267000000</v>
      </c>
      <c r="U1375" t="s">
        <v>42</v>
      </c>
      <c r="V1375" t="s">
        <v>143</v>
      </c>
      <c r="W1375" t="s">
        <v>144</v>
      </c>
      <c r="Y1375" t="s">
        <v>254</v>
      </c>
      <c r="Z1375" t="s">
        <v>3179</v>
      </c>
      <c r="AA1375" t="s">
        <v>159</v>
      </c>
      <c r="AB1375" t="s">
        <v>97</v>
      </c>
      <c r="AC1375" t="s">
        <v>159</v>
      </c>
    </row>
    <row r="1376" spans="1:29">
      <c r="A1376" t="s">
        <v>1793</v>
      </c>
      <c r="B1376" s="2">
        <v>46203</v>
      </c>
      <c r="C1376" t="s">
        <v>30</v>
      </c>
      <c r="D1376" t="s">
        <v>31</v>
      </c>
      <c r="E1376" t="s">
        <v>111</v>
      </c>
      <c r="F1376" t="s">
        <v>112</v>
      </c>
      <c r="G1376" t="s">
        <v>113</v>
      </c>
      <c r="H1376" t="s">
        <v>114</v>
      </c>
      <c r="I1376" t="s">
        <v>645</v>
      </c>
      <c r="J1376" t="s">
        <v>3139</v>
      </c>
      <c r="K1376" t="s">
        <v>56</v>
      </c>
      <c r="L1376" t="s">
        <v>68</v>
      </c>
      <c r="M1376" t="s">
        <v>56</v>
      </c>
      <c r="N1376" t="s">
        <v>40</v>
      </c>
      <c r="O1376" s="4">
        <v>2</v>
      </c>
      <c r="P1376" s="4">
        <v>7</v>
      </c>
      <c r="Q1376" t="s">
        <v>142</v>
      </c>
      <c r="R1376" s="2">
        <v>46203</v>
      </c>
      <c r="S1376" s="4">
        <v>0</v>
      </c>
      <c r="T1376" s="3">
        <v>124000000</v>
      </c>
      <c r="U1376" t="s">
        <v>42</v>
      </c>
      <c r="V1376" t="s">
        <v>43</v>
      </c>
      <c r="W1376" t="s">
        <v>239</v>
      </c>
      <c r="Y1376" t="s">
        <v>180</v>
      </c>
      <c r="Z1376" t="s">
        <v>3178</v>
      </c>
      <c r="AA1376" t="s">
        <v>118</v>
      </c>
      <c r="AB1376" t="s">
        <v>87</v>
      </c>
      <c r="AC1376" t="s">
        <v>118</v>
      </c>
    </row>
    <row r="1377" spans="1:29">
      <c r="A1377" t="s">
        <v>1794</v>
      </c>
      <c r="B1377" s="2">
        <v>46198</v>
      </c>
      <c r="C1377" t="s">
        <v>30</v>
      </c>
      <c r="D1377" t="s">
        <v>49</v>
      </c>
      <c r="E1377" t="s">
        <v>75</v>
      </c>
      <c r="F1377" t="s">
        <v>183</v>
      </c>
      <c r="G1377" t="s">
        <v>387</v>
      </c>
      <c r="H1377" t="s">
        <v>185</v>
      </c>
      <c r="I1377" t="s">
        <v>673</v>
      </c>
      <c r="J1377" t="s">
        <v>3146</v>
      </c>
      <c r="K1377" t="s">
        <v>116</v>
      </c>
      <c r="L1377" t="s">
        <v>80</v>
      </c>
      <c r="M1377" t="s">
        <v>39</v>
      </c>
      <c r="N1377" t="s">
        <v>130</v>
      </c>
      <c r="O1377" s="4">
        <v>5</v>
      </c>
      <c r="P1377" s="4">
        <v>13</v>
      </c>
      <c r="Q1377" t="s">
        <v>41</v>
      </c>
      <c r="R1377" s="2">
        <v>46195</v>
      </c>
      <c r="S1377" s="4">
        <v>8</v>
      </c>
      <c r="T1377" s="3">
        <v>112000000</v>
      </c>
      <c r="U1377" t="s">
        <v>42</v>
      </c>
      <c r="V1377" t="s">
        <v>70</v>
      </c>
      <c r="W1377" t="s">
        <v>131</v>
      </c>
      <c r="Y1377" t="s">
        <v>334</v>
      </c>
      <c r="Z1377" t="s">
        <v>3179</v>
      </c>
      <c r="AA1377" t="s">
        <v>86</v>
      </c>
      <c r="AB1377" t="s">
        <v>97</v>
      </c>
      <c r="AC1377" t="s">
        <v>86</v>
      </c>
    </row>
    <row r="1378" spans="1:29">
      <c r="A1378" t="s">
        <v>1795</v>
      </c>
      <c r="B1378" s="2">
        <v>46181</v>
      </c>
      <c r="C1378" t="s">
        <v>30</v>
      </c>
      <c r="D1378" t="s">
        <v>99</v>
      </c>
      <c r="E1378" t="s">
        <v>100</v>
      </c>
      <c r="F1378" t="s">
        <v>140</v>
      </c>
      <c r="G1378" t="s">
        <v>237</v>
      </c>
      <c r="H1378" t="s">
        <v>201</v>
      </c>
      <c r="I1378" t="s">
        <v>238</v>
      </c>
      <c r="J1378" t="s">
        <v>3033</v>
      </c>
      <c r="K1378" t="s">
        <v>92</v>
      </c>
      <c r="L1378" t="s">
        <v>187</v>
      </c>
      <c r="M1378" t="s">
        <v>93</v>
      </c>
      <c r="N1378" t="s">
        <v>57</v>
      </c>
      <c r="O1378" s="4">
        <v>3</v>
      </c>
      <c r="P1378" s="4">
        <v>12</v>
      </c>
      <c r="Q1378" t="s">
        <v>138</v>
      </c>
      <c r="R1378" s="2">
        <v>46173</v>
      </c>
      <c r="S1378" s="4">
        <v>30</v>
      </c>
      <c r="T1378" s="3">
        <v>175000000</v>
      </c>
      <c r="U1378" t="s">
        <v>177</v>
      </c>
      <c r="V1378" t="s">
        <v>59</v>
      </c>
      <c r="W1378" t="s">
        <v>157</v>
      </c>
      <c r="X1378" t="s">
        <v>520</v>
      </c>
      <c r="Y1378" t="s">
        <v>165</v>
      </c>
      <c r="Z1378" t="s">
        <v>3180</v>
      </c>
      <c r="AA1378" t="s">
        <v>109</v>
      </c>
      <c r="AB1378" t="s">
        <v>193</v>
      </c>
      <c r="AC1378" t="s">
        <v>109</v>
      </c>
    </row>
    <row r="1379" spans="1:29">
      <c r="A1379" t="s">
        <v>1796</v>
      </c>
      <c r="B1379" s="2">
        <v>46180</v>
      </c>
      <c r="C1379" t="s">
        <v>30</v>
      </c>
      <c r="D1379" t="s">
        <v>134</v>
      </c>
      <c r="E1379" t="s">
        <v>100</v>
      </c>
      <c r="F1379" t="s">
        <v>146</v>
      </c>
      <c r="G1379" t="s">
        <v>147</v>
      </c>
      <c r="H1379" t="s">
        <v>148</v>
      </c>
      <c r="I1379" t="s">
        <v>532</v>
      </c>
      <c r="J1379" t="s">
        <v>3111</v>
      </c>
      <c r="K1379" t="s">
        <v>92</v>
      </c>
      <c r="L1379" t="s">
        <v>187</v>
      </c>
      <c r="M1379" t="s">
        <v>106</v>
      </c>
      <c r="N1379" t="s">
        <v>82</v>
      </c>
      <c r="O1379" s="4">
        <v>1</v>
      </c>
      <c r="P1379" s="4">
        <v>6</v>
      </c>
      <c r="Q1379" t="s">
        <v>83</v>
      </c>
      <c r="R1379" s="2">
        <v>46176</v>
      </c>
      <c r="S1379" s="4">
        <v>27</v>
      </c>
      <c r="T1379" s="3">
        <v>202000000</v>
      </c>
      <c r="U1379" t="s">
        <v>42</v>
      </c>
      <c r="V1379" t="s">
        <v>43</v>
      </c>
      <c r="W1379" t="s">
        <v>404</v>
      </c>
      <c r="Y1379" t="s">
        <v>305</v>
      </c>
      <c r="Z1379" t="s">
        <v>3178</v>
      </c>
      <c r="AA1379" t="s">
        <v>109</v>
      </c>
      <c r="AB1379" t="s">
        <v>87</v>
      </c>
      <c r="AC1379" t="s">
        <v>109</v>
      </c>
    </row>
    <row r="1380" spans="1:29">
      <c r="A1380" t="s">
        <v>1797</v>
      </c>
      <c r="B1380" s="2">
        <v>46196</v>
      </c>
      <c r="C1380" t="s">
        <v>30</v>
      </c>
      <c r="D1380" t="s">
        <v>49</v>
      </c>
      <c r="E1380" t="s">
        <v>75</v>
      </c>
      <c r="F1380" t="s">
        <v>76</v>
      </c>
      <c r="G1380" t="s">
        <v>162</v>
      </c>
      <c r="H1380" t="s">
        <v>185</v>
      </c>
      <c r="I1380" t="s">
        <v>795</v>
      </c>
      <c r="J1380" t="s">
        <v>3155</v>
      </c>
      <c r="K1380" t="s">
        <v>37</v>
      </c>
      <c r="L1380" t="s">
        <v>169</v>
      </c>
      <c r="M1380" t="s">
        <v>129</v>
      </c>
      <c r="N1380" t="s">
        <v>130</v>
      </c>
      <c r="O1380" s="4">
        <v>5</v>
      </c>
      <c r="P1380" s="4">
        <v>8</v>
      </c>
      <c r="Q1380" t="s">
        <v>107</v>
      </c>
      <c r="R1380" s="2">
        <v>46190</v>
      </c>
      <c r="S1380" s="4">
        <v>13</v>
      </c>
      <c r="T1380" s="3">
        <v>234000000</v>
      </c>
      <c r="U1380" t="s">
        <v>42</v>
      </c>
      <c r="V1380" t="s">
        <v>59</v>
      </c>
      <c r="W1380" t="s">
        <v>131</v>
      </c>
      <c r="Y1380" t="s">
        <v>334</v>
      </c>
      <c r="Z1380" t="s">
        <v>3179</v>
      </c>
      <c r="AA1380" t="s">
        <v>86</v>
      </c>
      <c r="AB1380" t="s">
        <v>97</v>
      </c>
      <c r="AC1380" t="s">
        <v>86</v>
      </c>
    </row>
    <row r="1381" spans="1:29">
      <c r="A1381" t="s">
        <v>1798</v>
      </c>
      <c r="B1381" s="2">
        <v>46185</v>
      </c>
      <c r="C1381" t="s">
        <v>30</v>
      </c>
      <c r="D1381" t="s">
        <v>99</v>
      </c>
      <c r="E1381" t="s">
        <v>172</v>
      </c>
      <c r="F1381" t="s">
        <v>195</v>
      </c>
      <c r="G1381" t="s">
        <v>174</v>
      </c>
      <c r="H1381" t="s">
        <v>241</v>
      </c>
      <c r="I1381" t="s">
        <v>632</v>
      </c>
      <c r="J1381" t="s">
        <v>3136</v>
      </c>
      <c r="K1381" t="s">
        <v>105</v>
      </c>
      <c r="L1381" t="s">
        <v>187</v>
      </c>
      <c r="M1381" t="s">
        <v>164</v>
      </c>
      <c r="N1381" t="s">
        <v>130</v>
      </c>
      <c r="O1381" s="4">
        <v>5</v>
      </c>
      <c r="P1381" s="4">
        <v>7</v>
      </c>
      <c r="Q1381" t="s">
        <v>83</v>
      </c>
      <c r="R1381" s="2">
        <v>46179</v>
      </c>
      <c r="S1381" s="4">
        <v>24</v>
      </c>
      <c r="T1381" s="3">
        <v>155000000</v>
      </c>
      <c r="U1381" t="s">
        <v>42</v>
      </c>
      <c r="V1381" t="s">
        <v>143</v>
      </c>
      <c r="W1381" t="s">
        <v>252</v>
      </c>
      <c r="Y1381" t="s">
        <v>334</v>
      </c>
      <c r="Z1381" t="s">
        <v>3179</v>
      </c>
      <c r="AA1381" t="s">
        <v>181</v>
      </c>
      <c r="AB1381" t="s">
        <v>97</v>
      </c>
      <c r="AC1381" t="s">
        <v>181</v>
      </c>
    </row>
    <row r="1382" spans="1:29">
      <c r="A1382" t="s">
        <v>1799</v>
      </c>
      <c r="B1382" s="2">
        <v>46177</v>
      </c>
      <c r="C1382" t="s">
        <v>30</v>
      </c>
      <c r="D1382" t="s">
        <v>134</v>
      </c>
      <c r="E1382" t="s">
        <v>50</v>
      </c>
      <c r="F1382" t="s">
        <v>351</v>
      </c>
      <c r="G1382" t="s">
        <v>270</v>
      </c>
      <c r="H1382" t="s">
        <v>66</v>
      </c>
      <c r="I1382" t="s">
        <v>344</v>
      </c>
      <c r="J1382" t="s">
        <v>3057</v>
      </c>
      <c r="K1382" t="s">
        <v>56</v>
      </c>
      <c r="L1382" t="s">
        <v>80</v>
      </c>
      <c r="M1382" t="s">
        <v>106</v>
      </c>
      <c r="N1382" t="s">
        <v>40</v>
      </c>
      <c r="O1382" s="4">
        <v>2</v>
      </c>
      <c r="P1382" s="4">
        <v>8</v>
      </c>
      <c r="Q1382" t="s">
        <v>107</v>
      </c>
      <c r="R1382" s="2">
        <v>46171</v>
      </c>
      <c r="S1382" s="4">
        <v>32</v>
      </c>
      <c r="T1382" s="3">
        <v>171000000</v>
      </c>
      <c r="U1382" t="s">
        <v>42</v>
      </c>
      <c r="V1382" t="s">
        <v>43</v>
      </c>
      <c r="W1382" t="s">
        <v>178</v>
      </c>
      <c r="Y1382" t="s">
        <v>281</v>
      </c>
      <c r="Z1382" t="s">
        <v>3178</v>
      </c>
      <c r="AA1382" t="s">
        <v>62</v>
      </c>
      <c r="AB1382" t="s">
        <v>87</v>
      </c>
      <c r="AC1382" t="s">
        <v>62</v>
      </c>
    </row>
    <row r="1383" spans="1:29">
      <c r="A1383" t="s">
        <v>1800</v>
      </c>
      <c r="B1383" s="2">
        <v>46188</v>
      </c>
      <c r="C1383" t="s">
        <v>30</v>
      </c>
      <c r="D1383" t="s">
        <v>74</v>
      </c>
      <c r="E1383" t="s">
        <v>111</v>
      </c>
      <c r="F1383" t="s">
        <v>112</v>
      </c>
      <c r="G1383" t="s">
        <v>251</v>
      </c>
      <c r="H1383" t="s">
        <v>114</v>
      </c>
      <c r="I1383" t="s">
        <v>613</v>
      </c>
      <c r="J1383" t="s">
        <v>3133</v>
      </c>
      <c r="K1383" t="s">
        <v>105</v>
      </c>
      <c r="L1383" t="s">
        <v>38</v>
      </c>
      <c r="M1383" t="s">
        <v>81</v>
      </c>
      <c r="N1383" t="s">
        <v>57</v>
      </c>
      <c r="O1383" s="4">
        <v>3</v>
      </c>
      <c r="P1383" s="4">
        <v>5</v>
      </c>
      <c r="Q1383" t="s">
        <v>58</v>
      </c>
      <c r="R1383" s="2">
        <v>46182</v>
      </c>
      <c r="S1383" s="4">
        <v>21</v>
      </c>
      <c r="T1383" s="3">
        <v>187000000</v>
      </c>
      <c r="U1383" t="s">
        <v>42</v>
      </c>
      <c r="V1383" t="s">
        <v>59</v>
      </c>
      <c r="W1383" t="s">
        <v>71</v>
      </c>
      <c r="Y1383" t="s">
        <v>165</v>
      </c>
      <c r="Z1383" t="s">
        <v>3177</v>
      </c>
      <c r="AA1383" t="s">
        <v>118</v>
      </c>
      <c r="AB1383" t="s">
        <v>63</v>
      </c>
      <c r="AC1383" t="s">
        <v>118</v>
      </c>
    </row>
    <row r="1384" spans="1:29">
      <c r="A1384" t="s">
        <v>1801</v>
      </c>
      <c r="B1384" s="2">
        <v>46202</v>
      </c>
      <c r="C1384" t="s">
        <v>30</v>
      </c>
      <c r="D1384" t="s">
        <v>31</v>
      </c>
      <c r="E1384" t="s">
        <v>100</v>
      </c>
      <c r="F1384" t="s">
        <v>146</v>
      </c>
      <c r="G1384" t="s">
        <v>102</v>
      </c>
      <c r="H1384" t="s">
        <v>201</v>
      </c>
      <c r="I1384" t="s">
        <v>453</v>
      </c>
      <c r="J1384" t="s">
        <v>3090</v>
      </c>
      <c r="K1384" t="s">
        <v>92</v>
      </c>
      <c r="L1384" t="s">
        <v>187</v>
      </c>
      <c r="M1384" t="s">
        <v>81</v>
      </c>
      <c r="N1384" t="s">
        <v>213</v>
      </c>
      <c r="O1384" s="4">
        <v>6</v>
      </c>
      <c r="P1384" s="4">
        <v>14</v>
      </c>
      <c r="Q1384" t="s">
        <v>142</v>
      </c>
      <c r="R1384" s="2">
        <v>46194</v>
      </c>
      <c r="S1384" s="4">
        <v>9</v>
      </c>
      <c r="T1384" s="3">
        <v>207000000</v>
      </c>
      <c r="U1384" t="s">
        <v>42</v>
      </c>
      <c r="V1384" t="s">
        <v>70</v>
      </c>
      <c r="W1384" t="s">
        <v>248</v>
      </c>
      <c r="X1384" t="s">
        <v>253</v>
      </c>
      <c r="Y1384" t="s">
        <v>424</v>
      </c>
      <c r="Z1384" t="s">
        <v>3179</v>
      </c>
      <c r="AA1384" t="s">
        <v>109</v>
      </c>
      <c r="AB1384" t="s">
        <v>97</v>
      </c>
      <c r="AC1384" t="s">
        <v>109</v>
      </c>
    </row>
    <row r="1385" spans="1:29">
      <c r="A1385" t="s">
        <v>1802</v>
      </c>
      <c r="B1385" s="2">
        <v>46202</v>
      </c>
      <c r="C1385" t="s">
        <v>30</v>
      </c>
      <c r="D1385" t="s">
        <v>31</v>
      </c>
      <c r="E1385" t="s">
        <v>152</v>
      </c>
      <c r="F1385" t="s">
        <v>205</v>
      </c>
      <c r="G1385" t="s">
        <v>206</v>
      </c>
      <c r="H1385" t="s">
        <v>207</v>
      </c>
      <c r="I1385" t="s">
        <v>208</v>
      </c>
      <c r="J1385" t="s">
        <v>3027</v>
      </c>
      <c r="K1385" t="s">
        <v>105</v>
      </c>
      <c r="L1385" t="s">
        <v>80</v>
      </c>
      <c r="M1385" t="s">
        <v>164</v>
      </c>
      <c r="N1385" t="s">
        <v>40</v>
      </c>
      <c r="O1385" s="4">
        <v>2</v>
      </c>
      <c r="P1385" s="4">
        <v>14</v>
      </c>
      <c r="Q1385" t="s">
        <v>41</v>
      </c>
      <c r="R1385" s="2">
        <v>46201</v>
      </c>
      <c r="S1385" s="4">
        <v>2</v>
      </c>
      <c r="T1385" s="3">
        <v>309000000</v>
      </c>
      <c r="U1385" t="s">
        <v>260</v>
      </c>
      <c r="V1385" t="s">
        <v>43</v>
      </c>
      <c r="W1385" t="s">
        <v>178</v>
      </c>
      <c r="X1385" t="s">
        <v>381</v>
      </c>
      <c r="Y1385" t="s">
        <v>180</v>
      </c>
      <c r="Z1385" t="s">
        <v>3180</v>
      </c>
      <c r="AA1385" t="s">
        <v>159</v>
      </c>
      <c r="AB1385" t="s">
        <v>193</v>
      </c>
      <c r="AC1385" t="s">
        <v>159</v>
      </c>
    </row>
    <row r="1386" spans="1:29">
      <c r="A1386" t="s">
        <v>1803</v>
      </c>
      <c r="B1386" s="2">
        <v>46201</v>
      </c>
      <c r="C1386" t="s">
        <v>30</v>
      </c>
      <c r="D1386" t="s">
        <v>49</v>
      </c>
      <c r="E1386" t="s">
        <v>32</v>
      </c>
      <c r="F1386" t="s">
        <v>33</v>
      </c>
      <c r="G1386" t="s">
        <v>257</v>
      </c>
      <c r="H1386" t="s">
        <v>258</v>
      </c>
      <c r="I1386" t="s">
        <v>593</v>
      </c>
      <c r="J1386" t="s">
        <v>3127</v>
      </c>
      <c r="K1386" t="s">
        <v>116</v>
      </c>
      <c r="L1386" t="s">
        <v>150</v>
      </c>
      <c r="M1386" t="s">
        <v>81</v>
      </c>
      <c r="N1386" t="s">
        <v>213</v>
      </c>
      <c r="O1386" s="4">
        <v>6</v>
      </c>
      <c r="P1386" s="4">
        <v>5</v>
      </c>
      <c r="Q1386" t="s">
        <v>83</v>
      </c>
      <c r="R1386" s="2">
        <v>46193</v>
      </c>
      <c r="S1386" s="4">
        <v>10</v>
      </c>
      <c r="T1386" s="3">
        <v>172000000</v>
      </c>
      <c r="U1386" t="s">
        <v>214</v>
      </c>
      <c r="V1386" t="s">
        <v>70</v>
      </c>
      <c r="W1386" t="s">
        <v>215</v>
      </c>
      <c r="Y1386" t="s">
        <v>249</v>
      </c>
      <c r="Z1386" t="s">
        <v>3179</v>
      </c>
      <c r="AA1386" t="s">
        <v>46</v>
      </c>
      <c r="AB1386" t="s">
        <v>97</v>
      </c>
      <c r="AC1386" t="s">
        <v>46</v>
      </c>
    </row>
    <row r="1387" spans="1:29">
      <c r="A1387" t="s">
        <v>1804</v>
      </c>
      <c r="B1387" s="2">
        <v>46191</v>
      </c>
      <c r="C1387" t="s">
        <v>30</v>
      </c>
      <c r="D1387" t="s">
        <v>74</v>
      </c>
      <c r="E1387" t="s">
        <v>75</v>
      </c>
      <c r="F1387" t="s">
        <v>161</v>
      </c>
      <c r="G1387" t="s">
        <v>162</v>
      </c>
      <c r="H1387" t="s">
        <v>388</v>
      </c>
      <c r="I1387" t="s">
        <v>389</v>
      </c>
      <c r="J1387" t="s">
        <v>3071</v>
      </c>
      <c r="K1387" t="s">
        <v>37</v>
      </c>
      <c r="L1387" t="s">
        <v>150</v>
      </c>
      <c r="M1387" t="s">
        <v>106</v>
      </c>
      <c r="N1387" t="s">
        <v>57</v>
      </c>
      <c r="O1387" s="4">
        <v>3</v>
      </c>
      <c r="P1387" s="4">
        <v>5</v>
      </c>
      <c r="Q1387" t="s">
        <v>107</v>
      </c>
      <c r="R1387" s="2">
        <v>46183</v>
      </c>
      <c r="S1387" s="4">
        <v>20</v>
      </c>
      <c r="T1387" s="3">
        <v>159000000</v>
      </c>
      <c r="U1387" t="s">
        <v>42</v>
      </c>
      <c r="V1387" t="s">
        <v>43</v>
      </c>
      <c r="W1387" t="s">
        <v>157</v>
      </c>
      <c r="Y1387" t="s">
        <v>165</v>
      </c>
      <c r="Z1387" t="s">
        <v>3177</v>
      </c>
      <c r="AA1387" t="s">
        <v>86</v>
      </c>
      <c r="AB1387" t="s">
        <v>63</v>
      </c>
      <c r="AC1387" t="s">
        <v>86</v>
      </c>
    </row>
    <row r="1388" spans="1:29">
      <c r="A1388" t="s">
        <v>1805</v>
      </c>
      <c r="B1388" s="2">
        <v>46187</v>
      </c>
      <c r="C1388" t="s">
        <v>30</v>
      </c>
      <c r="D1388" t="s">
        <v>99</v>
      </c>
      <c r="E1388" t="s">
        <v>120</v>
      </c>
      <c r="F1388" t="s">
        <v>167</v>
      </c>
      <c r="G1388" t="s">
        <v>135</v>
      </c>
      <c r="H1388" t="s">
        <v>123</v>
      </c>
      <c r="I1388" t="s">
        <v>838</v>
      </c>
      <c r="J1388" t="s">
        <v>3160</v>
      </c>
      <c r="K1388" t="s">
        <v>37</v>
      </c>
      <c r="L1388" t="s">
        <v>80</v>
      </c>
      <c r="M1388" t="s">
        <v>81</v>
      </c>
      <c r="N1388" t="s">
        <v>130</v>
      </c>
      <c r="O1388" s="4">
        <v>5</v>
      </c>
      <c r="P1388" s="4">
        <v>9</v>
      </c>
      <c r="Q1388" t="s">
        <v>69</v>
      </c>
      <c r="R1388" s="2">
        <v>46182</v>
      </c>
      <c r="S1388" s="4">
        <v>21</v>
      </c>
      <c r="T1388" s="3">
        <v>129000000</v>
      </c>
      <c r="U1388" t="s">
        <v>42</v>
      </c>
      <c r="V1388" t="s">
        <v>143</v>
      </c>
      <c r="W1388" t="s">
        <v>144</v>
      </c>
      <c r="X1388" t="s">
        <v>253</v>
      </c>
      <c r="Y1388" t="s">
        <v>132</v>
      </c>
      <c r="Z1388" t="s">
        <v>3179</v>
      </c>
      <c r="AA1388" t="s">
        <v>97</v>
      </c>
      <c r="AB1388" t="s">
        <v>97</v>
      </c>
      <c r="AC1388" t="s">
        <v>97</v>
      </c>
    </row>
    <row r="1389" spans="1:29">
      <c r="A1389" t="s">
        <v>1806</v>
      </c>
      <c r="B1389" s="2">
        <v>46175</v>
      </c>
      <c r="C1389" t="s">
        <v>30</v>
      </c>
      <c r="D1389" t="s">
        <v>134</v>
      </c>
      <c r="E1389" t="s">
        <v>111</v>
      </c>
      <c r="F1389" t="s">
        <v>112</v>
      </c>
      <c r="G1389" t="s">
        <v>251</v>
      </c>
      <c r="H1389" t="s">
        <v>127</v>
      </c>
      <c r="I1389" t="s">
        <v>654</v>
      </c>
      <c r="J1389" t="s">
        <v>3142</v>
      </c>
      <c r="K1389" t="s">
        <v>37</v>
      </c>
      <c r="L1389" t="s">
        <v>150</v>
      </c>
      <c r="M1389" t="s">
        <v>93</v>
      </c>
      <c r="N1389" t="s">
        <v>213</v>
      </c>
      <c r="O1389" s="4">
        <v>6</v>
      </c>
      <c r="P1389" s="4">
        <v>14</v>
      </c>
      <c r="Q1389" t="s">
        <v>41</v>
      </c>
      <c r="R1389" s="2">
        <v>46172</v>
      </c>
      <c r="S1389" s="4">
        <v>31</v>
      </c>
      <c r="T1389" s="3">
        <v>86000000</v>
      </c>
      <c r="U1389" t="s">
        <v>214</v>
      </c>
      <c r="V1389" t="s">
        <v>143</v>
      </c>
      <c r="W1389" t="s">
        <v>390</v>
      </c>
      <c r="Y1389" t="s">
        <v>249</v>
      </c>
      <c r="Z1389" t="s">
        <v>3179</v>
      </c>
      <c r="AA1389" t="s">
        <v>118</v>
      </c>
      <c r="AB1389" t="s">
        <v>97</v>
      </c>
      <c r="AC1389" t="s">
        <v>118</v>
      </c>
    </row>
    <row r="1390" spans="1:29">
      <c r="A1390" t="s">
        <v>1807</v>
      </c>
      <c r="B1390" s="2">
        <v>46193</v>
      </c>
      <c r="C1390" t="s">
        <v>30</v>
      </c>
      <c r="D1390" t="s">
        <v>74</v>
      </c>
      <c r="E1390" t="s">
        <v>100</v>
      </c>
      <c r="F1390" t="s">
        <v>146</v>
      </c>
      <c r="G1390" t="s">
        <v>212</v>
      </c>
      <c r="H1390" t="s">
        <v>148</v>
      </c>
      <c r="I1390" t="s">
        <v>800</v>
      </c>
      <c r="J1390" t="s">
        <v>3156</v>
      </c>
      <c r="K1390" t="s">
        <v>56</v>
      </c>
      <c r="L1390" t="s">
        <v>187</v>
      </c>
      <c r="M1390" t="s">
        <v>129</v>
      </c>
      <c r="N1390" t="s">
        <v>57</v>
      </c>
      <c r="O1390" s="4">
        <v>3</v>
      </c>
      <c r="P1390" s="4">
        <v>12</v>
      </c>
      <c r="Q1390" t="s">
        <v>69</v>
      </c>
      <c r="R1390" s="2">
        <v>46191</v>
      </c>
      <c r="S1390" s="4">
        <v>12</v>
      </c>
      <c r="T1390" s="3">
        <v>256000000</v>
      </c>
      <c r="U1390" t="s">
        <v>42</v>
      </c>
      <c r="V1390" t="s">
        <v>43</v>
      </c>
      <c r="W1390" t="s">
        <v>71</v>
      </c>
      <c r="Y1390" t="s">
        <v>158</v>
      </c>
      <c r="Z1390" t="s">
        <v>3180</v>
      </c>
      <c r="AA1390" t="s">
        <v>109</v>
      </c>
      <c r="AB1390" t="s">
        <v>193</v>
      </c>
      <c r="AC1390" t="s">
        <v>109</v>
      </c>
    </row>
    <row r="1391" spans="1:29">
      <c r="A1391" t="s">
        <v>1808</v>
      </c>
      <c r="B1391" s="2">
        <v>46193</v>
      </c>
      <c r="C1391" t="s">
        <v>30</v>
      </c>
      <c r="D1391" t="s">
        <v>74</v>
      </c>
      <c r="E1391" t="s">
        <v>152</v>
      </c>
      <c r="F1391" t="s">
        <v>153</v>
      </c>
      <c r="G1391" t="s">
        <v>328</v>
      </c>
      <c r="H1391" t="s">
        <v>283</v>
      </c>
      <c r="I1391" t="s">
        <v>284</v>
      </c>
      <c r="J1391" t="s">
        <v>3041</v>
      </c>
      <c r="K1391" t="s">
        <v>37</v>
      </c>
      <c r="L1391" t="s">
        <v>80</v>
      </c>
      <c r="M1391" t="s">
        <v>56</v>
      </c>
      <c r="N1391" t="s">
        <v>94</v>
      </c>
      <c r="O1391" s="4">
        <v>4</v>
      </c>
      <c r="P1391" s="4">
        <v>9</v>
      </c>
      <c r="Q1391" t="s">
        <v>41</v>
      </c>
      <c r="R1391" s="2">
        <v>46185</v>
      </c>
      <c r="S1391" s="4">
        <v>18</v>
      </c>
      <c r="T1391" s="3">
        <v>193000000</v>
      </c>
      <c r="U1391" t="s">
        <v>426</v>
      </c>
      <c r="V1391" t="s">
        <v>70</v>
      </c>
      <c r="W1391" t="s">
        <v>188</v>
      </c>
      <c r="X1391" t="s">
        <v>422</v>
      </c>
      <c r="Y1391" t="s">
        <v>96</v>
      </c>
      <c r="Z1391" t="s">
        <v>3179</v>
      </c>
      <c r="AA1391" t="s">
        <v>159</v>
      </c>
      <c r="AB1391" t="s">
        <v>97</v>
      </c>
      <c r="AC1391" t="s">
        <v>159</v>
      </c>
    </row>
    <row r="1392" spans="1:29">
      <c r="A1392" t="s">
        <v>1809</v>
      </c>
      <c r="B1392" s="2">
        <v>46202</v>
      </c>
      <c r="C1392" t="s">
        <v>30</v>
      </c>
      <c r="D1392" t="s">
        <v>31</v>
      </c>
      <c r="E1392" t="s">
        <v>152</v>
      </c>
      <c r="F1392" t="s">
        <v>205</v>
      </c>
      <c r="G1392" t="s">
        <v>154</v>
      </c>
      <c r="H1392" t="s">
        <v>155</v>
      </c>
      <c r="I1392" t="s">
        <v>156</v>
      </c>
      <c r="J1392" t="s">
        <v>3020</v>
      </c>
      <c r="K1392" t="s">
        <v>56</v>
      </c>
      <c r="L1392" t="s">
        <v>187</v>
      </c>
      <c r="M1392" t="s">
        <v>129</v>
      </c>
      <c r="N1392" t="s">
        <v>130</v>
      </c>
      <c r="O1392" s="4">
        <v>5</v>
      </c>
      <c r="P1392" s="4">
        <v>13</v>
      </c>
      <c r="Q1392" t="s">
        <v>58</v>
      </c>
      <c r="R1392" s="2">
        <v>46198</v>
      </c>
      <c r="S1392" s="4">
        <v>5</v>
      </c>
      <c r="T1392" s="3">
        <v>307000000</v>
      </c>
      <c r="U1392" t="s">
        <v>260</v>
      </c>
      <c r="V1392" t="s">
        <v>143</v>
      </c>
      <c r="W1392" t="s">
        <v>131</v>
      </c>
      <c r="X1392" t="s">
        <v>422</v>
      </c>
      <c r="Y1392" t="s">
        <v>132</v>
      </c>
      <c r="Z1392" t="s">
        <v>3179</v>
      </c>
      <c r="AA1392" t="s">
        <v>159</v>
      </c>
      <c r="AB1392" t="s">
        <v>97</v>
      </c>
      <c r="AC1392" t="s">
        <v>159</v>
      </c>
    </row>
    <row r="1393" spans="1:29">
      <c r="A1393" t="s">
        <v>1810</v>
      </c>
      <c r="B1393" s="2">
        <v>46189</v>
      </c>
      <c r="C1393" t="s">
        <v>30</v>
      </c>
      <c r="D1393" t="s">
        <v>74</v>
      </c>
      <c r="E1393" t="s">
        <v>120</v>
      </c>
      <c r="F1393" t="s">
        <v>246</v>
      </c>
      <c r="G1393" t="s">
        <v>420</v>
      </c>
      <c r="H1393" t="s">
        <v>300</v>
      </c>
      <c r="I1393" t="s">
        <v>445</v>
      </c>
      <c r="J1393" t="s">
        <v>3087</v>
      </c>
      <c r="K1393" t="s">
        <v>56</v>
      </c>
      <c r="L1393" t="s">
        <v>68</v>
      </c>
      <c r="M1393" t="s">
        <v>164</v>
      </c>
      <c r="N1393" t="s">
        <v>57</v>
      </c>
      <c r="O1393" s="4">
        <v>3</v>
      </c>
      <c r="P1393" s="4">
        <v>5</v>
      </c>
      <c r="Q1393" t="s">
        <v>58</v>
      </c>
      <c r="R1393" s="2">
        <v>46184</v>
      </c>
      <c r="S1393" s="4">
        <v>19</v>
      </c>
      <c r="T1393" s="3">
        <v>399000000</v>
      </c>
      <c r="U1393" t="s">
        <v>42</v>
      </c>
      <c r="V1393" t="s">
        <v>70</v>
      </c>
      <c r="W1393" t="s">
        <v>157</v>
      </c>
      <c r="Y1393" t="s">
        <v>61</v>
      </c>
      <c r="Z1393" t="s">
        <v>3177</v>
      </c>
      <c r="AA1393" t="s">
        <v>97</v>
      </c>
      <c r="AB1393" t="s">
        <v>63</v>
      </c>
      <c r="AC1393" t="s">
        <v>97</v>
      </c>
    </row>
    <row r="1394" spans="1:29">
      <c r="A1394" t="s">
        <v>1811</v>
      </c>
      <c r="B1394" s="2">
        <v>46182</v>
      </c>
      <c r="C1394" t="s">
        <v>30</v>
      </c>
      <c r="D1394" t="s">
        <v>99</v>
      </c>
      <c r="E1394" t="s">
        <v>50</v>
      </c>
      <c r="F1394" t="s">
        <v>89</v>
      </c>
      <c r="G1394" t="s">
        <v>234</v>
      </c>
      <c r="H1394" t="s">
        <v>90</v>
      </c>
      <c r="I1394" t="s">
        <v>842</v>
      </c>
      <c r="J1394" t="s">
        <v>3161</v>
      </c>
      <c r="K1394" t="s">
        <v>37</v>
      </c>
      <c r="L1394" t="s">
        <v>187</v>
      </c>
      <c r="M1394" t="s">
        <v>106</v>
      </c>
      <c r="N1394" t="s">
        <v>94</v>
      </c>
      <c r="O1394" s="4">
        <v>4</v>
      </c>
      <c r="P1394" s="4">
        <v>8</v>
      </c>
      <c r="Q1394" t="s">
        <v>83</v>
      </c>
      <c r="R1394" s="2">
        <v>46180</v>
      </c>
      <c r="S1394" s="4">
        <v>23</v>
      </c>
      <c r="T1394" s="3">
        <v>167000000</v>
      </c>
      <c r="U1394" t="s">
        <v>42</v>
      </c>
      <c r="V1394" t="s">
        <v>59</v>
      </c>
      <c r="W1394" t="s">
        <v>170</v>
      </c>
      <c r="Y1394" t="s">
        <v>96</v>
      </c>
      <c r="Z1394" t="s">
        <v>3179</v>
      </c>
      <c r="AA1394" t="s">
        <v>62</v>
      </c>
      <c r="AB1394" t="s">
        <v>97</v>
      </c>
      <c r="AC1394" t="s">
        <v>62</v>
      </c>
    </row>
    <row r="1395" spans="1:29">
      <c r="A1395" t="s">
        <v>1812</v>
      </c>
      <c r="B1395" s="2">
        <v>46196</v>
      </c>
      <c r="C1395" t="s">
        <v>30</v>
      </c>
      <c r="D1395" t="s">
        <v>49</v>
      </c>
      <c r="E1395" t="s">
        <v>172</v>
      </c>
      <c r="F1395" t="s">
        <v>277</v>
      </c>
      <c r="G1395" t="s">
        <v>174</v>
      </c>
      <c r="H1395" t="s">
        <v>241</v>
      </c>
      <c r="I1395" t="s">
        <v>559</v>
      </c>
      <c r="J1395" t="s">
        <v>3119</v>
      </c>
      <c r="K1395" t="s">
        <v>105</v>
      </c>
      <c r="L1395" t="s">
        <v>80</v>
      </c>
      <c r="M1395" t="s">
        <v>81</v>
      </c>
      <c r="N1395" t="s">
        <v>130</v>
      </c>
      <c r="O1395" s="4">
        <v>5</v>
      </c>
      <c r="P1395" s="4">
        <v>5</v>
      </c>
      <c r="Q1395" t="s">
        <v>58</v>
      </c>
      <c r="R1395" s="2">
        <v>46196</v>
      </c>
      <c r="S1395" s="4">
        <v>7</v>
      </c>
      <c r="T1395" s="3">
        <v>239000000</v>
      </c>
      <c r="U1395" t="s">
        <v>42</v>
      </c>
      <c r="V1395" t="s">
        <v>59</v>
      </c>
      <c r="W1395" t="s">
        <v>144</v>
      </c>
      <c r="X1395" t="s">
        <v>117</v>
      </c>
      <c r="Y1395" t="s">
        <v>262</v>
      </c>
      <c r="Z1395" t="s">
        <v>3179</v>
      </c>
      <c r="AA1395" t="s">
        <v>181</v>
      </c>
      <c r="AB1395" t="s">
        <v>97</v>
      </c>
      <c r="AC1395" t="s">
        <v>181</v>
      </c>
    </row>
    <row r="1396" spans="1:29">
      <c r="A1396" t="s">
        <v>1813</v>
      </c>
      <c r="B1396" s="2">
        <v>46176</v>
      </c>
      <c r="C1396" t="s">
        <v>30</v>
      </c>
      <c r="D1396" t="s">
        <v>134</v>
      </c>
      <c r="E1396" t="s">
        <v>50</v>
      </c>
      <c r="F1396" t="s">
        <v>51</v>
      </c>
      <c r="G1396" t="s">
        <v>343</v>
      </c>
      <c r="H1396" t="s">
        <v>53</v>
      </c>
      <c r="I1396" t="s">
        <v>368</v>
      </c>
      <c r="J1396" t="s">
        <v>3064</v>
      </c>
      <c r="K1396" t="s">
        <v>105</v>
      </c>
      <c r="L1396" t="s">
        <v>68</v>
      </c>
      <c r="M1396" t="s">
        <v>106</v>
      </c>
      <c r="N1396" t="s">
        <v>57</v>
      </c>
      <c r="O1396" s="4">
        <v>3</v>
      </c>
      <c r="P1396" s="4">
        <v>10</v>
      </c>
      <c r="Q1396" t="s">
        <v>107</v>
      </c>
      <c r="R1396" s="2">
        <v>46174</v>
      </c>
      <c r="S1396" s="4">
        <v>29</v>
      </c>
      <c r="T1396" s="3">
        <v>361000000</v>
      </c>
      <c r="U1396" t="s">
        <v>42</v>
      </c>
      <c r="V1396" t="s">
        <v>59</v>
      </c>
      <c r="W1396" t="s">
        <v>71</v>
      </c>
      <c r="Y1396" t="s">
        <v>72</v>
      </c>
      <c r="Z1396" t="s">
        <v>3177</v>
      </c>
      <c r="AA1396" t="s">
        <v>62</v>
      </c>
      <c r="AB1396" t="s">
        <v>63</v>
      </c>
      <c r="AC1396" t="s">
        <v>62</v>
      </c>
    </row>
    <row r="1397" spans="1:29">
      <c r="A1397" t="s">
        <v>1814</v>
      </c>
      <c r="B1397" s="2">
        <v>46185</v>
      </c>
      <c r="C1397" t="s">
        <v>30</v>
      </c>
      <c r="D1397" t="s">
        <v>99</v>
      </c>
      <c r="E1397" t="s">
        <v>75</v>
      </c>
      <c r="F1397" t="s">
        <v>161</v>
      </c>
      <c r="G1397" t="s">
        <v>162</v>
      </c>
      <c r="H1397" t="s">
        <v>185</v>
      </c>
      <c r="I1397" t="s">
        <v>721</v>
      </c>
      <c r="J1397" t="s">
        <v>3147</v>
      </c>
      <c r="K1397" t="s">
        <v>92</v>
      </c>
      <c r="L1397" t="s">
        <v>38</v>
      </c>
      <c r="M1397" t="s">
        <v>81</v>
      </c>
      <c r="N1397" t="s">
        <v>57</v>
      </c>
      <c r="O1397" s="4">
        <v>3</v>
      </c>
      <c r="P1397" s="4">
        <v>8</v>
      </c>
      <c r="Q1397" t="s">
        <v>83</v>
      </c>
      <c r="R1397" s="2">
        <v>46181</v>
      </c>
      <c r="S1397" s="4">
        <v>22</v>
      </c>
      <c r="T1397" s="3">
        <v>83000000</v>
      </c>
      <c r="U1397" t="s">
        <v>42</v>
      </c>
      <c r="V1397" t="s">
        <v>59</v>
      </c>
      <c r="W1397" t="s">
        <v>203</v>
      </c>
      <c r="Y1397" t="s">
        <v>158</v>
      </c>
      <c r="Z1397" t="s">
        <v>3177</v>
      </c>
      <c r="AA1397" t="s">
        <v>86</v>
      </c>
      <c r="AB1397" t="s">
        <v>63</v>
      </c>
      <c r="AC1397" t="s">
        <v>86</v>
      </c>
    </row>
    <row r="1398" spans="1:29">
      <c r="A1398" t="s">
        <v>1815</v>
      </c>
      <c r="B1398" s="2">
        <v>46180</v>
      </c>
      <c r="C1398" t="s">
        <v>30</v>
      </c>
      <c r="D1398" t="s">
        <v>134</v>
      </c>
      <c r="E1398" t="s">
        <v>100</v>
      </c>
      <c r="F1398" t="s">
        <v>146</v>
      </c>
      <c r="G1398" t="s">
        <v>147</v>
      </c>
      <c r="H1398" t="s">
        <v>201</v>
      </c>
      <c r="I1398" t="s">
        <v>608</v>
      </c>
      <c r="J1398" t="s">
        <v>3132</v>
      </c>
      <c r="K1398" t="s">
        <v>56</v>
      </c>
      <c r="L1398" t="s">
        <v>187</v>
      </c>
      <c r="M1398" t="s">
        <v>56</v>
      </c>
      <c r="N1398" t="s">
        <v>130</v>
      </c>
      <c r="O1398" s="4">
        <v>5</v>
      </c>
      <c r="P1398" s="4">
        <v>12</v>
      </c>
      <c r="Q1398" t="s">
        <v>58</v>
      </c>
      <c r="R1398" s="2">
        <v>46176</v>
      </c>
      <c r="S1398" s="4">
        <v>27</v>
      </c>
      <c r="T1398" s="3">
        <v>426000000</v>
      </c>
      <c r="U1398" t="s">
        <v>42</v>
      </c>
      <c r="V1398" t="s">
        <v>70</v>
      </c>
      <c r="W1398" t="s">
        <v>144</v>
      </c>
      <c r="Y1398" t="s">
        <v>132</v>
      </c>
      <c r="Z1398" t="s">
        <v>3179</v>
      </c>
      <c r="AA1398" t="s">
        <v>109</v>
      </c>
      <c r="AB1398" t="s">
        <v>97</v>
      </c>
      <c r="AC1398" t="s">
        <v>109</v>
      </c>
    </row>
    <row r="1399" spans="1:29">
      <c r="A1399" t="s">
        <v>1816</v>
      </c>
      <c r="B1399" s="2">
        <v>46185</v>
      </c>
      <c r="C1399" t="s">
        <v>30</v>
      </c>
      <c r="D1399" t="s">
        <v>99</v>
      </c>
      <c r="E1399" t="s">
        <v>172</v>
      </c>
      <c r="F1399" t="s">
        <v>173</v>
      </c>
      <c r="G1399" t="s">
        <v>338</v>
      </c>
      <c r="H1399" t="s">
        <v>175</v>
      </c>
      <c r="I1399" t="s">
        <v>956</v>
      </c>
      <c r="J1399" t="s">
        <v>3166</v>
      </c>
      <c r="K1399" t="s">
        <v>56</v>
      </c>
      <c r="L1399" t="s">
        <v>68</v>
      </c>
      <c r="M1399" t="s">
        <v>164</v>
      </c>
      <c r="N1399" t="s">
        <v>130</v>
      </c>
      <c r="O1399" s="4">
        <v>5</v>
      </c>
      <c r="P1399" s="4">
        <v>6</v>
      </c>
      <c r="Q1399" t="s">
        <v>83</v>
      </c>
      <c r="R1399" s="2">
        <v>46180</v>
      </c>
      <c r="S1399" s="4">
        <v>23</v>
      </c>
      <c r="T1399" s="3">
        <v>106000000</v>
      </c>
      <c r="U1399" t="s">
        <v>42</v>
      </c>
      <c r="V1399" t="s">
        <v>70</v>
      </c>
      <c r="W1399" t="s">
        <v>252</v>
      </c>
      <c r="Y1399" t="s">
        <v>334</v>
      </c>
      <c r="Z1399" t="s">
        <v>3179</v>
      </c>
      <c r="AA1399" t="s">
        <v>181</v>
      </c>
      <c r="AB1399" t="s">
        <v>97</v>
      </c>
      <c r="AC1399" t="s">
        <v>181</v>
      </c>
    </row>
    <row r="1400" spans="1:29">
      <c r="A1400" t="s">
        <v>1817</v>
      </c>
      <c r="B1400" s="2">
        <v>46181</v>
      </c>
      <c r="C1400" t="s">
        <v>30</v>
      </c>
      <c r="D1400" t="s">
        <v>99</v>
      </c>
      <c r="E1400" t="s">
        <v>152</v>
      </c>
      <c r="F1400" t="s">
        <v>153</v>
      </c>
      <c r="G1400" t="s">
        <v>294</v>
      </c>
      <c r="H1400" t="s">
        <v>155</v>
      </c>
      <c r="I1400" t="s">
        <v>537</v>
      </c>
      <c r="J1400" t="s">
        <v>3113</v>
      </c>
      <c r="K1400" t="s">
        <v>105</v>
      </c>
      <c r="L1400" t="s">
        <v>169</v>
      </c>
      <c r="M1400" t="s">
        <v>164</v>
      </c>
      <c r="N1400" t="s">
        <v>57</v>
      </c>
      <c r="O1400" s="4">
        <v>3</v>
      </c>
      <c r="P1400" s="4">
        <v>14</v>
      </c>
      <c r="Q1400" t="s">
        <v>142</v>
      </c>
      <c r="R1400" s="2">
        <v>46179</v>
      </c>
      <c r="S1400" s="4">
        <v>24</v>
      </c>
      <c r="T1400" s="3">
        <v>103000000</v>
      </c>
      <c r="U1400" t="s">
        <v>42</v>
      </c>
      <c r="V1400" t="s">
        <v>43</v>
      </c>
      <c r="W1400" t="s">
        <v>203</v>
      </c>
      <c r="Y1400" t="s">
        <v>158</v>
      </c>
      <c r="Z1400" t="s">
        <v>3180</v>
      </c>
      <c r="AA1400" t="s">
        <v>159</v>
      </c>
      <c r="AB1400" t="s">
        <v>193</v>
      </c>
      <c r="AC1400" t="s">
        <v>159</v>
      </c>
    </row>
    <row r="1401" spans="1:29">
      <c r="A1401" t="s">
        <v>1818</v>
      </c>
      <c r="B1401" s="2">
        <v>46181</v>
      </c>
      <c r="C1401" t="s">
        <v>30</v>
      </c>
      <c r="D1401" t="s">
        <v>99</v>
      </c>
      <c r="E1401" t="s">
        <v>172</v>
      </c>
      <c r="F1401" t="s">
        <v>173</v>
      </c>
      <c r="G1401" t="s">
        <v>476</v>
      </c>
      <c r="H1401" t="s">
        <v>175</v>
      </c>
      <c r="I1401" t="s">
        <v>176</v>
      </c>
      <c r="J1401" t="s">
        <v>3023</v>
      </c>
      <c r="K1401" t="s">
        <v>116</v>
      </c>
      <c r="L1401" t="s">
        <v>150</v>
      </c>
      <c r="M1401" t="s">
        <v>56</v>
      </c>
      <c r="N1401" t="s">
        <v>94</v>
      </c>
      <c r="O1401" s="4">
        <v>4</v>
      </c>
      <c r="P1401" s="4">
        <v>8</v>
      </c>
      <c r="Q1401" t="s">
        <v>41</v>
      </c>
      <c r="R1401" s="2">
        <v>46172</v>
      </c>
      <c r="S1401" s="4">
        <v>31</v>
      </c>
      <c r="T1401" s="3">
        <v>116000000</v>
      </c>
      <c r="U1401" t="s">
        <v>42</v>
      </c>
      <c r="V1401" t="s">
        <v>59</v>
      </c>
      <c r="W1401" t="s">
        <v>188</v>
      </c>
      <c r="Y1401" t="s">
        <v>108</v>
      </c>
      <c r="Z1401" t="s">
        <v>3179</v>
      </c>
      <c r="AA1401" t="s">
        <v>181</v>
      </c>
      <c r="AB1401" t="s">
        <v>97</v>
      </c>
      <c r="AC1401" t="s">
        <v>181</v>
      </c>
    </row>
    <row r="1402" spans="1:29">
      <c r="A1402" t="s">
        <v>1819</v>
      </c>
      <c r="B1402" s="2">
        <v>46188</v>
      </c>
      <c r="C1402" t="s">
        <v>30</v>
      </c>
      <c r="D1402" t="s">
        <v>74</v>
      </c>
      <c r="E1402" t="s">
        <v>120</v>
      </c>
      <c r="F1402" t="s">
        <v>246</v>
      </c>
      <c r="G1402" t="s">
        <v>122</v>
      </c>
      <c r="H1402" t="s">
        <v>136</v>
      </c>
      <c r="I1402" t="s">
        <v>581</v>
      </c>
      <c r="J1402" t="s">
        <v>3125</v>
      </c>
      <c r="K1402" t="s">
        <v>105</v>
      </c>
      <c r="L1402" t="s">
        <v>68</v>
      </c>
      <c r="M1402" t="s">
        <v>164</v>
      </c>
      <c r="N1402" t="s">
        <v>94</v>
      </c>
      <c r="O1402" s="4">
        <v>4</v>
      </c>
      <c r="P1402" s="4">
        <v>11</v>
      </c>
      <c r="Q1402" t="s">
        <v>142</v>
      </c>
      <c r="R1402" s="2">
        <v>46185</v>
      </c>
      <c r="S1402" s="4">
        <v>18</v>
      </c>
      <c r="T1402" s="3">
        <v>182000000</v>
      </c>
      <c r="U1402" t="s">
        <v>42</v>
      </c>
      <c r="V1402" t="s">
        <v>70</v>
      </c>
      <c r="W1402" t="s">
        <v>170</v>
      </c>
      <c r="Y1402" t="s">
        <v>96</v>
      </c>
      <c r="Z1402" t="s">
        <v>3179</v>
      </c>
      <c r="AA1402" t="s">
        <v>97</v>
      </c>
      <c r="AB1402" t="s">
        <v>97</v>
      </c>
      <c r="AC1402" t="s">
        <v>97</v>
      </c>
    </row>
    <row r="1403" spans="1:29">
      <c r="A1403" t="s">
        <v>1820</v>
      </c>
      <c r="B1403" s="2">
        <v>46177</v>
      </c>
      <c r="C1403" t="s">
        <v>30</v>
      </c>
      <c r="D1403" t="s">
        <v>134</v>
      </c>
      <c r="E1403" t="s">
        <v>32</v>
      </c>
      <c r="F1403" t="s">
        <v>256</v>
      </c>
      <c r="G1403" t="s">
        <v>218</v>
      </c>
      <c r="H1403" t="s">
        <v>303</v>
      </c>
      <c r="I1403" t="s">
        <v>326</v>
      </c>
      <c r="J1403" t="s">
        <v>3053</v>
      </c>
      <c r="K1403" t="s">
        <v>37</v>
      </c>
      <c r="L1403" t="s">
        <v>187</v>
      </c>
      <c r="M1403" t="s">
        <v>93</v>
      </c>
      <c r="N1403" t="s">
        <v>57</v>
      </c>
      <c r="O1403" s="4">
        <v>3</v>
      </c>
      <c r="P1403" s="4">
        <v>4</v>
      </c>
      <c r="Q1403" t="s">
        <v>142</v>
      </c>
      <c r="R1403" s="2">
        <v>46168</v>
      </c>
      <c r="S1403" s="4">
        <v>35</v>
      </c>
      <c r="T1403" s="3">
        <v>148000000</v>
      </c>
      <c r="U1403" t="s">
        <v>42</v>
      </c>
      <c r="V1403" t="s">
        <v>59</v>
      </c>
      <c r="W1403" t="s">
        <v>157</v>
      </c>
      <c r="Y1403" t="s">
        <v>61</v>
      </c>
      <c r="Z1403" t="s">
        <v>3177</v>
      </c>
      <c r="AA1403" t="s">
        <v>46</v>
      </c>
      <c r="AB1403" t="s">
        <v>63</v>
      </c>
      <c r="AC1403" t="s">
        <v>46</v>
      </c>
    </row>
    <row r="1404" spans="1:29">
      <c r="A1404" t="s">
        <v>1821</v>
      </c>
      <c r="B1404" s="2">
        <v>46193</v>
      </c>
      <c r="C1404" t="s">
        <v>30</v>
      </c>
      <c r="D1404" t="s">
        <v>74</v>
      </c>
      <c r="E1404" t="s">
        <v>152</v>
      </c>
      <c r="F1404" t="s">
        <v>221</v>
      </c>
      <c r="G1404" t="s">
        <v>154</v>
      </c>
      <c r="H1404" t="s">
        <v>207</v>
      </c>
      <c r="I1404" t="s">
        <v>571</v>
      </c>
      <c r="J1404" t="s">
        <v>3122</v>
      </c>
      <c r="K1404" t="s">
        <v>56</v>
      </c>
      <c r="L1404" t="s">
        <v>68</v>
      </c>
      <c r="M1404" t="s">
        <v>39</v>
      </c>
      <c r="N1404" t="s">
        <v>94</v>
      </c>
      <c r="O1404" s="4">
        <v>4</v>
      </c>
      <c r="P1404" s="4">
        <v>17</v>
      </c>
      <c r="Q1404" t="s">
        <v>58</v>
      </c>
      <c r="R1404" s="2">
        <v>46188</v>
      </c>
      <c r="S1404" s="4">
        <v>15</v>
      </c>
      <c r="T1404" s="3">
        <v>139000000</v>
      </c>
      <c r="U1404" t="s">
        <v>42</v>
      </c>
      <c r="V1404" t="s">
        <v>59</v>
      </c>
      <c r="W1404" t="s">
        <v>95</v>
      </c>
      <c r="Y1404" t="s">
        <v>268</v>
      </c>
      <c r="Z1404" t="s">
        <v>3179</v>
      </c>
      <c r="AA1404" t="s">
        <v>159</v>
      </c>
      <c r="AB1404" t="s">
        <v>97</v>
      </c>
      <c r="AC1404" t="s">
        <v>159</v>
      </c>
    </row>
    <row r="1405" spans="1:29">
      <c r="A1405" t="s">
        <v>1822</v>
      </c>
      <c r="B1405" s="2">
        <v>46192</v>
      </c>
      <c r="C1405" t="s">
        <v>30</v>
      </c>
      <c r="D1405" t="s">
        <v>74</v>
      </c>
      <c r="E1405" t="s">
        <v>120</v>
      </c>
      <c r="F1405" t="s">
        <v>167</v>
      </c>
      <c r="G1405" t="s">
        <v>420</v>
      </c>
      <c r="H1405" t="s">
        <v>123</v>
      </c>
      <c r="I1405" t="s">
        <v>225</v>
      </c>
      <c r="J1405" t="s">
        <v>3030</v>
      </c>
      <c r="K1405" t="s">
        <v>56</v>
      </c>
      <c r="L1405" t="s">
        <v>187</v>
      </c>
      <c r="M1405" t="s">
        <v>164</v>
      </c>
      <c r="N1405" t="s">
        <v>130</v>
      </c>
      <c r="O1405" s="4">
        <v>5</v>
      </c>
      <c r="P1405" s="4">
        <v>10</v>
      </c>
      <c r="Q1405" t="s">
        <v>58</v>
      </c>
      <c r="R1405" s="2">
        <v>46188</v>
      </c>
      <c r="S1405" s="4">
        <v>15</v>
      </c>
      <c r="T1405" s="3">
        <v>214000000</v>
      </c>
      <c r="U1405" t="s">
        <v>42</v>
      </c>
      <c r="V1405" t="s">
        <v>143</v>
      </c>
      <c r="W1405" t="s">
        <v>131</v>
      </c>
      <c r="Y1405" t="s">
        <v>132</v>
      </c>
      <c r="Z1405" t="s">
        <v>3179</v>
      </c>
      <c r="AA1405" t="s">
        <v>97</v>
      </c>
      <c r="AB1405" t="s">
        <v>97</v>
      </c>
      <c r="AC1405" t="s">
        <v>97</v>
      </c>
    </row>
    <row r="1406" spans="1:29">
      <c r="A1406" t="s">
        <v>1823</v>
      </c>
      <c r="B1406" s="2">
        <v>46197</v>
      </c>
      <c r="C1406" t="s">
        <v>30</v>
      </c>
      <c r="D1406" t="s">
        <v>49</v>
      </c>
      <c r="E1406" t="s">
        <v>32</v>
      </c>
      <c r="F1406" t="s">
        <v>256</v>
      </c>
      <c r="G1406" t="s">
        <v>218</v>
      </c>
      <c r="H1406" t="s">
        <v>303</v>
      </c>
      <c r="I1406" t="s">
        <v>326</v>
      </c>
      <c r="J1406" t="s">
        <v>3053</v>
      </c>
      <c r="K1406" t="s">
        <v>92</v>
      </c>
      <c r="L1406" t="s">
        <v>80</v>
      </c>
      <c r="M1406" t="s">
        <v>56</v>
      </c>
      <c r="N1406" t="s">
        <v>40</v>
      </c>
      <c r="O1406" s="4">
        <v>2</v>
      </c>
      <c r="P1406" s="4">
        <v>4</v>
      </c>
      <c r="Q1406" t="s">
        <v>138</v>
      </c>
      <c r="R1406" s="2">
        <v>46190</v>
      </c>
      <c r="S1406" s="4">
        <v>13</v>
      </c>
      <c r="T1406" s="3">
        <v>186000000</v>
      </c>
      <c r="U1406" t="s">
        <v>177</v>
      </c>
      <c r="V1406" t="s">
        <v>43</v>
      </c>
      <c r="W1406" t="s">
        <v>298</v>
      </c>
      <c r="X1406" t="s">
        <v>179</v>
      </c>
      <c r="Y1406" t="s">
        <v>309</v>
      </c>
      <c r="Z1406" t="s">
        <v>3176</v>
      </c>
      <c r="AA1406" t="s">
        <v>46</v>
      </c>
      <c r="AB1406" t="s">
        <v>47</v>
      </c>
      <c r="AC1406" t="s">
        <v>46</v>
      </c>
    </row>
    <row r="1407" spans="1:29">
      <c r="A1407" t="s">
        <v>1824</v>
      </c>
      <c r="B1407" s="2">
        <v>46192</v>
      </c>
      <c r="C1407" t="s">
        <v>30</v>
      </c>
      <c r="D1407" t="s">
        <v>74</v>
      </c>
      <c r="E1407" t="s">
        <v>75</v>
      </c>
      <c r="F1407" t="s">
        <v>76</v>
      </c>
      <c r="G1407" t="s">
        <v>184</v>
      </c>
      <c r="H1407" t="s">
        <v>78</v>
      </c>
      <c r="I1407" t="s">
        <v>163</v>
      </c>
      <c r="J1407" t="s">
        <v>3021</v>
      </c>
      <c r="K1407" t="s">
        <v>105</v>
      </c>
      <c r="L1407" t="s">
        <v>187</v>
      </c>
      <c r="M1407" t="s">
        <v>39</v>
      </c>
      <c r="N1407" t="s">
        <v>94</v>
      </c>
      <c r="O1407" s="4">
        <v>4</v>
      </c>
      <c r="P1407" s="4">
        <v>11</v>
      </c>
      <c r="Q1407" t="s">
        <v>58</v>
      </c>
      <c r="R1407" s="2">
        <v>46182</v>
      </c>
      <c r="S1407" s="4">
        <v>21</v>
      </c>
      <c r="T1407" s="3">
        <v>149000000</v>
      </c>
      <c r="U1407" t="s">
        <v>42</v>
      </c>
      <c r="V1407" t="s">
        <v>59</v>
      </c>
      <c r="W1407" t="s">
        <v>267</v>
      </c>
      <c r="Y1407" t="s">
        <v>228</v>
      </c>
      <c r="Z1407" t="s">
        <v>3179</v>
      </c>
      <c r="AA1407" t="s">
        <v>86</v>
      </c>
      <c r="AB1407" t="s">
        <v>97</v>
      </c>
      <c r="AC1407" t="s">
        <v>86</v>
      </c>
    </row>
    <row r="1408" spans="1:29">
      <c r="A1408" t="s">
        <v>1825</v>
      </c>
      <c r="B1408" s="2">
        <v>46184</v>
      </c>
      <c r="C1408" t="s">
        <v>30</v>
      </c>
      <c r="D1408" t="s">
        <v>99</v>
      </c>
      <c r="E1408" t="s">
        <v>100</v>
      </c>
      <c r="F1408" t="s">
        <v>101</v>
      </c>
      <c r="G1408" t="s">
        <v>313</v>
      </c>
      <c r="H1408" t="s">
        <v>148</v>
      </c>
      <c r="I1408" t="s">
        <v>724</v>
      </c>
      <c r="J1408" t="s">
        <v>3148</v>
      </c>
      <c r="K1408" t="s">
        <v>37</v>
      </c>
      <c r="L1408" t="s">
        <v>80</v>
      </c>
      <c r="M1408" t="s">
        <v>56</v>
      </c>
      <c r="N1408" t="s">
        <v>130</v>
      </c>
      <c r="O1408" s="4">
        <v>5</v>
      </c>
      <c r="P1408" s="4">
        <v>17</v>
      </c>
      <c r="Q1408" t="s">
        <v>107</v>
      </c>
      <c r="R1408" s="2">
        <v>46180</v>
      </c>
      <c r="S1408" s="4">
        <v>23</v>
      </c>
      <c r="T1408" s="3">
        <v>66000000</v>
      </c>
      <c r="U1408" t="s">
        <v>260</v>
      </c>
      <c r="V1408" t="s">
        <v>70</v>
      </c>
      <c r="W1408" t="s">
        <v>252</v>
      </c>
      <c r="X1408" t="s">
        <v>261</v>
      </c>
      <c r="Y1408" t="s">
        <v>132</v>
      </c>
      <c r="Z1408" t="s">
        <v>3179</v>
      </c>
      <c r="AA1408" t="s">
        <v>109</v>
      </c>
      <c r="AB1408" t="s">
        <v>97</v>
      </c>
      <c r="AC1408" t="s">
        <v>109</v>
      </c>
    </row>
    <row r="1409" spans="1:29">
      <c r="A1409" t="s">
        <v>1826</v>
      </c>
      <c r="B1409" s="2">
        <v>46184</v>
      </c>
      <c r="C1409" t="s">
        <v>30</v>
      </c>
      <c r="D1409" t="s">
        <v>99</v>
      </c>
      <c r="E1409" t="s">
        <v>120</v>
      </c>
      <c r="F1409" t="s">
        <v>246</v>
      </c>
      <c r="G1409" t="s">
        <v>224</v>
      </c>
      <c r="H1409" t="s">
        <v>123</v>
      </c>
      <c r="I1409" t="s">
        <v>459</v>
      </c>
      <c r="J1409" t="s">
        <v>3093</v>
      </c>
      <c r="K1409" t="s">
        <v>56</v>
      </c>
      <c r="L1409" t="s">
        <v>80</v>
      </c>
      <c r="M1409" t="s">
        <v>56</v>
      </c>
      <c r="N1409" t="s">
        <v>130</v>
      </c>
      <c r="O1409" s="4">
        <v>5</v>
      </c>
      <c r="P1409" s="4">
        <v>14</v>
      </c>
      <c r="Q1409" t="s">
        <v>83</v>
      </c>
      <c r="R1409" s="2">
        <v>46179</v>
      </c>
      <c r="S1409" s="4">
        <v>24</v>
      </c>
      <c r="T1409" s="3">
        <v>385000000</v>
      </c>
      <c r="U1409" t="s">
        <v>42</v>
      </c>
      <c r="V1409" t="s">
        <v>143</v>
      </c>
      <c r="W1409" t="s">
        <v>131</v>
      </c>
      <c r="Y1409" t="s">
        <v>262</v>
      </c>
      <c r="Z1409" t="s">
        <v>3179</v>
      </c>
      <c r="AA1409" t="s">
        <v>97</v>
      </c>
      <c r="AB1409" t="s">
        <v>97</v>
      </c>
      <c r="AC1409" t="s">
        <v>97</v>
      </c>
    </row>
    <row r="1410" spans="1:29">
      <c r="A1410" t="s">
        <v>1827</v>
      </c>
      <c r="B1410" s="2">
        <v>46190</v>
      </c>
      <c r="C1410" t="s">
        <v>30</v>
      </c>
      <c r="D1410" t="s">
        <v>74</v>
      </c>
      <c r="E1410" t="s">
        <v>100</v>
      </c>
      <c r="F1410" t="s">
        <v>146</v>
      </c>
      <c r="G1410" t="s">
        <v>147</v>
      </c>
      <c r="H1410" t="s">
        <v>103</v>
      </c>
      <c r="I1410" t="s">
        <v>104</v>
      </c>
      <c r="J1410" t="s">
        <v>3013</v>
      </c>
      <c r="K1410" t="s">
        <v>92</v>
      </c>
      <c r="L1410" t="s">
        <v>55</v>
      </c>
      <c r="M1410" t="s">
        <v>93</v>
      </c>
      <c r="N1410" t="s">
        <v>82</v>
      </c>
      <c r="O1410" s="4">
        <v>1</v>
      </c>
      <c r="P1410" s="4">
        <v>11</v>
      </c>
      <c r="Q1410" t="s">
        <v>83</v>
      </c>
      <c r="R1410" s="2">
        <v>46185</v>
      </c>
      <c r="S1410" s="4">
        <v>18</v>
      </c>
      <c r="T1410" s="3">
        <v>47000000</v>
      </c>
      <c r="U1410" t="s">
        <v>42</v>
      </c>
      <c r="V1410" t="s">
        <v>43</v>
      </c>
      <c r="W1410" t="s">
        <v>84</v>
      </c>
      <c r="Y1410" t="s">
        <v>305</v>
      </c>
      <c r="Z1410" t="s">
        <v>3178</v>
      </c>
      <c r="AA1410" t="s">
        <v>109</v>
      </c>
      <c r="AB1410" t="s">
        <v>87</v>
      </c>
      <c r="AC1410" t="s">
        <v>109</v>
      </c>
    </row>
    <row r="1411" spans="1:29">
      <c r="A1411" t="s">
        <v>1828</v>
      </c>
      <c r="B1411" s="2">
        <v>46186</v>
      </c>
      <c r="C1411" t="s">
        <v>30</v>
      </c>
      <c r="D1411" t="s">
        <v>99</v>
      </c>
      <c r="E1411" t="s">
        <v>32</v>
      </c>
      <c r="F1411" t="s">
        <v>33</v>
      </c>
      <c r="G1411" t="s">
        <v>257</v>
      </c>
      <c r="H1411" t="s">
        <v>258</v>
      </c>
      <c r="I1411" t="s">
        <v>651</v>
      </c>
      <c r="J1411" t="s">
        <v>3141</v>
      </c>
      <c r="K1411" t="s">
        <v>105</v>
      </c>
      <c r="L1411" t="s">
        <v>150</v>
      </c>
      <c r="M1411" t="s">
        <v>106</v>
      </c>
      <c r="N1411" t="s">
        <v>130</v>
      </c>
      <c r="O1411" s="4">
        <v>5</v>
      </c>
      <c r="P1411" s="4">
        <v>3</v>
      </c>
      <c r="Q1411" t="s">
        <v>138</v>
      </c>
      <c r="R1411" s="2">
        <v>46176</v>
      </c>
      <c r="S1411" s="4">
        <v>27</v>
      </c>
      <c r="T1411" s="3">
        <v>123000000</v>
      </c>
      <c r="U1411" t="s">
        <v>42</v>
      </c>
      <c r="V1411" t="s">
        <v>70</v>
      </c>
      <c r="W1411" t="s">
        <v>144</v>
      </c>
      <c r="X1411" t="s">
        <v>117</v>
      </c>
      <c r="Y1411" t="s">
        <v>334</v>
      </c>
      <c r="Z1411" t="s">
        <v>3179</v>
      </c>
      <c r="AA1411" t="s">
        <v>46</v>
      </c>
      <c r="AB1411" t="s">
        <v>97</v>
      </c>
      <c r="AC1411" t="s">
        <v>46</v>
      </c>
    </row>
    <row r="1412" spans="1:29">
      <c r="A1412" t="s">
        <v>1829</v>
      </c>
      <c r="B1412" s="2">
        <v>46183</v>
      </c>
      <c r="C1412" t="s">
        <v>30</v>
      </c>
      <c r="D1412" t="s">
        <v>99</v>
      </c>
      <c r="E1412" t="s">
        <v>152</v>
      </c>
      <c r="F1412" t="s">
        <v>205</v>
      </c>
      <c r="G1412" t="s">
        <v>286</v>
      </c>
      <c r="H1412" t="s">
        <v>207</v>
      </c>
      <c r="I1412" t="s">
        <v>208</v>
      </c>
      <c r="J1412" t="s">
        <v>3027</v>
      </c>
      <c r="K1412" t="s">
        <v>37</v>
      </c>
      <c r="L1412" t="s">
        <v>68</v>
      </c>
      <c r="M1412" t="s">
        <v>81</v>
      </c>
      <c r="N1412" t="s">
        <v>82</v>
      </c>
      <c r="O1412" s="4">
        <v>1</v>
      </c>
      <c r="P1412" s="4">
        <v>8</v>
      </c>
      <c r="Q1412" t="s">
        <v>107</v>
      </c>
      <c r="R1412" s="2">
        <v>46174</v>
      </c>
      <c r="S1412" s="4">
        <v>29</v>
      </c>
      <c r="T1412" s="3">
        <v>115000000</v>
      </c>
      <c r="U1412" t="s">
        <v>42</v>
      </c>
      <c r="V1412" t="s">
        <v>43</v>
      </c>
      <c r="W1412" t="s">
        <v>404</v>
      </c>
      <c r="Y1412" t="s">
        <v>305</v>
      </c>
      <c r="Z1412" t="s">
        <v>3178</v>
      </c>
      <c r="AA1412" t="s">
        <v>159</v>
      </c>
      <c r="AB1412" t="s">
        <v>87</v>
      </c>
      <c r="AC1412" t="s">
        <v>159</v>
      </c>
    </row>
    <row r="1413" spans="1:29">
      <c r="A1413" t="s">
        <v>1830</v>
      </c>
      <c r="B1413" s="2">
        <v>46176</v>
      </c>
      <c r="C1413" t="s">
        <v>30</v>
      </c>
      <c r="D1413" t="s">
        <v>134</v>
      </c>
      <c r="E1413" t="s">
        <v>120</v>
      </c>
      <c r="F1413" t="s">
        <v>246</v>
      </c>
      <c r="G1413" t="s">
        <v>224</v>
      </c>
      <c r="H1413" t="s">
        <v>123</v>
      </c>
      <c r="I1413" t="s">
        <v>459</v>
      </c>
      <c r="J1413" t="s">
        <v>3093</v>
      </c>
      <c r="K1413" t="s">
        <v>92</v>
      </c>
      <c r="L1413" t="s">
        <v>150</v>
      </c>
      <c r="M1413" t="s">
        <v>106</v>
      </c>
      <c r="N1413" t="s">
        <v>40</v>
      </c>
      <c r="O1413" s="4">
        <v>2</v>
      </c>
      <c r="P1413" s="4">
        <v>8</v>
      </c>
      <c r="Q1413" t="s">
        <v>107</v>
      </c>
      <c r="R1413" s="2">
        <v>46173</v>
      </c>
      <c r="S1413" s="4">
        <v>30</v>
      </c>
      <c r="T1413" s="3">
        <v>86000000</v>
      </c>
      <c r="U1413" t="s">
        <v>260</v>
      </c>
      <c r="V1413" t="s">
        <v>59</v>
      </c>
      <c r="W1413" t="s">
        <v>44</v>
      </c>
      <c r="X1413" t="s">
        <v>179</v>
      </c>
      <c r="Y1413" t="s">
        <v>281</v>
      </c>
      <c r="Z1413" t="s">
        <v>3178</v>
      </c>
      <c r="AA1413" t="s">
        <v>97</v>
      </c>
      <c r="AB1413" t="s">
        <v>87</v>
      </c>
      <c r="AC1413" t="s">
        <v>97</v>
      </c>
    </row>
    <row r="1414" spans="1:29">
      <c r="A1414" t="s">
        <v>1831</v>
      </c>
      <c r="B1414" s="2">
        <v>46186</v>
      </c>
      <c r="C1414" t="s">
        <v>30</v>
      </c>
      <c r="D1414" t="s">
        <v>99</v>
      </c>
      <c r="E1414" t="s">
        <v>50</v>
      </c>
      <c r="F1414" t="s">
        <v>51</v>
      </c>
      <c r="G1414" t="s">
        <v>234</v>
      </c>
      <c r="H1414" t="s">
        <v>66</v>
      </c>
      <c r="I1414" t="s">
        <v>346</v>
      </c>
      <c r="J1414" t="s">
        <v>3058</v>
      </c>
      <c r="K1414" t="s">
        <v>37</v>
      </c>
      <c r="L1414" t="s">
        <v>150</v>
      </c>
      <c r="M1414" t="s">
        <v>39</v>
      </c>
      <c r="N1414" t="s">
        <v>57</v>
      </c>
      <c r="O1414" s="4">
        <v>3</v>
      </c>
      <c r="P1414" s="4">
        <v>6</v>
      </c>
      <c r="Q1414" t="s">
        <v>142</v>
      </c>
      <c r="R1414" s="2">
        <v>46185</v>
      </c>
      <c r="S1414" s="4">
        <v>18</v>
      </c>
      <c r="T1414" s="3">
        <v>114000000</v>
      </c>
      <c r="U1414" t="s">
        <v>177</v>
      </c>
      <c r="V1414" t="s">
        <v>59</v>
      </c>
      <c r="W1414" t="s">
        <v>71</v>
      </c>
      <c r="X1414" t="s">
        <v>308</v>
      </c>
      <c r="Y1414" t="s">
        <v>61</v>
      </c>
      <c r="Z1414" t="s">
        <v>3177</v>
      </c>
      <c r="AA1414" t="s">
        <v>62</v>
      </c>
      <c r="AB1414" t="s">
        <v>63</v>
      </c>
      <c r="AC1414" t="s">
        <v>62</v>
      </c>
    </row>
    <row r="1415" spans="1:29">
      <c r="A1415" t="s">
        <v>1832</v>
      </c>
      <c r="B1415" s="2">
        <v>46176</v>
      </c>
      <c r="C1415" t="s">
        <v>30</v>
      </c>
      <c r="D1415" t="s">
        <v>134</v>
      </c>
      <c r="E1415" t="s">
        <v>172</v>
      </c>
      <c r="F1415" t="s">
        <v>173</v>
      </c>
      <c r="G1415" t="s">
        <v>278</v>
      </c>
      <c r="H1415" t="s">
        <v>241</v>
      </c>
      <c r="I1415" t="s">
        <v>379</v>
      </c>
      <c r="J1415" t="s">
        <v>3069</v>
      </c>
      <c r="K1415" t="s">
        <v>37</v>
      </c>
      <c r="L1415" t="s">
        <v>38</v>
      </c>
      <c r="M1415" t="s">
        <v>56</v>
      </c>
      <c r="N1415" t="s">
        <v>130</v>
      </c>
      <c r="O1415" s="4">
        <v>5</v>
      </c>
      <c r="P1415" s="4">
        <v>7</v>
      </c>
      <c r="Q1415" t="s">
        <v>138</v>
      </c>
      <c r="R1415" s="2">
        <v>46175</v>
      </c>
      <c r="S1415" s="4">
        <v>28</v>
      </c>
      <c r="T1415" s="3">
        <v>276000000</v>
      </c>
      <c r="U1415" t="s">
        <v>42</v>
      </c>
      <c r="V1415" t="s">
        <v>59</v>
      </c>
      <c r="W1415" t="s">
        <v>131</v>
      </c>
      <c r="Y1415" t="s">
        <v>334</v>
      </c>
      <c r="Z1415" t="s">
        <v>3179</v>
      </c>
      <c r="AA1415" t="s">
        <v>181</v>
      </c>
      <c r="AB1415" t="s">
        <v>97</v>
      </c>
      <c r="AC1415" t="s">
        <v>181</v>
      </c>
    </row>
    <row r="1416" spans="1:29">
      <c r="A1416" t="s">
        <v>1833</v>
      </c>
      <c r="B1416" s="2">
        <v>46187</v>
      </c>
      <c r="C1416" t="s">
        <v>30</v>
      </c>
      <c r="D1416" t="s">
        <v>99</v>
      </c>
      <c r="E1416" t="s">
        <v>120</v>
      </c>
      <c r="F1416" t="s">
        <v>246</v>
      </c>
      <c r="G1416" t="s">
        <v>227</v>
      </c>
      <c r="H1416" t="s">
        <v>136</v>
      </c>
      <c r="I1416" t="s">
        <v>627</v>
      </c>
      <c r="J1416" t="s">
        <v>3134</v>
      </c>
      <c r="K1416" t="s">
        <v>56</v>
      </c>
      <c r="L1416" t="s">
        <v>80</v>
      </c>
      <c r="M1416" t="s">
        <v>56</v>
      </c>
      <c r="N1416" t="s">
        <v>130</v>
      </c>
      <c r="O1416" s="4">
        <v>5</v>
      </c>
      <c r="P1416" s="4">
        <v>14</v>
      </c>
      <c r="Q1416" t="s">
        <v>83</v>
      </c>
      <c r="R1416" s="2">
        <v>46179</v>
      </c>
      <c r="S1416" s="4">
        <v>24</v>
      </c>
      <c r="T1416" s="3">
        <v>150000000</v>
      </c>
      <c r="U1416" t="s">
        <v>42</v>
      </c>
      <c r="V1416" t="s">
        <v>70</v>
      </c>
      <c r="W1416" t="s">
        <v>131</v>
      </c>
      <c r="Y1416" t="s">
        <v>254</v>
      </c>
      <c r="Z1416" t="s">
        <v>3179</v>
      </c>
      <c r="AA1416" t="s">
        <v>97</v>
      </c>
      <c r="AB1416" t="s">
        <v>97</v>
      </c>
      <c r="AC1416" t="s">
        <v>97</v>
      </c>
    </row>
    <row r="1417" spans="1:29">
      <c r="A1417" t="s">
        <v>1834</v>
      </c>
      <c r="B1417" s="2">
        <v>46182</v>
      </c>
      <c r="C1417" t="s">
        <v>30</v>
      </c>
      <c r="D1417" t="s">
        <v>99</v>
      </c>
      <c r="E1417" t="s">
        <v>100</v>
      </c>
      <c r="F1417" t="s">
        <v>140</v>
      </c>
      <c r="G1417" t="s">
        <v>313</v>
      </c>
      <c r="H1417" t="s">
        <v>201</v>
      </c>
      <c r="I1417" t="s">
        <v>371</v>
      </c>
      <c r="J1417" t="s">
        <v>3065</v>
      </c>
      <c r="K1417" t="s">
        <v>56</v>
      </c>
      <c r="L1417" t="s">
        <v>187</v>
      </c>
      <c r="M1417" t="s">
        <v>129</v>
      </c>
      <c r="N1417" t="s">
        <v>130</v>
      </c>
      <c r="O1417" s="4">
        <v>5</v>
      </c>
      <c r="P1417" s="4">
        <v>17</v>
      </c>
      <c r="Q1417" t="s">
        <v>142</v>
      </c>
      <c r="R1417" s="2">
        <v>46181</v>
      </c>
      <c r="S1417" s="4">
        <v>22</v>
      </c>
      <c r="T1417" s="3">
        <v>328000000</v>
      </c>
      <c r="U1417" t="s">
        <v>42</v>
      </c>
      <c r="V1417" t="s">
        <v>59</v>
      </c>
      <c r="W1417" t="s">
        <v>144</v>
      </c>
      <c r="Y1417" t="s">
        <v>254</v>
      </c>
      <c r="Z1417" t="s">
        <v>3179</v>
      </c>
      <c r="AA1417" t="s">
        <v>109</v>
      </c>
      <c r="AB1417" t="s">
        <v>97</v>
      </c>
      <c r="AC1417" t="s">
        <v>109</v>
      </c>
    </row>
    <row r="1418" spans="1:29">
      <c r="A1418" t="s">
        <v>1835</v>
      </c>
      <c r="B1418" s="2">
        <v>46175</v>
      </c>
      <c r="C1418" t="s">
        <v>30</v>
      </c>
      <c r="D1418" t="s">
        <v>134</v>
      </c>
      <c r="E1418" t="s">
        <v>120</v>
      </c>
      <c r="F1418" t="s">
        <v>121</v>
      </c>
      <c r="G1418" t="s">
        <v>227</v>
      </c>
      <c r="H1418" t="s">
        <v>123</v>
      </c>
      <c r="I1418" t="s">
        <v>459</v>
      </c>
      <c r="J1418" t="s">
        <v>3093</v>
      </c>
      <c r="K1418" t="s">
        <v>92</v>
      </c>
      <c r="L1418" t="s">
        <v>68</v>
      </c>
      <c r="M1418" t="s">
        <v>39</v>
      </c>
      <c r="N1418" t="s">
        <v>130</v>
      </c>
      <c r="O1418" s="4">
        <v>5</v>
      </c>
      <c r="P1418" s="4">
        <v>8</v>
      </c>
      <c r="Q1418" t="s">
        <v>138</v>
      </c>
      <c r="R1418" s="2">
        <v>46169</v>
      </c>
      <c r="S1418" s="4">
        <v>34</v>
      </c>
      <c r="T1418" s="3">
        <v>179000000</v>
      </c>
      <c r="U1418" t="s">
        <v>42</v>
      </c>
      <c r="V1418" t="s">
        <v>70</v>
      </c>
      <c r="W1418" t="s">
        <v>252</v>
      </c>
      <c r="Y1418" t="s">
        <v>262</v>
      </c>
      <c r="Z1418" t="s">
        <v>3179</v>
      </c>
      <c r="AA1418" t="s">
        <v>97</v>
      </c>
      <c r="AB1418" t="s">
        <v>97</v>
      </c>
      <c r="AC1418" t="s">
        <v>97</v>
      </c>
    </row>
    <row r="1419" spans="1:29">
      <c r="A1419" t="s">
        <v>1836</v>
      </c>
      <c r="B1419" s="2">
        <v>46203</v>
      </c>
      <c r="C1419" t="s">
        <v>30</v>
      </c>
      <c r="D1419" t="s">
        <v>31</v>
      </c>
      <c r="E1419" t="s">
        <v>32</v>
      </c>
      <c r="F1419" t="s">
        <v>33</v>
      </c>
      <c r="G1419" t="s">
        <v>257</v>
      </c>
      <c r="H1419" t="s">
        <v>35</v>
      </c>
      <c r="I1419" t="s">
        <v>219</v>
      </c>
      <c r="J1419" t="s">
        <v>3028</v>
      </c>
      <c r="K1419" t="s">
        <v>56</v>
      </c>
      <c r="L1419" t="s">
        <v>80</v>
      </c>
      <c r="M1419" t="s">
        <v>93</v>
      </c>
      <c r="N1419" t="s">
        <v>82</v>
      </c>
      <c r="O1419" s="4">
        <v>1</v>
      </c>
      <c r="P1419" s="4">
        <v>4</v>
      </c>
      <c r="Q1419" t="s">
        <v>41</v>
      </c>
      <c r="R1419" s="2">
        <v>46193</v>
      </c>
      <c r="S1419" s="4">
        <v>10</v>
      </c>
      <c r="T1419" s="3">
        <v>176000000</v>
      </c>
      <c r="U1419" t="s">
        <v>42</v>
      </c>
      <c r="V1419" t="s">
        <v>43</v>
      </c>
      <c r="W1419" t="s">
        <v>404</v>
      </c>
      <c r="Y1419" t="s">
        <v>330</v>
      </c>
      <c r="Z1419" t="s">
        <v>3176</v>
      </c>
      <c r="AA1419" t="s">
        <v>46</v>
      </c>
      <c r="AB1419" t="s">
        <v>47</v>
      </c>
      <c r="AC1419" t="s">
        <v>46</v>
      </c>
    </row>
    <row r="1420" spans="1:29">
      <c r="A1420" t="s">
        <v>1837</v>
      </c>
      <c r="B1420" s="2">
        <v>46195</v>
      </c>
      <c r="C1420" t="s">
        <v>30</v>
      </c>
      <c r="D1420" t="s">
        <v>49</v>
      </c>
      <c r="E1420" t="s">
        <v>111</v>
      </c>
      <c r="F1420" t="s">
        <v>112</v>
      </c>
      <c r="G1420" t="s">
        <v>113</v>
      </c>
      <c r="H1420" t="s">
        <v>127</v>
      </c>
      <c r="I1420" t="s">
        <v>128</v>
      </c>
      <c r="J1420" t="s">
        <v>3016</v>
      </c>
      <c r="K1420" t="s">
        <v>116</v>
      </c>
      <c r="L1420" t="s">
        <v>55</v>
      </c>
      <c r="M1420" t="s">
        <v>106</v>
      </c>
      <c r="N1420" t="s">
        <v>40</v>
      </c>
      <c r="O1420" s="4">
        <v>2</v>
      </c>
      <c r="P1420" s="4">
        <v>12</v>
      </c>
      <c r="Q1420" t="s">
        <v>83</v>
      </c>
      <c r="R1420" s="2">
        <v>46189</v>
      </c>
      <c r="S1420" s="4">
        <v>14</v>
      </c>
      <c r="T1420" s="3">
        <v>35000000</v>
      </c>
      <c r="U1420" t="s">
        <v>42</v>
      </c>
      <c r="V1420" t="s">
        <v>43</v>
      </c>
      <c r="W1420" t="s">
        <v>298</v>
      </c>
      <c r="Y1420" t="s">
        <v>180</v>
      </c>
      <c r="Z1420" t="s">
        <v>3180</v>
      </c>
      <c r="AA1420" t="s">
        <v>118</v>
      </c>
      <c r="AB1420" t="s">
        <v>193</v>
      </c>
      <c r="AC1420" t="s">
        <v>118</v>
      </c>
    </row>
    <row r="1421" spans="1:29">
      <c r="A1421" t="s">
        <v>1838</v>
      </c>
      <c r="B1421" s="2">
        <v>46199</v>
      </c>
      <c r="C1421" t="s">
        <v>30</v>
      </c>
      <c r="D1421" t="s">
        <v>49</v>
      </c>
      <c r="E1421" t="s">
        <v>152</v>
      </c>
      <c r="F1421" t="s">
        <v>205</v>
      </c>
      <c r="G1421" t="s">
        <v>328</v>
      </c>
      <c r="H1421" t="s">
        <v>155</v>
      </c>
      <c r="I1421" t="s">
        <v>537</v>
      </c>
      <c r="J1421" t="s">
        <v>3113</v>
      </c>
      <c r="K1421" t="s">
        <v>37</v>
      </c>
      <c r="L1421" t="s">
        <v>80</v>
      </c>
      <c r="M1421" t="s">
        <v>129</v>
      </c>
      <c r="N1421" t="s">
        <v>94</v>
      </c>
      <c r="O1421" s="4">
        <v>4</v>
      </c>
      <c r="P1421" s="4">
        <v>15</v>
      </c>
      <c r="Q1421" t="s">
        <v>41</v>
      </c>
      <c r="R1421" s="2">
        <v>46193</v>
      </c>
      <c r="S1421" s="4">
        <v>10</v>
      </c>
      <c r="T1421" s="3">
        <v>247000000</v>
      </c>
      <c r="U1421" t="s">
        <v>426</v>
      </c>
      <c r="V1421" t="s">
        <v>59</v>
      </c>
      <c r="W1421" t="s">
        <v>95</v>
      </c>
      <c r="X1421" t="s">
        <v>422</v>
      </c>
      <c r="Y1421" t="s">
        <v>268</v>
      </c>
      <c r="Z1421" t="s">
        <v>3179</v>
      </c>
      <c r="AA1421" t="s">
        <v>159</v>
      </c>
      <c r="AB1421" t="s">
        <v>97</v>
      </c>
      <c r="AC1421" t="s">
        <v>159</v>
      </c>
    </row>
    <row r="1422" spans="1:29">
      <c r="A1422" t="s">
        <v>1839</v>
      </c>
      <c r="B1422" s="2">
        <v>46178</v>
      </c>
      <c r="C1422" t="s">
        <v>30</v>
      </c>
      <c r="D1422" t="s">
        <v>134</v>
      </c>
      <c r="E1422" t="s">
        <v>100</v>
      </c>
      <c r="F1422" t="s">
        <v>101</v>
      </c>
      <c r="G1422" t="s">
        <v>313</v>
      </c>
      <c r="H1422" t="s">
        <v>103</v>
      </c>
      <c r="I1422" t="s">
        <v>994</v>
      </c>
      <c r="J1422" t="s">
        <v>3169</v>
      </c>
      <c r="K1422" t="s">
        <v>37</v>
      </c>
      <c r="L1422" t="s">
        <v>80</v>
      </c>
      <c r="M1422" t="s">
        <v>93</v>
      </c>
      <c r="N1422" t="s">
        <v>213</v>
      </c>
      <c r="O1422" s="4">
        <v>6</v>
      </c>
      <c r="P1422" s="4">
        <v>13</v>
      </c>
      <c r="Q1422" t="s">
        <v>83</v>
      </c>
      <c r="R1422" s="2">
        <v>46174</v>
      </c>
      <c r="S1422" s="4">
        <v>29</v>
      </c>
      <c r="T1422" s="3">
        <v>171000000</v>
      </c>
      <c r="U1422" t="s">
        <v>42</v>
      </c>
      <c r="V1422" t="s">
        <v>70</v>
      </c>
      <c r="W1422" t="s">
        <v>438</v>
      </c>
      <c r="X1422" t="s">
        <v>117</v>
      </c>
      <c r="Y1422" t="s">
        <v>424</v>
      </c>
      <c r="Z1422" t="s">
        <v>3179</v>
      </c>
      <c r="AA1422" t="s">
        <v>109</v>
      </c>
      <c r="AB1422" t="s">
        <v>97</v>
      </c>
      <c r="AC1422" t="s">
        <v>109</v>
      </c>
    </row>
    <row r="1423" spans="1:29">
      <c r="A1423" t="s">
        <v>1840</v>
      </c>
      <c r="B1423" s="2">
        <v>46184</v>
      </c>
      <c r="C1423" t="s">
        <v>30</v>
      </c>
      <c r="D1423" t="s">
        <v>99</v>
      </c>
      <c r="E1423" t="s">
        <v>120</v>
      </c>
      <c r="F1423" t="s">
        <v>121</v>
      </c>
      <c r="G1423" t="s">
        <v>227</v>
      </c>
      <c r="H1423" t="s">
        <v>136</v>
      </c>
      <c r="I1423" t="s">
        <v>275</v>
      </c>
      <c r="J1423" t="s">
        <v>3039</v>
      </c>
      <c r="K1423" t="s">
        <v>92</v>
      </c>
      <c r="L1423" t="s">
        <v>80</v>
      </c>
      <c r="M1423" t="s">
        <v>81</v>
      </c>
      <c r="N1423" t="s">
        <v>213</v>
      </c>
      <c r="O1423" s="4">
        <v>6</v>
      </c>
      <c r="P1423" s="4">
        <v>8</v>
      </c>
      <c r="Q1423" t="s">
        <v>83</v>
      </c>
      <c r="R1423" s="2">
        <v>46181</v>
      </c>
      <c r="S1423" s="4">
        <v>22</v>
      </c>
      <c r="T1423" s="3">
        <v>81000000</v>
      </c>
      <c r="U1423" t="s">
        <v>214</v>
      </c>
      <c r="V1423" t="s">
        <v>70</v>
      </c>
      <c r="W1423" t="s">
        <v>390</v>
      </c>
      <c r="Y1423" t="s">
        <v>249</v>
      </c>
      <c r="Z1423" t="s">
        <v>3179</v>
      </c>
      <c r="AA1423" t="s">
        <v>97</v>
      </c>
      <c r="AB1423" t="s">
        <v>97</v>
      </c>
      <c r="AC1423" t="s">
        <v>97</v>
      </c>
    </row>
    <row r="1424" spans="1:29">
      <c r="A1424" t="s">
        <v>1841</v>
      </c>
      <c r="B1424" s="2">
        <v>46203</v>
      </c>
      <c r="C1424" t="s">
        <v>30</v>
      </c>
      <c r="D1424" t="s">
        <v>31</v>
      </c>
      <c r="E1424" t="s">
        <v>75</v>
      </c>
      <c r="F1424" t="s">
        <v>76</v>
      </c>
      <c r="G1424" t="s">
        <v>77</v>
      </c>
      <c r="H1424" t="s">
        <v>78</v>
      </c>
      <c r="I1424" t="s">
        <v>1145</v>
      </c>
      <c r="J1424" t="s">
        <v>3174</v>
      </c>
      <c r="K1424" t="s">
        <v>105</v>
      </c>
      <c r="L1424" t="s">
        <v>80</v>
      </c>
      <c r="M1424" t="s">
        <v>106</v>
      </c>
      <c r="N1424" t="s">
        <v>196</v>
      </c>
      <c r="O1424" s="4">
        <v>7</v>
      </c>
      <c r="P1424" s="4">
        <v>11</v>
      </c>
      <c r="Q1424" t="s">
        <v>69</v>
      </c>
      <c r="R1424" s="2">
        <v>46199</v>
      </c>
      <c r="S1424" s="4">
        <v>4</v>
      </c>
      <c r="T1424" s="3">
        <v>229000000</v>
      </c>
      <c r="U1424" t="s">
        <v>564</v>
      </c>
      <c r="V1424" t="s">
        <v>70</v>
      </c>
      <c r="W1424" t="s">
        <v>675</v>
      </c>
      <c r="Y1424" t="s">
        <v>198</v>
      </c>
      <c r="Z1424" t="s">
        <v>3181</v>
      </c>
      <c r="AA1424" t="s">
        <v>86</v>
      </c>
      <c r="AB1424" t="s">
        <v>199</v>
      </c>
      <c r="AC1424" t="s">
        <v>86</v>
      </c>
    </row>
    <row r="1425" spans="1:29">
      <c r="A1425" t="s">
        <v>1842</v>
      </c>
      <c r="B1425" s="2">
        <v>46180</v>
      </c>
      <c r="C1425" t="s">
        <v>30</v>
      </c>
      <c r="D1425" t="s">
        <v>134</v>
      </c>
      <c r="E1425" t="s">
        <v>111</v>
      </c>
      <c r="F1425" t="s">
        <v>264</v>
      </c>
      <c r="G1425" t="s">
        <v>348</v>
      </c>
      <c r="H1425" t="s">
        <v>127</v>
      </c>
      <c r="I1425" t="s">
        <v>349</v>
      </c>
      <c r="J1425" t="s">
        <v>3059</v>
      </c>
      <c r="K1425" t="s">
        <v>92</v>
      </c>
      <c r="L1425" t="s">
        <v>38</v>
      </c>
      <c r="M1425" t="s">
        <v>106</v>
      </c>
      <c r="N1425" t="s">
        <v>130</v>
      </c>
      <c r="O1425" s="4">
        <v>5</v>
      </c>
      <c r="P1425" s="4">
        <v>13</v>
      </c>
      <c r="Q1425" t="s">
        <v>107</v>
      </c>
      <c r="R1425" s="2">
        <v>46170</v>
      </c>
      <c r="S1425" s="4">
        <v>33</v>
      </c>
      <c r="T1425" s="3">
        <v>186000000</v>
      </c>
      <c r="U1425" t="s">
        <v>42</v>
      </c>
      <c r="V1425" t="s">
        <v>59</v>
      </c>
      <c r="W1425" t="s">
        <v>144</v>
      </c>
      <c r="Y1425" t="s">
        <v>262</v>
      </c>
      <c r="Z1425" t="s">
        <v>3179</v>
      </c>
      <c r="AA1425" t="s">
        <v>118</v>
      </c>
      <c r="AB1425" t="s">
        <v>97</v>
      </c>
      <c r="AC1425" t="s">
        <v>118</v>
      </c>
    </row>
    <row r="1426" spans="1:29">
      <c r="A1426" t="s">
        <v>1843</v>
      </c>
      <c r="B1426" s="2">
        <v>46175</v>
      </c>
      <c r="C1426" t="s">
        <v>30</v>
      </c>
      <c r="D1426" t="s">
        <v>134</v>
      </c>
      <c r="E1426" t="s">
        <v>100</v>
      </c>
      <c r="F1426" t="s">
        <v>101</v>
      </c>
      <c r="G1426" t="s">
        <v>212</v>
      </c>
      <c r="H1426" t="s">
        <v>148</v>
      </c>
      <c r="I1426" t="s">
        <v>149</v>
      </c>
      <c r="J1426" t="s">
        <v>3019</v>
      </c>
      <c r="K1426" t="s">
        <v>37</v>
      </c>
      <c r="L1426" t="s">
        <v>150</v>
      </c>
      <c r="M1426" t="s">
        <v>129</v>
      </c>
      <c r="N1426" t="s">
        <v>40</v>
      </c>
      <c r="O1426" s="4">
        <v>2</v>
      </c>
      <c r="P1426" s="4">
        <v>15</v>
      </c>
      <c r="Q1426" t="s">
        <v>138</v>
      </c>
      <c r="R1426" s="2">
        <v>46165</v>
      </c>
      <c r="S1426" s="4">
        <v>38</v>
      </c>
      <c r="T1426" s="3">
        <v>147000000</v>
      </c>
      <c r="U1426" t="s">
        <v>42</v>
      </c>
      <c r="V1426" t="s">
        <v>59</v>
      </c>
      <c r="W1426" t="s">
        <v>239</v>
      </c>
      <c r="Y1426" t="s">
        <v>45</v>
      </c>
      <c r="Z1426" t="s">
        <v>3180</v>
      </c>
      <c r="AA1426" t="s">
        <v>109</v>
      </c>
      <c r="AB1426" t="s">
        <v>193</v>
      </c>
      <c r="AC1426" t="s">
        <v>109</v>
      </c>
    </row>
    <row r="1427" spans="1:29">
      <c r="A1427" t="s">
        <v>1844</v>
      </c>
      <c r="B1427" s="2">
        <v>46190</v>
      </c>
      <c r="C1427" t="s">
        <v>30</v>
      </c>
      <c r="D1427" t="s">
        <v>74</v>
      </c>
      <c r="E1427" t="s">
        <v>100</v>
      </c>
      <c r="F1427" t="s">
        <v>101</v>
      </c>
      <c r="G1427" t="s">
        <v>147</v>
      </c>
      <c r="H1427" t="s">
        <v>103</v>
      </c>
      <c r="I1427" t="s">
        <v>563</v>
      </c>
      <c r="J1427" t="s">
        <v>3120</v>
      </c>
      <c r="K1427" t="s">
        <v>105</v>
      </c>
      <c r="L1427" t="s">
        <v>38</v>
      </c>
      <c r="M1427" t="s">
        <v>93</v>
      </c>
      <c r="N1427" t="s">
        <v>57</v>
      </c>
      <c r="O1427" s="4">
        <v>3</v>
      </c>
      <c r="P1427" s="4">
        <v>14</v>
      </c>
      <c r="Q1427" t="s">
        <v>138</v>
      </c>
      <c r="R1427" s="2">
        <v>46182</v>
      </c>
      <c r="S1427" s="4">
        <v>21</v>
      </c>
      <c r="T1427" s="3">
        <v>331000000</v>
      </c>
      <c r="U1427" t="s">
        <v>42</v>
      </c>
      <c r="V1427" t="s">
        <v>59</v>
      </c>
      <c r="W1427" t="s">
        <v>203</v>
      </c>
      <c r="Y1427" t="s">
        <v>61</v>
      </c>
      <c r="Z1427" t="s">
        <v>3180</v>
      </c>
      <c r="AA1427" t="s">
        <v>109</v>
      </c>
      <c r="AB1427" t="s">
        <v>193</v>
      </c>
      <c r="AC1427" t="s">
        <v>109</v>
      </c>
    </row>
    <row r="1428" spans="1:29">
      <c r="A1428" t="s">
        <v>1845</v>
      </c>
      <c r="B1428" s="2">
        <v>46191</v>
      </c>
      <c r="C1428" t="s">
        <v>30</v>
      </c>
      <c r="D1428" t="s">
        <v>74</v>
      </c>
      <c r="E1428" t="s">
        <v>172</v>
      </c>
      <c r="F1428" t="s">
        <v>277</v>
      </c>
      <c r="G1428" t="s">
        <v>476</v>
      </c>
      <c r="H1428" t="s">
        <v>241</v>
      </c>
      <c r="I1428" t="s">
        <v>457</v>
      </c>
      <c r="J1428" t="s">
        <v>3092</v>
      </c>
      <c r="K1428" t="s">
        <v>56</v>
      </c>
      <c r="L1428" t="s">
        <v>187</v>
      </c>
      <c r="M1428" t="s">
        <v>81</v>
      </c>
      <c r="N1428" t="s">
        <v>40</v>
      </c>
      <c r="O1428" s="4">
        <v>2</v>
      </c>
      <c r="P1428" s="4">
        <v>5</v>
      </c>
      <c r="Q1428" t="s">
        <v>142</v>
      </c>
      <c r="R1428" s="2">
        <v>46183</v>
      </c>
      <c r="S1428" s="4">
        <v>20</v>
      </c>
      <c r="T1428" s="3">
        <v>342000000</v>
      </c>
      <c r="U1428" t="s">
        <v>42</v>
      </c>
      <c r="V1428" t="s">
        <v>43</v>
      </c>
      <c r="W1428" t="s">
        <v>44</v>
      </c>
      <c r="Y1428" t="s">
        <v>180</v>
      </c>
      <c r="Z1428" t="s">
        <v>3178</v>
      </c>
      <c r="AA1428" t="s">
        <v>181</v>
      </c>
      <c r="AB1428" t="s">
        <v>87</v>
      </c>
      <c r="AC1428" t="s">
        <v>181</v>
      </c>
    </row>
    <row r="1429" spans="1:29">
      <c r="A1429" t="s">
        <v>1846</v>
      </c>
      <c r="B1429" s="2">
        <v>46180</v>
      </c>
      <c r="C1429" t="s">
        <v>30</v>
      </c>
      <c r="D1429" t="s">
        <v>134</v>
      </c>
      <c r="E1429" t="s">
        <v>100</v>
      </c>
      <c r="F1429" t="s">
        <v>146</v>
      </c>
      <c r="G1429" t="s">
        <v>237</v>
      </c>
      <c r="H1429" t="s">
        <v>103</v>
      </c>
      <c r="I1429" t="s">
        <v>141</v>
      </c>
      <c r="J1429" t="s">
        <v>3018</v>
      </c>
      <c r="K1429" t="s">
        <v>56</v>
      </c>
      <c r="L1429" t="s">
        <v>187</v>
      </c>
      <c r="M1429" t="s">
        <v>39</v>
      </c>
      <c r="N1429" t="s">
        <v>40</v>
      </c>
      <c r="O1429" s="4">
        <v>2</v>
      </c>
      <c r="P1429" s="4">
        <v>9</v>
      </c>
      <c r="Q1429" t="s">
        <v>69</v>
      </c>
      <c r="R1429" s="2">
        <v>46179</v>
      </c>
      <c r="S1429" s="4">
        <v>24</v>
      </c>
      <c r="T1429" s="3">
        <v>297000000</v>
      </c>
      <c r="U1429" t="s">
        <v>42</v>
      </c>
      <c r="V1429" t="s">
        <v>43</v>
      </c>
      <c r="W1429" t="s">
        <v>178</v>
      </c>
      <c r="Y1429" t="s">
        <v>180</v>
      </c>
      <c r="Z1429" t="s">
        <v>3178</v>
      </c>
      <c r="AA1429" t="s">
        <v>109</v>
      </c>
      <c r="AB1429" t="s">
        <v>87</v>
      </c>
      <c r="AC1429" t="s">
        <v>109</v>
      </c>
    </row>
    <row r="1430" spans="1:29">
      <c r="A1430" t="s">
        <v>1847</v>
      </c>
      <c r="B1430" s="2">
        <v>46182</v>
      </c>
      <c r="C1430" t="s">
        <v>30</v>
      </c>
      <c r="D1430" t="s">
        <v>99</v>
      </c>
      <c r="E1430" t="s">
        <v>32</v>
      </c>
      <c r="F1430" t="s">
        <v>256</v>
      </c>
      <c r="G1430" t="s">
        <v>257</v>
      </c>
      <c r="H1430" t="s">
        <v>258</v>
      </c>
      <c r="I1430" t="s">
        <v>1756</v>
      </c>
      <c r="J1430" t="s">
        <v>3175</v>
      </c>
      <c r="K1430" t="s">
        <v>56</v>
      </c>
      <c r="L1430" t="s">
        <v>80</v>
      </c>
      <c r="M1430" t="s">
        <v>93</v>
      </c>
      <c r="N1430" t="s">
        <v>82</v>
      </c>
      <c r="O1430" s="4">
        <v>1</v>
      </c>
      <c r="P1430" s="4">
        <v>3</v>
      </c>
      <c r="Q1430" t="s">
        <v>69</v>
      </c>
      <c r="R1430" s="2">
        <v>46178</v>
      </c>
      <c r="S1430" s="4">
        <v>25</v>
      </c>
      <c r="T1430" s="3">
        <v>401000000</v>
      </c>
      <c r="U1430" t="s">
        <v>42</v>
      </c>
      <c r="V1430" t="s">
        <v>43</v>
      </c>
      <c r="W1430" t="s">
        <v>359</v>
      </c>
      <c r="Y1430" t="s">
        <v>305</v>
      </c>
      <c r="Z1430" t="s">
        <v>3176</v>
      </c>
      <c r="AA1430" t="s">
        <v>46</v>
      </c>
      <c r="AB1430" t="s">
        <v>47</v>
      </c>
      <c r="AC1430" t="s">
        <v>46</v>
      </c>
    </row>
    <row r="1431" spans="1:29">
      <c r="A1431" t="s">
        <v>1848</v>
      </c>
      <c r="B1431" s="2">
        <v>46179</v>
      </c>
      <c r="C1431" t="s">
        <v>30</v>
      </c>
      <c r="D1431" t="s">
        <v>134</v>
      </c>
      <c r="E1431" t="s">
        <v>32</v>
      </c>
      <c r="F1431" t="s">
        <v>256</v>
      </c>
      <c r="G1431" t="s">
        <v>463</v>
      </c>
      <c r="H1431" t="s">
        <v>303</v>
      </c>
      <c r="I1431" t="s">
        <v>964</v>
      </c>
      <c r="J1431" t="s">
        <v>3167</v>
      </c>
      <c r="K1431" t="s">
        <v>116</v>
      </c>
      <c r="L1431" t="s">
        <v>169</v>
      </c>
      <c r="M1431" t="s">
        <v>164</v>
      </c>
      <c r="N1431" t="s">
        <v>94</v>
      </c>
      <c r="O1431" s="4">
        <v>4</v>
      </c>
      <c r="P1431" s="4">
        <v>5</v>
      </c>
      <c r="Q1431" t="s">
        <v>69</v>
      </c>
      <c r="R1431" s="2">
        <v>46170</v>
      </c>
      <c r="S1431" s="4">
        <v>33</v>
      </c>
      <c r="T1431" s="3">
        <v>167000000</v>
      </c>
      <c r="U1431" t="s">
        <v>42</v>
      </c>
      <c r="V1431" t="s">
        <v>59</v>
      </c>
      <c r="W1431" t="s">
        <v>95</v>
      </c>
      <c r="Y1431" t="s">
        <v>268</v>
      </c>
      <c r="Z1431" t="s">
        <v>3179</v>
      </c>
      <c r="AA1431" t="s">
        <v>46</v>
      </c>
      <c r="AB1431" t="s">
        <v>97</v>
      </c>
      <c r="AC1431" t="s">
        <v>46</v>
      </c>
    </row>
    <row r="1432" spans="1:29">
      <c r="A1432" t="s">
        <v>1849</v>
      </c>
      <c r="B1432" s="2">
        <v>46190</v>
      </c>
      <c r="C1432" t="s">
        <v>30</v>
      </c>
      <c r="D1432" t="s">
        <v>74</v>
      </c>
      <c r="E1432" t="s">
        <v>75</v>
      </c>
      <c r="F1432" t="s">
        <v>161</v>
      </c>
      <c r="G1432" t="s">
        <v>387</v>
      </c>
      <c r="H1432" t="s">
        <v>185</v>
      </c>
      <c r="I1432" t="s">
        <v>428</v>
      </c>
      <c r="J1432" t="s">
        <v>3081</v>
      </c>
      <c r="K1432" t="s">
        <v>116</v>
      </c>
      <c r="L1432" t="s">
        <v>169</v>
      </c>
      <c r="M1432" t="s">
        <v>39</v>
      </c>
      <c r="N1432" t="s">
        <v>40</v>
      </c>
      <c r="O1432" s="4">
        <v>2</v>
      </c>
      <c r="P1432" s="4">
        <v>4</v>
      </c>
      <c r="Q1432" t="s">
        <v>142</v>
      </c>
      <c r="R1432" s="2">
        <v>46184</v>
      </c>
      <c r="S1432" s="4">
        <v>19</v>
      </c>
      <c r="T1432" s="3">
        <v>67000000</v>
      </c>
      <c r="U1432" t="s">
        <v>42</v>
      </c>
      <c r="V1432" t="s">
        <v>43</v>
      </c>
      <c r="W1432" t="s">
        <v>44</v>
      </c>
      <c r="Y1432" t="s">
        <v>180</v>
      </c>
      <c r="Z1432" t="s">
        <v>3176</v>
      </c>
      <c r="AA1432" t="s">
        <v>86</v>
      </c>
      <c r="AB1432" t="s">
        <v>47</v>
      </c>
      <c r="AC1432" t="s">
        <v>86</v>
      </c>
    </row>
    <row r="1433" spans="1:29">
      <c r="A1433" t="s">
        <v>1850</v>
      </c>
      <c r="B1433" s="2">
        <v>46193</v>
      </c>
      <c r="C1433" t="s">
        <v>30</v>
      </c>
      <c r="D1433" t="s">
        <v>74</v>
      </c>
      <c r="E1433" t="s">
        <v>111</v>
      </c>
      <c r="F1433" t="s">
        <v>264</v>
      </c>
      <c r="G1433" t="s">
        <v>265</v>
      </c>
      <c r="H1433" t="s">
        <v>114</v>
      </c>
      <c r="I1433" t="s">
        <v>613</v>
      </c>
      <c r="J1433" t="s">
        <v>3133</v>
      </c>
      <c r="K1433" t="s">
        <v>37</v>
      </c>
      <c r="L1433" t="s">
        <v>150</v>
      </c>
      <c r="M1433" t="s">
        <v>164</v>
      </c>
      <c r="N1433" t="s">
        <v>40</v>
      </c>
      <c r="O1433" s="4">
        <v>2</v>
      </c>
      <c r="P1433" s="4">
        <v>8</v>
      </c>
      <c r="Q1433" t="s">
        <v>138</v>
      </c>
      <c r="R1433" s="2">
        <v>46188</v>
      </c>
      <c r="S1433" s="4">
        <v>15</v>
      </c>
      <c r="T1433" s="3">
        <v>182000000</v>
      </c>
      <c r="U1433" t="s">
        <v>42</v>
      </c>
      <c r="V1433" t="s">
        <v>43</v>
      </c>
      <c r="W1433" t="s">
        <v>44</v>
      </c>
      <c r="Y1433" t="s">
        <v>180</v>
      </c>
      <c r="Z1433" t="s">
        <v>3178</v>
      </c>
      <c r="AA1433" t="s">
        <v>118</v>
      </c>
      <c r="AB1433" t="s">
        <v>87</v>
      </c>
      <c r="AC1433" t="s">
        <v>118</v>
      </c>
    </row>
    <row r="1434" spans="1:29">
      <c r="A1434" t="s">
        <v>1851</v>
      </c>
      <c r="B1434" s="2">
        <v>46187</v>
      </c>
      <c r="C1434" t="s">
        <v>30</v>
      </c>
      <c r="D1434" t="s">
        <v>99</v>
      </c>
      <c r="E1434" t="s">
        <v>152</v>
      </c>
      <c r="F1434" t="s">
        <v>205</v>
      </c>
      <c r="G1434" t="s">
        <v>286</v>
      </c>
      <c r="H1434" t="s">
        <v>283</v>
      </c>
      <c r="I1434" t="s">
        <v>472</v>
      </c>
      <c r="J1434" t="s">
        <v>3097</v>
      </c>
      <c r="K1434" t="s">
        <v>56</v>
      </c>
      <c r="L1434" t="s">
        <v>55</v>
      </c>
      <c r="M1434" t="s">
        <v>56</v>
      </c>
      <c r="N1434" t="s">
        <v>82</v>
      </c>
      <c r="O1434" s="4">
        <v>1</v>
      </c>
      <c r="P1434" s="4">
        <v>20</v>
      </c>
      <c r="Q1434" t="s">
        <v>138</v>
      </c>
      <c r="R1434" s="2">
        <v>46182</v>
      </c>
      <c r="S1434" s="4">
        <v>21</v>
      </c>
      <c r="T1434" s="3">
        <v>321000000</v>
      </c>
      <c r="U1434" t="s">
        <v>42</v>
      </c>
      <c r="V1434" t="s">
        <v>43</v>
      </c>
      <c r="W1434" t="s">
        <v>290</v>
      </c>
      <c r="Y1434" t="s">
        <v>305</v>
      </c>
      <c r="Z1434" t="s">
        <v>3180</v>
      </c>
      <c r="AA1434" t="s">
        <v>159</v>
      </c>
      <c r="AB1434" t="s">
        <v>193</v>
      </c>
      <c r="AC1434" t="s">
        <v>159</v>
      </c>
    </row>
    <row r="1435" spans="1:29">
      <c r="A1435" t="s">
        <v>1852</v>
      </c>
      <c r="B1435" s="2">
        <v>46198</v>
      </c>
      <c r="C1435" t="s">
        <v>30</v>
      </c>
      <c r="D1435" t="s">
        <v>49</v>
      </c>
      <c r="E1435" t="s">
        <v>100</v>
      </c>
      <c r="F1435" t="s">
        <v>146</v>
      </c>
      <c r="G1435" t="s">
        <v>237</v>
      </c>
      <c r="H1435" t="s">
        <v>148</v>
      </c>
      <c r="I1435" t="s">
        <v>724</v>
      </c>
      <c r="J1435" t="s">
        <v>3148</v>
      </c>
      <c r="K1435" t="s">
        <v>92</v>
      </c>
      <c r="L1435" t="s">
        <v>187</v>
      </c>
      <c r="M1435" t="s">
        <v>164</v>
      </c>
      <c r="N1435" t="s">
        <v>94</v>
      </c>
      <c r="O1435" s="4">
        <v>4</v>
      </c>
      <c r="P1435" s="4">
        <v>13</v>
      </c>
      <c r="Q1435" t="s">
        <v>107</v>
      </c>
      <c r="R1435" s="2">
        <v>46191</v>
      </c>
      <c r="S1435" s="4">
        <v>12</v>
      </c>
      <c r="T1435" s="3">
        <v>105000000</v>
      </c>
      <c r="U1435" t="s">
        <v>42</v>
      </c>
      <c r="V1435" t="s">
        <v>70</v>
      </c>
      <c r="W1435" t="s">
        <v>95</v>
      </c>
      <c r="Y1435" t="s">
        <v>228</v>
      </c>
      <c r="Z1435" t="s">
        <v>3179</v>
      </c>
      <c r="AA1435" t="s">
        <v>109</v>
      </c>
      <c r="AB1435" t="s">
        <v>97</v>
      </c>
      <c r="AC1435" t="s">
        <v>109</v>
      </c>
    </row>
    <row r="1436" spans="1:29">
      <c r="A1436" t="s">
        <v>1853</v>
      </c>
      <c r="B1436" s="2">
        <v>46194</v>
      </c>
      <c r="C1436" t="s">
        <v>30</v>
      </c>
      <c r="D1436" t="s">
        <v>74</v>
      </c>
      <c r="E1436" t="s">
        <v>120</v>
      </c>
      <c r="F1436" t="s">
        <v>167</v>
      </c>
      <c r="G1436" t="s">
        <v>420</v>
      </c>
      <c r="H1436" t="s">
        <v>123</v>
      </c>
      <c r="I1436" t="s">
        <v>124</v>
      </c>
      <c r="J1436" t="s">
        <v>3015</v>
      </c>
      <c r="K1436" t="s">
        <v>37</v>
      </c>
      <c r="L1436" t="s">
        <v>80</v>
      </c>
      <c r="M1436" t="s">
        <v>129</v>
      </c>
      <c r="N1436" t="s">
        <v>82</v>
      </c>
      <c r="O1436" s="4">
        <v>1</v>
      </c>
      <c r="P1436" s="4">
        <v>7</v>
      </c>
      <c r="Q1436" t="s">
        <v>41</v>
      </c>
      <c r="R1436" s="2">
        <v>46190</v>
      </c>
      <c r="S1436" s="4">
        <v>13</v>
      </c>
      <c r="T1436" s="3">
        <v>200000000</v>
      </c>
      <c r="U1436" t="s">
        <v>42</v>
      </c>
      <c r="V1436" t="s">
        <v>43</v>
      </c>
      <c r="W1436" t="s">
        <v>359</v>
      </c>
      <c r="Y1436" t="s">
        <v>291</v>
      </c>
      <c r="Z1436" t="s">
        <v>3178</v>
      </c>
      <c r="AA1436" t="s">
        <v>97</v>
      </c>
      <c r="AB1436" t="s">
        <v>87</v>
      </c>
      <c r="AC1436" t="s">
        <v>97</v>
      </c>
    </row>
    <row r="1437" spans="1:29">
      <c r="A1437" t="s">
        <v>1854</v>
      </c>
      <c r="B1437" s="2">
        <v>46189</v>
      </c>
      <c r="C1437" t="s">
        <v>30</v>
      </c>
      <c r="D1437" t="s">
        <v>74</v>
      </c>
      <c r="E1437" t="s">
        <v>172</v>
      </c>
      <c r="F1437" t="s">
        <v>173</v>
      </c>
      <c r="G1437" t="s">
        <v>476</v>
      </c>
      <c r="H1437" t="s">
        <v>241</v>
      </c>
      <c r="I1437" t="s">
        <v>242</v>
      </c>
      <c r="J1437" t="s">
        <v>3034</v>
      </c>
      <c r="K1437" t="s">
        <v>105</v>
      </c>
      <c r="L1437" t="s">
        <v>68</v>
      </c>
      <c r="M1437" t="s">
        <v>56</v>
      </c>
      <c r="N1437" t="s">
        <v>57</v>
      </c>
      <c r="O1437" s="4">
        <v>3</v>
      </c>
      <c r="P1437" s="4">
        <v>7</v>
      </c>
      <c r="Q1437" t="s">
        <v>138</v>
      </c>
      <c r="R1437" s="2">
        <v>46189</v>
      </c>
      <c r="S1437" s="4">
        <v>14</v>
      </c>
      <c r="T1437" s="3">
        <v>180000000</v>
      </c>
      <c r="U1437" t="s">
        <v>42</v>
      </c>
      <c r="V1437" t="s">
        <v>43</v>
      </c>
      <c r="W1437" t="s">
        <v>71</v>
      </c>
      <c r="Y1437" t="s">
        <v>158</v>
      </c>
      <c r="Z1437" t="s">
        <v>3177</v>
      </c>
      <c r="AA1437" t="s">
        <v>181</v>
      </c>
      <c r="AB1437" t="s">
        <v>63</v>
      </c>
      <c r="AC1437" t="s">
        <v>181</v>
      </c>
    </row>
    <row r="1438" spans="1:29">
      <c r="A1438" t="s">
        <v>1855</v>
      </c>
      <c r="B1438" s="2">
        <v>46201</v>
      </c>
      <c r="C1438" t="s">
        <v>30</v>
      </c>
      <c r="D1438" t="s">
        <v>49</v>
      </c>
      <c r="E1438" t="s">
        <v>120</v>
      </c>
      <c r="F1438" t="s">
        <v>121</v>
      </c>
      <c r="G1438" t="s">
        <v>420</v>
      </c>
      <c r="H1438" t="s">
        <v>136</v>
      </c>
      <c r="I1438" t="s">
        <v>247</v>
      </c>
      <c r="J1438" t="s">
        <v>3035</v>
      </c>
      <c r="K1438" t="s">
        <v>37</v>
      </c>
      <c r="L1438" t="s">
        <v>169</v>
      </c>
      <c r="M1438" t="s">
        <v>39</v>
      </c>
      <c r="N1438" t="s">
        <v>213</v>
      </c>
      <c r="O1438" s="4">
        <v>6</v>
      </c>
      <c r="P1438" s="4">
        <v>10</v>
      </c>
      <c r="Q1438" t="s">
        <v>69</v>
      </c>
      <c r="R1438" s="2">
        <v>46195</v>
      </c>
      <c r="S1438" s="4">
        <v>8</v>
      </c>
      <c r="T1438" s="3">
        <v>186000000</v>
      </c>
      <c r="U1438" t="s">
        <v>214</v>
      </c>
      <c r="V1438" t="s">
        <v>70</v>
      </c>
      <c r="W1438" t="s">
        <v>390</v>
      </c>
      <c r="Y1438" t="s">
        <v>216</v>
      </c>
      <c r="Z1438" t="s">
        <v>3179</v>
      </c>
      <c r="AA1438" t="s">
        <v>97</v>
      </c>
      <c r="AB1438" t="s">
        <v>97</v>
      </c>
      <c r="AC1438" t="s">
        <v>97</v>
      </c>
    </row>
    <row r="1439" spans="1:29">
      <c r="A1439" t="s">
        <v>1856</v>
      </c>
      <c r="B1439" s="2">
        <v>46185</v>
      </c>
      <c r="C1439" t="s">
        <v>30</v>
      </c>
      <c r="D1439" t="s">
        <v>99</v>
      </c>
      <c r="E1439" t="s">
        <v>172</v>
      </c>
      <c r="F1439" t="s">
        <v>173</v>
      </c>
      <c r="G1439" t="s">
        <v>289</v>
      </c>
      <c r="H1439" t="s">
        <v>317</v>
      </c>
      <c r="I1439" t="s">
        <v>1124</v>
      </c>
      <c r="J1439" t="s">
        <v>3173</v>
      </c>
      <c r="K1439" t="s">
        <v>37</v>
      </c>
      <c r="L1439" t="s">
        <v>55</v>
      </c>
      <c r="M1439" t="s">
        <v>93</v>
      </c>
      <c r="N1439" t="s">
        <v>196</v>
      </c>
      <c r="O1439" s="4">
        <v>7</v>
      </c>
      <c r="P1439" s="4">
        <v>7</v>
      </c>
      <c r="Q1439" t="s">
        <v>107</v>
      </c>
      <c r="R1439" s="2">
        <v>46182</v>
      </c>
      <c r="S1439" s="4">
        <v>21</v>
      </c>
      <c r="T1439" s="3">
        <v>270000000</v>
      </c>
      <c r="U1439" t="s">
        <v>196</v>
      </c>
      <c r="V1439" t="s">
        <v>70</v>
      </c>
      <c r="W1439" t="s">
        <v>243</v>
      </c>
      <c r="Y1439" t="s">
        <v>369</v>
      </c>
      <c r="Z1439" t="s">
        <v>3181</v>
      </c>
      <c r="AA1439" t="s">
        <v>181</v>
      </c>
      <c r="AB1439" t="s">
        <v>199</v>
      </c>
      <c r="AC1439" t="s">
        <v>181</v>
      </c>
    </row>
    <row r="1440" spans="1:29">
      <c r="A1440" t="s">
        <v>1857</v>
      </c>
      <c r="B1440" s="2">
        <v>46186</v>
      </c>
      <c r="C1440" t="s">
        <v>30</v>
      </c>
      <c r="D1440" t="s">
        <v>99</v>
      </c>
      <c r="E1440" t="s">
        <v>172</v>
      </c>
      <c r="F1440" t="s">
        <v>195</v>
      </c>
      <c r="G1440" t="s">
        <v>278</v>
      </c>
      <c r="H1440" t="s">
        <v>241</v>
      </c>
      <c r="I1440" t="s">
        <v>379</v>
      </c>
      <c r="J1440" t="s">
        <v>3069</v>
      </c>
      <c r="K1440" t="s">
        <v>56</v>
      </c>
      <c r="L1440" t="s">
        <v>169</v>
      </c>
      <c r="M1440" t="s">
        <v>93</v>
      </c>
      <c r="N1440" t="s">
        <v>94</v>
      </c>
      <c r="O1440" s="4">
        <v>4</v>
      </c>
      <c r="P1440" s="4">
        <v>9</v>
      </c>
      <c r="Q1440" t="s">
        <v>107</v>
      </c>
      <c r="R1440" s="2">
        <v>46185</v>
      </c>
      <c r="S1440" s="4">
        <v>18</v>
      </c>
      <c r="T1440" s="3">
        <v>105000000</v>
      </c>
      <c r="U1440" t="s">
        <v>42</v>
      </c>
      <c r="V1440" t="s">
        <v>59</v>
      </c>
      <c r="W1440" t="s">
        <v>170</v>
      </c>
      <c r="Y1440" t="s">
        <v>268</v>
      </c>
      <c r="Z1440" t="s">
        <v>3179</v>
      </c>
      <c r="AA1440" t="s">
        <v>181</v>
      </c>
      <c r="AB1440" t="s">
        <v>97</v>
      </c>
      <c r="AC1440" t="s">
        <v>181</v>
      </c>
    </row>
    <row r="1441" spans="1:29">
      <c r="A1441" t="s">
        <v>1858</v>
      </c>
      <c r="B1441" s="2">
        <v>46186</v>
      </c>
      <c r="C1441" t="s">
        <v>30</v>
      </c>
      <c r="D1441" t="s">
        <v>99</v>
      </c>
      <c r="E1441" t="s">
        <v>120</v>
      </c>
      <c r="F1441" t="s">
        <v>246</v>
      </c>
      <c r="G1441" t="s">
        <v>122</v>
      </c>
      <c r="H1441" t="s">
        <v>300</v>
      </c>
      <c r="I1441" t="s">
        <v>430</v>
      </c>
      <c r="J1441" t="s">
        <v>3082</v>
      </c>
      <c r="K1441" t="s">
        <v>105</v>
      </c>
      <c r="L1441" t="s">
        <v>187</v>
      </c>
      <c r="M1441" t="s">
        <v>81</v>
      </c>
      <c r="N1441" t="s">
        <v>82</v>
      </c>
      <c r="O1441" s="4">
        <v>1</v>
      </c>
      <c r="P1441" s="4">
        <v>10</v>
      </c>
      <c r="Q1441" t="s">
        <v>107</v>
      </c>
      <c r="R1441" s="2">
        <v>46185</v>
      </c>
      <c r="S1441" s="4">
        <v>18</v>
      </c>
      <c r="T1441" s="3">
        <v>184000000</v>
      </c>
      <c r="U1441" t="s">
        <v>42</v>
      </c>
      <c r="V1441" t="s">
        <v>43</v>
      </c>
      <c r="W1441" t="s">
        <v>84</v>
      </c>
      <c r="Y1441" t="s">
        <v>291</v>
      </c>
      <c r="Z1441" t="s">
        <v>3178</v>
      </c>
      <c r="AA1441" t="s">
        <v>97</v>
      </c>
      <c r="AB1441" t="s">
        <v>87</v>
      </c>
      <c r="AC1441" t="s">
        <v>97</v>
      </c>
    </row>
    <row r="1442" spans="1:29">
      <c r="A1442" t="s">
        <v>1859</v>
      </c>
      <c r="B1442" s="2">
        <v>46186</v>
      </c>
      <c r="C1442" t="s">
        <v>30</v>
      </c>
      <c r="D1442" t="s">
        <v>99</v>
      </c>
      <c r="E1442" t="s">
        <v>111</v>
      </c>
      <c r="F1442" t="s">
        <v>112</v>
      </c>
      <c r="G1442" t="s">
        <v>251</v>
      </c>
      <c r="H1442" t="s">
        <v>127</v>
      </c>
      <c r="I1442" t="s">
        <v>648</v>
      </c>
      <c r="J1442" t="s">
        <v>3140</v>
      </c>
      <c r="K1442" t="s">
        <v>105</v>
      </c>
      <c r="L1442" t="s">
        <v>169</v>
      </c>
      <c r="M1442" t="s">
        <v>56</v>
      </c>
      <c r="N1442" t="s">
        <v>94</v>
      </c>
      <c r="O1442" s="4">
        <v>4</v>
      </c>
      <c r="P1442" s="4">
        <v>7</v>
      </c>
      <c r="Q1442" t="s">
        <v>138</v>
      </c>
      <c r="R1442" s="2">
        <v>46179</v>
      </c>
      <c r="S1442" s="4">
        <v>24</v>
      </c>
      <c r="T1442" s="3">
        <v>281000000</v>
      </c>
      <c r="U1442" t="s">
        <v>42</v>
      </c>
      <c r="V1442" t="s">
        <v>59</v>
      </c>
      <c r="W1442" t="s">
        <v>188</v>
      </c>
      <c r="Y1442" t="s">
        <v>108</v>
      </c>
      <c r="Z1442" t="s">
        <v>3179</v>
      </c>
      <c r="AA1442" t="s">
        <v>118</v>
      </c>
      <c r="AB1442" t="s">
        <v>97</v>
      </c>
      <c r="AC1442" t="s">
        <v>118</v>
      </c>
    </row>
    <row r="1443" spans="1:29">
      <c r="A1443" t="s">
        <v>1860</v>
      </c>
      <c r="B1443" s="2">
        <v>46185</v>
      </c>
      <c r="C1443" t="s">
        <v>30</v>
      </c>
      <c r="D1443" t="s">
        <v>99</v>
      </c>
      <c r="E1443" t="s">
        <v>111</v>
      </c>
      <c r="F1443" t="s">
        <v>190</v>
      </c>
      <c r="G1443" t="s">
        <v>126</v>
      </c>
      <c r="H1443" t="s">
        <v>127</v>
      </c>
      <c r="I1443" t="s">
        <v>349</v>
      </c>
      <c r="J1443" t="s">
        <v>3059</v>
      </c>
      <c r="K1443" t="s">
        <v>105</v>
      </c>
      <c r="L1443" t="s">
        <v>55</v>
      </c>
      <c r="M1443" t="s">
        <v>81</v>
      </c>
      <c r="N1443" t="s">
        <v>130</v>
      </c>
      <c r="O1443" s="4">
        <v>5</v>
      </c>
      <c r="P1443" s="4">
        <v>13</v>
      </c>
      <c r="Q1443" t="s">
        <v>58</v>
      </c>
      <c r="R1443" s="2">
        <v>46180</v>
      </c>
      <c r="S1443" s="4">
        <v>23</v>
      </c>
      <c r="T1443" s="3">
        <v>148000000</v>
      </c>
      <c r="U1443" t="s">
        <v>42</v>
      </c>
      <c r="V1443" t="s">
        <v>70</v>
      </c>
      <c r="W1443" t="s">
        <v>355</v>
      </c>
      <c r="Y1443" t="s">
        <v>262</v>
      </c>
      <c r="Z1443" t="s">
        <v>3179</v>
      </c>
      <c r="AA1443" t="s">
        <v>118</v>
      </c>
      <c r="AB1443" t="s">
        <v>97</v>
      </c>
      <c r="AC1443" t="s">
        <v>118</v>
      </c>
    </row>
    <row r="1444" spans="1:29">
      <c r="A1444" t="s">
        <v>1861</v>
      </c>
      <c r="B1444" s="2">
        <v>46191</v>
      </c>
      <c r="C1444" t="s">
        <v>30</v>
      </c>
      <c r="D1444" t="s">
        <v>74</v>
      </c>
      <c r="E1444" t="s">
        <v>100</v>
      </c>
      <c r="F1444" t="s">
        <v>146</v>
      </c>
      <c r="G1444" t="s">
        <v>147</v>
      </c>
      <c r="H1444" t="s">
        <v>103</v>
      </c>
      <c r="I1444" t="s">
        <v>141</v>
      </c>
      <c r="J1444" t="s">
        <v>3018</v>
      </c>
      <c r="K1444" t="s">
        <v>56</v>
      </c>
      <c r="L1444" t="s">
        <v>80</v>
      </c>
      <c r="M1444" t="s">
        <v>81</v>
      </c>
      <c r="N1444" t="s">
        <v>130</v>
      </c>
      <c r="O1444" s="4">
        <v>5</v>
      </c>
      <c r="P1444" s="4">
        <v>20</v>
      </c>
      <c r="Q1444" t="s">
        <v>69</v>
      </c>
      <c r="R1444" s="2">
        <v>46183</v>
      </c>
      <c r="S1444" s="4">
        <v>20</v>
      </c>
      <c r="T1444" s="3">
        <v>109000000</v>
      </c>
      <c r="U1444" t="s">
        <v>260</v>
      </c>
      <c r="V1444" t="s">
        <v>70</v>
      </c>
      <c r="W1444" t="s">
        <v>355</v>
      </c>
      <c r="X1444" t="s">
        <v>422</v>
      </c>
      <c r="Y1444" t="s">
        <v>254</v>
      </c>
      <c r="Z1444" t="s">
        <v>3179</v>
      </c>
      <c r="AA1444" t="s">
        <v>109</v>
      </c>
      <c r="AB1444" t="s">
        <v>97</v>
      </c>
      <c r="AC1444" t="s">
        <v>109</v>
      </c>
    </row>
    <row r="1445" spans="1:29">
      <c r="A1445" t="s">
        <v>1862</v>
      </c>
      <c r="B1445" s="2">
        <v>46178</v>
      </c>
      <c r="C1445" t="s">
        <v>30</v>
      </c>
      <c r="D1445" t="s">
        <v>134</v>
      </c>
      <c r="E1445" t="s">
        <v>111</v>
      </c>
      <c r="F1445" t="s">
        <v>190</v>
      </c>
      <c r="G1445" t="s">
        <v>113</v>
      </c>
      <c r="H1445" t="s">
        <v>127</v>
      </c>
      <c r="I1445" t="s">
        <v>734</v>
      </c>
      <c r="J1445" t="s">
        <v>3150</v>
      </c>
      <c r="K1445" t="s">
        <v>56</v>
      </c>
      <c r="L1445" t="s">
        <v>169</v>
      </c>
      <c r="M1445" t="s">
        <v>93</v>
      </c>
      <c r="N1445" t="s">
        <v>82</v>
      </c>
      <c r="O1445" s="4">
        <v>1</v>
      </c>
      <c r="P1445" s="4">
        <v>10</v>
      </c>
      <c r="Q1445" t="s">
        <v>107</v>
      </c>
      <c r="R1445" s="2">
        <v>46171</v>
      </c>
      <c r="S1445" s="4">
        <v>32</v>
      </c>
      <c r="T1445" s="3">
        <v>433000000</v>
      </c>
      <c r="U1445" t="s">
        <v>42</v>
      </c>
      <c r="V1445" t="s">
        <v>43</v>
      </c>
      <c r="W1445" t="s">
        <v>359</v>
      </c>
      <c r="Y1445" t="s">
        <v>85</v>
      </c>
      <c r="Z1445" t="s">
        <v>3178</v>
      </c>
      <c r="AA1445" t="s">
        <v>118</v>
      </c>
      <c r="AB1445" t="s">
        <v>87</v>
      </c>
      <c r="AC1445" t="s">
        <v>118</v>
      </c>
    </row>
    <row r="1446" spans="1:29">
      <c r="A1446" t="s">
        <v>1863</v>
      </c>
      <c r="B1446" s="2">
        <v>46199</v>
      </c>
      <c r="C1446" t="s">
        <v>30</v>
      </c>
      <c r="D1446" t="s">
        <v>49</v>
      </c>
      <c r="E1446" t="s">
        <v>50</v>
      </c>
      <c r="F1446" t="s">
        <v>51</v>
      </c>
      <c r="G1446" t="s">
        <v>65</v>
      </c>
      <c r="H1446" t="s">
        <v>66</v>
      </c>
      <c r="I1446" t="s">
        <v>67</v>
      </c>
      <c r="J1446" t="s">
        <v>3010</v>
      </c>
      <c r="K1446" t="s">
        <v>92</v>
      </c>
      <c r="L1446" t="s">
        <v>38</v>
      </c>
      <c r="M1446" t="s">
        <v>81</v>
      </c>
      <c r="N1446" t="s">
        <v>57</v>
      </c>
      <c r="O1446" s="4">
        <v>3</v>
      </c>
      <c r="P1446" s="4">
        <v>9</v>
      </c>
      <c r="Q1446" t="s">
        <v>138</v>
      </c>
      <c r="R1446" s="2">
        <v>46196</v>
      </c>
      <c r="S1446" s="4">
        <v>7</v>
      </c>
      <c r="T1446" s="3">
        <v>113000000</v>
      </c>
      <c r="U1446" t="s">
        <v>42</v>
      </c>
      <c r="V1446" t="s">
        <v>43</v>
      </c>
      <c r="W1446" t="s">
        <v>157</v>
      </c>
      <c r="Y1446" t="s">
        <v>72</v>
      </c>
      <c r="Z1446" t="s">
        <v>3177</v>
      </c>
      <c r="AA1446" t="s">
        <v>62</v>
      </c>
      <c r="AB1446" t="s">
        <v>63</v>
      </c>
      <c r="AC1446" t="s">
        <v>62</v>
      </c>
    </row>
    <row r="1447" spans="1:29">
      <c r="A1447" t="s">
        <v>1864</v>
      </c>
      <c r="B1447" s="2">
        <v>46182</v>
      </c>
      <c r="C1447" t="s">
        <v>30</v>
      </c>
      <c r="D1447" t="s">
        <v>99</v>
      </c>
      <c r="E1447" t="s">
        <v>100</v>
      </c>
      <c r="F1447" t="s">
        <v>140</v>
      </c>
      <c r="G1447" t="s">
        <v>102</v>
      </c>
      <c r="H1447" t="s">
        <v>148</v>
      </c>
      <c r="I1447" t="s">
        <v>149</v>
      </c>
      <c r="J1447" t="s">
        <v>3019</v>
      </c>
      <c r="K1447" t="s">
        <v>105</v>
      </c>
      <c r="L1447" t="s">
        <v>80</v>
      </c>
      <c r="M1447" t="s">
        <v>56</v>
      </c>
      <c r="N1447" t="s">
        <v>196</v>
      </c>
      <c r="O1447" s="4">
        <v>7</v>
      </c>
      <c r="P1447" s="4">
        <v>12</v>
      </c>
      <c r="Q1447" t="s">
        <v>138</v>
      </c>
      <c r="R1447" s="2">
        <v>46177</v>
      </c>
      <c r="S1447" s="4">
        <v>26</v>
      </c>
      <c r="T1447" s="3">
        <v>273000000</v>
      </c>
      <c r="U1447" t="s">
        <v>196</v>
      </c>
      <c r="V1447" t="s">
        <v>70</v>
      </c>
      <c r="W1447" t="s">
        <v>675</v>
      </c>
      <c r="Y1447" t="s">
        <v>244</v>
      </c>
      <c r="Z1447" t="s">
        <v>3181</v>
      </c>
      <c r="AA1447" t="s">
        <v>109</v>
      </c>
      <c r="AB1447" t="s">
        <v>199</v>
      </c>
      <c r="AC1447" t="s">
        <v>109</v>
      </c>
    </row>
    <row r="1448" spans="1:29">
      <c r="A1448" t="s">
        <v>1865</v>
      </c>
      <c r="B1448" s="2">
        <v>46179</v>
      </c>
      <c r="C1448" t="s">
        <v>30</v>
      </c>
      <c r="D1448" t="s">
        <v>134</v>
      </c>
      <c r="E1448" t="s">
        <v>50</v>
      </c>
      <c r="F1448" t="s">
        <v>51</v>
      </c>
      <c r="G1448" t="s">
        <v>343</v>
      </c>
      <c r="H1448" t="s">
        <v>90</v>
      </c>
      <c r="I1448" t="s">
        <v>585</v>
      </c>
      <c r="J1448" t="s">
        <v>3126</v>
      </c>
      <c r="K1448" t="s">
        <v>105</v>
      </c>
      <c r="L1448" t="s">
        <v>55</v>
      </c>
      <c r="M1448" t="s">
        <v>164</v>
      </c>
      <c r="N1448" t="s">
        <v>196</v>
      </c>
      <c r="O1448" s="4">
        <v>7</v>
      </c>
      <c r="P1448" s="4">
        <v>10</v>
      </c>
      <c r="Q1448" t="s">
        <v>69</v>
      </c>
      <c r="R1448" s="2">
        <v>46170</v>
      </c>
      <c r="S1448" s="4">
        <v>33</v>
      </c>
      <c r="T1448" s="3">
        <v>292000000</v>
      </c>
      <c r="U1448" t="s">
        <v>196</v>
      </c>
      <c r="V1448" t="s">
        <v>70</v>
      </c>
      <c r="W1448" t="s">
        <v>675</v>
      </c>
      <c r="Y1448" t="s">
        <v>198</v>
      </c>
      <c r="Z1448" t="s">
        <v>3181</v>
      </c>
      <c r="AA1448" t="s">
        <v>62</v>
      </c>
      <c r="AB1448" t="s">
        <v>199</v>
      </c>
      <c r="AC1448" t="s">
        <v>62</v>
      </c>
    </row>
    <row r="1449" spans="1:29">
      <c r="A1449" t="s">
        <v>1866</v>
      </c>
      <c r="B1449" s="2">
        <v>46186</v>
      </c>
      <c r="C1449" t="s">
        <v>30</v>
      </c>
      <c r="D1449" t="s">
        <v>99</v>
      </c>
      <c r="E1449" t="s">
        <v>172</v>
      </c>
      <c r="F1449" t="s">
        <v>173</v>
      </c>
      <c r="G1449" t="s">
        <v>278</v>
      </c>
      <c r="H1449" t="s">
        <v>241</v>
      </c>
      <c r="I1449" t="s">
        <v>512</v>
      </c>
      <c r="J1449" t="s">
        <v>3107</v>
      </c>
      <c r="K1449" t="s">
        <v>105</v>
      </c>
      <c r="L1449" t="s">
        <v>80</v>
      </c>
      <c r="M1449" t="s">
        <v>129</v>
      </c>
      <c r="N1449" t="s">
        <v>57</v>
      </c>
      <c r="O1449" s="4">
        <v>3</v>
      </c>
      <c r="P1449" s="4">
        <v>5</v>
      </c>
      <c r="Q1449" t="s">
        <v>83</v>
      </c>
      <c r="R1449" s="2">
        <v>46183</v>
      </c>
      <c r="S1449" s="4">
        <v>20</v>
      </c>
      <c r="T1449" s="3">
        <v>198000000</v>
      </c>
      <c r="U1449" t="s">
        <v>42</v>
      </c>
      <c r="V1449" t="s">
        <v>59</v>
      </c>
      <c r="W1449" t="s">
        <v>60</v>
      </c>
      <c r="Y1449" t="s">
        <v>61</v>
      </c>
      <c r="Z1449" t="s">
        <v>3177</v>
      </c>
      <c r="AA1449" t="s">
        <v>181</v>
      </c>
      <c r="AB1449" t="s">
        <v>63</v>
      </c>
      <c r="AC1449" t="s">
        <v>181</v>
      </c>
    </row>
    <row r="1450" spans="1:29">
      <c r="A1450" t="s">
        <v>1867</v>
      </c>
      <c r="B1450" s="2">
        <v>46199</v>
      </c>
      <c r="C1450" t="s">
        <v>30</v>
      </c>
      <c r="D1450" t="s">
        <v>49</v>
      </c>
      <c r="E1450" t="s">
        <v>111</v>
      </c>
      <c r="F1450" t="s">
        <v>112</v>
      </c>
      <c r="G1450" t="s">
        <v>113</v>
      </c>
      <c r="H1450" t="s">
        <v>127</v>
      </c>
      <c r="I1450" t="s">
        <v>734</v>
      </c>
      <c r="J1450" t="s">
        <v>3150</v>
      </c>
      <c r="K1450" t="s">
        <v>116</v>
      </c>
      <c r="L1450" t="s">
        <v>80</v>
      </c>
      <c r="M1450" t="s">
        <v>39</v>
      </c>
      <c r="N1450" t="s">
        <v>57</v>
      </c>
      <c r="O1450" s="4">
        <v>3</v>
      </c>
      <c r="P1450" s="4">
        <v>10</v>
      </c>
      <c r="Q1450" t="s">
        <v>138</v>
      </c>
      <c r="R1450" s="2">
        <v>46193</v>
      </c>
      <c r="S1450" s="4">
        <v>10</v>
      </c>
      <c r="T1450" s="3">
        <v>101000000</v>
      </c>
      <c r="U1450" t="s">
        <v>42</v>
      </c>
      <c r="V1450" t="s">
        <v>59</v>
      </c>
      <c r="W1450" t="s">
        <v>203</v>
      </c>
      <c r="Y1450" t="s">
        <v>158</v>
      </c>
      <c r="Z1450" t="s">
        <v>3177</v>
      </c>
      <c r="AA1450" t="s">
        <v>118</v>
      </c>
      <c r="AB1450" t="s">
        <v>63</v>
      </c>
      <c r="AC1450" t="s">
        <v>118</v>
      </c>
    </row>
    <row r="1451" spans="1:29">
      <c r="A1451" t="s">
        <v>1868</v>
      </c>
      <c r="B1451" s="2">
        <v>46194</v>
      </c>
      <c r="C1451" t="s">
        <v>30</v>
      </c>
      <c r="D1451" t="s">
        <v>74</v>
      </c>
      <c r="E1451" t="s">
        <v>75</v>
      </c>
      <c r="F1451" t="s">
        <v>76</v>
      </c>
      <c r="G1451" t="s">
        <v>184</v>
      </c>
      <c r="H1451" t="s">
        <v>185</v>
      </c>
      <c r="I1451" t="s">
        <v>795</v>
      </c>
      <c r="J1451" t="s">
        <v>3155</v>
      </c>
      <c r="K1451" t="s">
        <v>37</v>
      </c>
      <c r="L1451" t="s">
        <v>80</v>
      </c>
      <c r="M1451" t="s">
        <v>56</v>
      </c>
      <c r="N1451" t="s">
        <v>213</v>
      </c>
      <c r="O1451" s="4">
        <v>6</v>
      </c>
      <c r="P1451" s="4">
        <v>20</v>
      </c>
      <c r="Q1451" t="s">
        <v>138</v>
      </c>
      <c r="R1451" s="2">
        <v>46187</v>
      </c>
      <c r="S1451" s="4">
        <v>16</v>
      </c>
      <c r="T1451" s="3">
        <v>101000000</v>
      </c>
      <c r="U1451" t="s">
        <v>214</v>
      </c>
      <c r="V1451" t="s">
        <v>70</v>
      </c>
      <c r="W1451" t="s">
        <v>438</v>
      </c>
      <c r="Y1451" t="s">
        <v>249</v>
      </c>
      <c r="Z1451" t="s">
        <v>3179</v>
      </c>
      <c r="AA1451" t="s">
        <v>86</v>
      </c>
      <c r="AB1451" t="s">
        <v>97</v>
      </c>
      <c r="AC1451" t="s">
        <v>86</v>
      </c>
    </row>
    <row r="1452" spans="1:29">
      <c r="A1452" t="s">
        <v>1869</v>
      </c>
      <c r="B1452" s="2">
        <v>46188</v>
      </c>
      <c r="C1452" t="s">
        <v>30</v>
      </c>
      <c r="D1452" t="s">
        <v>74</v>
      </c>
      <c r="E1452" t="s">
        <v>100</v>
      </c>
      <c r="F1452" t="s">
        <v>101</v>
      </c>
      <c r="G1452" t="s">
        <v>102</v>
      </c>
      <c r="H1452" t="s">
        <v>201</v>
      </c>
      <c r="I1452" t="s">
        <v>202</v>
      </c>
      <c r="J1452" t="s">
        <v>3026</v>
      </c>
      <c r="K1452" t="s">
        <v>92</v>
      </c>
      <c r="L1452" t="s">
        <v>80</v>
      </c>
      <c r="M1452" t="s">
        <v>164</v>
      </c>
      <c r="N1452" t="s">
        <v>57</v>
      </c>
      <c r="O1452" s="4">
        <v>3</v>
      </c>
      <c r="P1452" s="4">
        <v>11</v>
      </c>
      <c r="Q1452" t="s">
        <v>41</v>
      </c>
      <c r="R1452" s="2">
        <v>46178</v>
      </c>
      <c r="S1452" s="4">
        <v>25</v>
      </c>
      <c r="T1452" s="3">
        <v>175000000</v>
      </c>
      <c r="U1452" t="s">
        <v>42</v>
      </c>
      <c r="V1452" t="s">
        <v>59</v>
      </c>
      <c r="W1452" t="s">
        <v>157</v>
      </c>
      <c r="Y1452" t="s">
        <v>61</v>
      </c>
      <c r="Z1452" t="s">
        <v>3177</v>
      </c>
      <c r="AA1452" t="s">
        <v>109</v>
      </c>
      <c r="AB1452" t="s">
        <v>63</v>
      </c>
      <c r="AC1452" t="s">
        <v>109</v>
      </c>
    </row>
    <row r="1453" spans="1:29">
      <c r="A1453" t="s">
        <v>1870</v>
      </c>
      <c r="B1453" s="2">
        <v>46175</v>
      </c>
      <c r="C1453" t="s">
        <v>30</v>
      </c>
      <c r="D1453" t="s">
        <v>134</v>
      </c>
      <c r="E1453" t="s">
        <v>120</v>
      </c>
      <c r="F1453" t="s">
        <v>121</v>
      </c>
      <c r="G1453" t="s">
        <v>135</v>
      </c>
      <c r="H1453" t="s">
        <v>123</v>
      </c>
      <c r="I1453" t="s">
        <v>225</v>
      </c>
      <c r="J1453" t="s">
        <v>3030</v>
      </c>
      <c r="K1453" t="s">
        <v>105</v>
      </c>
      <c r="L1453" t="s">
        <v>80</v>
      </c>
      <c r="M1453" t="s">
        <v>164</v>
      </c>
      <c r="N1453" t="s">
        <v>57</v>
      </c>
      <c r="O1453" s="4">
        <v>3</v>
      </c>
      <c r="P1453" s="4">
        <v>5</v>
      </c>
      <c r="Q1453" t="s">
        <v>83</v>
      </c>
      <c r="R1453" s="2">
        <v>46168</v>
      </c>
      <c r="S1453" s="4">
        <v>35</v>
      </c>
      <c r="T1453" s="3">
        <v>358000000</v>
      </c>
      <c r="U1453" t="s">
        <v>42</v>
      </c>
      <c r="V1453" t="s">
        <v>43</v>
      </c>
      <c r="W1453" t="s">
        <v>157</v>
      </c>
      <c r="Y1453" t="s">
        <v>72</v>
      </c>
      <c r="Z1453" t="s">
        <v>3177</v>
      </c>
      <c r="AA1453" t="s">
        <v>97</v>
      </c>
      <c r="AB1453" t="s">
        <v>63</v>
      </c>
      <c r="AC1453" t="s">
        <v>97</v>
      </c>
    </row>
    <row r="1454" spans="1:29">
      <c r="A1454" t="s">
        <v>1871</v>
      </c>
      <c r="B1454" s="2">
        <v>46177</v>
      </c>
      <c r="C1454" t="s">
        <v>30</v>
      </c>
      <c r="D1454" t="s">
        <v>134</v>
      </c>
      <c r="E1454" t="s">
        <v>32</v>
      </c>
      <c r="F1454" t="s">
        <v>33</v>
      </c>
      <c r="G1454" t="s">
        <v>34</v>
      </c>
      <c r="H1454" t="s">
        <v>35</v>
      </c>
      <c r="I1454" t="s">
        <v>595</v>
      </c>
      <c r="J1454" t="s">
        <v>3128</v>
      </c>
      <c r="K1454" t="s">
        <v>116</v>
      </c>
      <c r="L1454" t="s">
        <v>68</v>
      </c>
      <c r="M1454" t="s">
        <v>93</v>
      </c>
      <c r="N1454" t="s">
        <v>213</v>
      </c>
      <c r="O1454" s="4">
        <v>6</v>
      </c>
      <c r="P1454" s="4">
        <v>5</v>
      </c>
      <c r="Q1454" t="s">
        <v>41</v>
      </c>
      <c r="R1454" s="2">
        <v>46174</v>
      </c>
      <c r="S1454" s="4">
        <v>29</v>
      </c>
      <c r="T1454" s="3">
        <v>185000000</v>
      </c>
      <c r="U1454" t="s">
        <v>214</v>
      </c>
      <c r="V1454" t="s">
        <v>70</v>
      </c>
      <c r="W1454" t="s">
        <v>438</v>
      </c>
      <c r="Y1454" t="s">
        <v>216</v>
      </c>
      <c r="Z1454" t="s">
        <v>3179</v>
      </c>
      <c r="AA1454" t="s">
        <v>46</v>
      </c>
      <c r="AB1454" t="s">
        <v>97</v>
      </c>
      <c r="AC1454" t="s">
        <v>46</v>
      </c>
    </row>
    <row r="1455" spans="1:29">
      <c r="A1455" t="s">
        <v>1872</v>
      </c>
      <c r="B1455" s="2">
        <v>46195</v>
      </c>
      <c r="C1455" t="s">
        <v>30</v>
      </c>
      <c r="D1455" t="s">
        <v>49</v>
      </c>
      <c r="E1455" t="s">
        <v>152</v>
      </c>
      <c r="F1455" t="s">
        <v>205</v>
      </c>
      <c r="G1455" t="s">
        <v>286</v>
      </c>
      <c r="H1455" t="s">
        <v>155</v>
      </c>
      <c r="I1455" t="s">
        <v>729</v>
      </c>
      <c r="J1455" t="s">
        <v>3149</v>
      </c>
      <c r="K1455" t="s">
        <v>92</v>
      </c>
      <c r="L1455" t="s">
        <v>38</v>
      </c>
      <c r="M1455" t="s">
        <v>93</v>
      </c>
      <c r="N1455" t="s">
        <v>57</v>
      </c>
      <c r="O1455" s="4">
        <v>3</v>
      </c>
      <c r="P1455" s="4">
        <v>10</v>
      </c>
      <c r="Q1455" t="s">
        <v>58</v>
      </c>
      <c r="R1455" s="2">
        <v>46185</v>
      </c>
      <c r="S1455" s="4">
        <v>18</v>
      </c>
      <c r="T1455" s="3">
        <v>118000000</v>
      </c>
      <c r="U1455" t="s">
        <v>42</v>
      </c>
      <c r="V1455" t="s">
        <v>43</v>
      </c>
      <c r="W1455" t="s">
        <v>71</v>
      </c>
      <c r="Y1455" t="s">
        <v>158</v>
      </c>
      <c r="Z1455" t="s">
        <v>3177</v>
      </c>
      <c r="AA1455" t="s">
        <v>159</v>
      </c>
      <c r="AB1455" t="s">
        <v>63</v>
      </c>
      <c r="AC1455" t="s">
        <v>159</v>
      </c>
    </row>
    <row r="1456" spans="1:29">
      <c r="A1456" t="s">
        <v>1873</v>
      </c>
      <c r="B1456" s="2">
        <v>46174</v>
      </c>
      <c r="C1456" t="s">
        <v>30</v>
      </c>
      <c r="D1456" t="s">
        <v>134</v>
      </c>
      <c r="E1456" t="s">
        <v>32</v>
      </c>
      <c r="F1456" t="s">
        <v>256</v>
      </c>
      <c r="G1456" t="s">
        <v>218</v>
      </c>
      <c r="H1456" t="s">
        <v>258</v>
      </c>
      <c r="I1456" t="s">
        <v>297</v>
      </c>
      <c r="J1456" t="s">
        <v>3044</v>
      </c>
      <c r="K1456" t="s">
        <v>37</v>
      </c>
      <c r="L1456" t="s">
        <v>55</v>
      </c>
      <c r="M1456" t="s">
        <v>129</v>
      </c>
      <c r="N1456" t="s">
        <v>82</v>
      </c>
      <c r="O1456" s="4">
        <v>1</v>
      </c>
      <c r="P1456" s="4">
        <v>1</v>
      </c>
      <c r="Q1456" t="s">
        <v>107</v>
      </c>
      <c r="R1456" s="2">
        <v>46171</v>
      </c>
      <c r="S1456" s="4">
        <v>32</v>
      </c>
      <c r="T1456" s="3">
        <v>209000000</v>
      </c>
      <c r="U1456" t="s">
        <v>42</v>
      </c>
      <c r="V1456" t="s">
        <v>43</v>
      </c>
      <c r="W1456" t="s">
        <v>84</v>
      </c>
      <c r="Y1456" t="s">
        <v>85</v>
      </c>
      <c r="Z1456" t="s">
        <v>3176</v>
      </c>
      <c r="AA1456" t="s">
        <v>46</v>
      </c>
      <c r="AB1456" t="s">
        <v>47</v>
      </c>
      <c r="AC1456" t="s">
        <v>46</v>
      </c>
    </row>
    <row r="1457" spans="1:29">
      <c r="A1457" t="s">
        <v>1874</v>
      </c>
      <c r="B1457" s="2">
        <v>46191</v>
      </c>
      <c r="C1457" t="s">
        <v>30</v>
      </c>
      <c r="D1457" t="s">
        <v>74</v>
      </c>
      <c r="E1457" t="s">
        <v>75</v>
      </c>
      <c r="F1457" t="s">
        <v>183</v>
      </c>
      <c r="G1457" t="s">
        <v>230</v>
      </c>
      <c r="H1457" t="s">
        <v>185</v>
      </c>
      <c r="I1457" t="s">
        <v>186</v>
      </c>
      <c r="J1457" t="s">
        <v>3024</v>
      </c>
      <c r="K1457" t="s">
        <v>92</v>
      </c>
      <c r="L1457" t="s">
        <v>80</v>
      </c>
      <c r="M1457" t="s">
        <v>81</v>
      </c>
      <c r="N1457" t="s">
        <v>196</v>
      </c>
      <c r="O1457" s="4">
        <v>7</v>
      </c>
      <c r="P1457" s="4">
        <v>13</v>
      </c>
      <c r="Q1457" t="s">
        <v>58</v>
      </c>
      <c r="R1457" s="2">
        <v>46183</v>
      </c>
      <c r="S1457" s="4">
        <v>20</v>
      </c>
      <c r="T1457" s="3">
        <v>227000000</v>
      </c>
      <c r="U1457" t="s">
        <v>196</v>
      </c>
      <c r="V1457" t="s">
        <v>70</v>
      </c>
      <c r="W1457" t="s">
        <v>209</v>
      </c>
      <c r="Y1457" t="s">
        <v>369</v>
      </c>
      <c r="Z1457" t="s">
        <v>3181</v>
      </c>
      <c r="AA1457" t="s">
        <v>86</v>
      </c>
      <c r="AB1457" t="s">
        <v>199</v>
      </c>
      <c r="AC1457" t="s">
        <v>86</v>
      </c>
    </row>
    <row r="1458" spans="1:29">
      <c r="A1458" t="s">
        <v>1875</v>
      </c>
      <c r="B1458" s="2">
        <v>46198</v>
      </c>
      <c r="C1458" t="s">
        <v>30</v>
      </c>
      <c r="D1458" t="s">
        <v>49</v>
      </c>
      <c r="E1458" t="s">
        <v>111</v>
      </c>
      <c r="F1458" t="s">
        <v>112</v>
      </c>
      <c r="G1458" t="s">
        <v>348</v>
      </c>
      <c r="H1458" t="s">
        <v>127</v>
      </c>
      <c r="I1458" t="s">
        <v>654</v>
      </c>
      <c r="J1458" t="s">
        <v>3142</v>
      </c>
      <c r="K1458" t="s">
        <v>105</v>
      </c>
      <c r="L1458" t="s">
        <v>68</v>
      </c>
      <c r="M1458" t="s">
        <v>93</v>
      </c>
      <c r="N1458" t="s">
        <v>40</v>
      </c>
      <c r="O1458" s="4">
        <v>2</v>
      </c>
      <c r="P1458" s="4">
        <v>5</v>
      </c>
      <c r="Q1458" t="s">
        <v>41</v>
      </c>
      <c r="R1458" s="2">
        <v>46198</v>
      </c>
      <c r="S1458" s="4">
        <v>5</v>
      </c>
      <c r="T1458" s="3">
        <v>139000000</v>
      </c>
      <c r="U1458" t="s">
        <v>42</v>
      </c>
      <c r="V1458" t="s">
        <v>43</v>
      </c>
      <c r="W1458" t="s">
        <v>44</v>
      </c>
      <c r="Y1458" t="s">
        <v>309</v>
      </c>
      <c r="Z1458" t="s">
        <v>3178</v>
      </c>
      <c r="AA1458" t="s">
        <v>118</v>
      </c>
      <c r="AB1458" t="s">
        <v>87</v>
      </c>
      <c r="AC1458" t="s">
        <v>118</v>
      </c>
    </row>
    <row r="1459" spans="1:29">
      <c r="A1459" t="s">
        <v>1876</v>
      </c>
      <c r="B1459" s="2">
        <v>46181</v>
      </c>
      <c r="C1459" t="s">
        <v>30</v>
      </c>
      <c r="D1459" t="s">
        <v>99</v>
      </c>
      <c r="E1459" t="s">
        <v>111</v>
      </c>
      <c r="F1459" t="s">
        <v>190</v>
      </c>
      <c r="G1459" t="s">
        <v>348</v>
      </c>
      <c r="H1459" t="s">
        <v>114</v>
      </c>
      <c r="I1459" t="s">
        <v>266</v>
      </c>
      <c r="J1459" t="s">
        <v>3037</v>
      </c>
      <c r="K1459" t="s">
        <v>37</v>
      </c>
      <c r="L1459" t="s">
        <v>80</v>
      </c>
      <c r="M1459" t="s">
        <v>81</v>
      </c>
      <c r="N1459" t="s">
        <v>57</v>
      </c>
      <c r="O1459" s="4">
        <v>3</v>
      </c>
      <c r="P1459" s="4">
        <v>11</v>
      </c>
      <c r="Q1459" t="s">
        <v>41</v>
      </c>
      <c r="R1459" s="2">
        <v>46181</v>
      </c>
      <c r="S1459" s="4">
        <v>22</v>
      </c>
      <c r="T1459" s="3">
        <v>230000000</v>
      </c>
      <c r="U1459" t="s">
        <v>42</v>
      </c>
      <c r="V1459" t="s">
        <v>59</v>
      </c>
      <c r="W1459" t="s">
        <v>157</v>
      </c>
      <c r="Y1459" t="s">
        <v>72</v>
      </c>
      <c r="Z1459" t="s">
        <v>3177</v>
      </c>
      <c r="AA1459" t="s">
        <v>118</v>
      </c>
      <c r="AB1459" t="s">
        <v>63</v>
      </c>
      <c r="AC1459" t="s">
        <v>118</v>
      </c>
    </row>
    <row r="1460" spans="1:29">
      <c r="A1460" t="s">
        <v>1877</v>
      </c>
      <c r="B1460" s="2">
        <v>46180</v>
      </c>
      <c r="C1460" t="s">
        <v>30</v>
      </c>
      <c r="D1460" t="s">
        <v>134</v>
      </c>
      <c r="E1460" t="s">
        <v>50</v>
      </c>
      <c r="F1460" t="s">
        <v>51</v>
      </c>
      <c r="G1460" t="s">
        <v>343</v>
      </c>
      <c r="H1460" t="s">
        <v>90</v>
      </c>
      <c r="I1460" t="s">
        <v>377</v>
      </c>
      <c r="J1460" t="s">
        <v>3068</v>
      </c>
      <c r="K1460" t="s">
        <v>37</v>
      </c>
      <c r="L1460" t="s">
        <v>187</v>
      </c>
      <c r="M1460" t="s">
        <v>39</v>
      </c>
      <c r="N1460" t="s">
        <v>82</v>
      </c>
      <c r="O1460" s="4">
        <v>1</v>
      </c>
      <c r="P1460" s="4">
        <v>13</v>
      </c>
      <c r="Q1460" t="s">
        <v>138</v>
      </c>
      <c r="R1460" s="2">
        <v>46179</v>
      </c>
      <c r="S1460" s="4">
        <v>24</v>
      </c>
      <c r="T1460" s="3">
        <v>70000000</v>
      </c>
      <c r="U1460" t="s">
        <v>42</v>
      </c>
      <c r="V1460" t="s">
        <v>43</v>
      </c>
      <c r="W1460" t="s">
        <v>84</v>
      </c>
      <c r="Y1460" t="s">
        <v>305</v>
      </c>
      <c r="Z1460" t="s">
        <v>3180</v>
      </c>
      <c r="AA1460" t="s">
        <v>62</v>
      </c>
      <c r="AB1460" t="s">
        <v>193</v>
      </c>
      <c r="AC1460" t="s">
        <v>62</v>
      </c>
    </row>
    <row r="1461" spans="1:29">
      <c r="A1461" t="s">
        <v>1878</v>
      </c>
      <c r="B1461" s="2">
        <v>46190</v>
      </c>
      <c r="C1461" t="s">
        <v>30</v>
      </c>
      <c r="D1461" t="s">
        <v>74</v>
      </c>
      <c r="E1461" t="s">
        <v>111</v>
      </c>
      <c r="F1461" t="s">
        <v>112</v>
      </c>
      <c r="G1461" t="s">
        <v>348</v>
      </c>
      <c r="H1461" t="s">
        <v>127</v>
      </c>
      <c r="I1461" t="s">
        <v>734</v>
      </c>
      <c r="J1461" t="s">
        <v>3150</v>
      </c>
      <c r="K1461" t="s">
        <v>37</v>
      </c>
      <c r="L1461" t="s">
        <v>55</v>
      </c>
      <c r="M1461" t="s">
        <v>106</v>
      </c>
      <c r="N1461" t="s">
        <v>130</v>
      </c>
      <c r="O1461" s="4">
        <v>5</v>
      </c>
      <c r="P1461" s="4">
        <v>13</v>
      </c>
      <c r="Q1461" t="s">
        <v>142</v>
      </c>
      <c r="R1461" s="2">
        <v>46185</v>
      </c>
      <c r="S1461" s="4">
        <v>18</v>
      </c>
      <c r="T1461" s="3">
        <v>209000000</v>
      </c>
      <c r="U1461" t="s">
        <v>42</v>
      </c>
      <c r="V1461" t="s">
        <v>70</v>
      </c>
      <c r="W1461" t="s">
        <v>131</v>
      </c>
      <c r="Y1461" t="s">
        <v>132</v>
      </c>
      <c r="Z1461" t="s">
        <v>3179</v>
      </c>
      <c r="AA1461" t="s">
        <v>118</v>
      </c>
      <c r="AB1461" t="s">
        <v>97</v>
      </c>
      <c r="AC1461" t="s">
        <v>118</v>
      </c>
    </row>
    <row r="1462" spans="1:29">
      <c r="A1462" t="s">
        <v>1879</v>
      </c>
      <c r="B1462" s="2">
        <v>46187</v>
      </c>
      <c r="C1462" t="s">
        <v>30</v>
      </c>
      <c r="D1462" t="s">
        <v>99</v>
      </c>
      <c r="E1462" t="s">
        <v>172</v>
      </c>
      <c r="F1462" t="s">
        <v>195</v>
      </c>
      <c r="G1462" t="s">
        <v>476</v>
      </c>
      <c r="H1462" t="s">
        <v>241</v>
      </c>
      <c r="I1462" t="s">
        <v>242</v>
      </c>
      <c r="J1462" t="s">
        <v>3034</v>
      </c>
      <c r="K1462" t="s">
        <v>92</v>
      </c>
      <c r="L1462" t="s">
        <v>80</v>
      </c>
      <c r="M1462" t="s">
        <v>39</v>
      </c>
      <c r="N1462" t="s">
        <v>130</v>
      </c>
      <c r="O1462" s="4">
        <v>5</v>
      </c>
      <c r="P1462" s="4">
        <v>7</v>
      </c>
      <c r="Q1462" t="s">
        <v>138</v>
      </c>
      <c r="R1462" s="2">
        <v>46183</v>
      </c>
      <c r="S1462" s="4">
        <v>20</v>
      </c>
      <c r="T1462" s="3">
        <v>73000000</v>
      </c>
      <c r="U1462" t="s">
        <v>42</v>
      </c>
      <c r="V1462" t="s">
        <v>143</v>
      </c>
      <c r="W1462" t="s">
        <v>252</v>
      </c>
      <c r="Y1462" t="s">
        <v>254</v>
      </c>
      <c r="Z1462" t="s">
        <v>3179</v>
      </c>
      <c r="AA1462" t="s">
        <v>181</v>
      </c>
      <c r="AB1462" t="s">
        <v>97</v>
      </c>
      <c r="AC1462" t="s">
        <v>181</v>
      </c>
    </row>
    <row r="1463" spans="1:29">
      <c r="A1463" t="s">
        <v>1880</v>
      </c>
      <c r="B1463" s="2">
        <v>46197</v>
      </c>
      <c r="C1463" t="s">
        <v>30</v>
      </c>
      <c r="D1463" t="s">
        <v>49</v>
      </c>
      <c r="E1463" t="s">
        <v>111</v>
      </c>
      <c r="F1463" t="s">
        <v>190</v>
      </c>
      <c r="G1463" t="s">
        <v>251</v>
      </c>
      <c r="H1463" t="s">
        <v>114</v>
      </c>
      <c r="I1463" t="s">
        <v>383</v>
      </c>
      <c r="J1463" t="s">
        <v>3070</v>
      </c>
      <c r="K1463" t="s">
        <v>56</v>
      </c>
      <c r="L1463" t="s">
        <v>169</v>
      </c>
      <c r="M1463" t="s">
        <v>81</v>
      </c>
      <c r="N1463" t="s">
        <v>57</v>
      </c>
      <c r="O1463" s="4">
        <v>3</v>
      </c>
      <c r="P1463" s="4">
        <v>11</v>
      </c>
      <c r="Q1463" t="s">
        <v>138</v>
      </c>
      <c r="R1463" s="2">
        <v>46189</v>
      </c>
      <c r="S1463" s="4">
        <v>14</v>
      </c>
      <c r="T1463" s="3">
        <v>465000000</v>
      </c>
      <c r="U1463" t="s">
        <v>42</v>
      </c>
      <c r="V1463" t="s">
        <v>43</v>
      </c>
      <c r="W1463" t="s">
        <v>71</v>
      </c>
      <c r="Y1463" t="s">
        <v>72</v>
      </c>
      <c r="Z1463" t="s">
        <v>3177</v>
      </c>
      <c r="AA1463" t="s">
        <v>118</v>
      </c>
      <c r="AB1463" t="s">
        <v>63</v>
      </c>
      <c r="AC1463" t="s">
        <v>118</v>
      </c>
    </row>
    <row r="1464" spans="1:29">
      <c r="A1464" t="s">
        <v>1881</v>
      </c>
      <c r="B1464" s="2">
        <v>46188</v>
      </c>
      <c r="C1464" t="s">
        <v>30</v>
      </c>
      <c r="D1464" t="s">
        <v>74</v>
      </c>
      <c r="E1464" t="s">
        <v>32</v>
      </c>
      <c r="F1464" t="s">
        <v>273</v>
      </c>
      <c r="G1464" t="s">
        <v>257</v>
      </c>
      <c r="H1464" t="s">
        <v>258</v>
      </c>
      <c r="I1464" t="s">
        <v>593</v>
      </c>
      <c r="J1464" t="s">
        <v>3127</v>
      </c>
      <c r="K1464" t="s">
        <v>56</v>
      </c>
      <c r="L1464" t="s">
        <v>80</v>
      </c>
      <c r="M1464" t="s">
        <v>164</v>
      </c>
      <c r="N1464" t="s">
        <v>82</v>
      </c>
      <c r="O1464" s="4">
        <v>1</v>
      </c>
      <c r="P1464" s="4">
        <v>5</v>
      </c>
      <c r="Q1464" t="s">
        <v>58</v>
      </c>
      <c r="R1464" s="2">
        <v>46182</v>
      </c>
      <c r="S1464" s="4">
        <v>21</v>
      </c>
      <c r="T1464" s="3">
        <v>266000000</v>
      </c>
      <c r="U1464" t="s">
        <v>42</v>
      </c>
      <c r="V1464" t="s">
        <v>43</v>
      </c>
      <c r="W1464" t="s">
        <v>84</v>
      </c>
      <c r="Y1464" t="s">
        <v>330</v>
      </c>
      <c r="Z1464" t="s">
        <v>3178</v>
      </c>
      <c r="AA1464" t="s">
        <v>46</v>
      </c>
      <c r="AB1464" t="s">
        <v>87</v>
      </c>
      <c r="AC1464" t="s">
        <v>46</v>
      </c>
    </row>
    <row r="1465" spans="1:29">
      <c r="A1465" t="s">
        <v>1882</v>
      </c>
      <c r="B1465" s="2">
        <v>46192</v>
      </c>
      <c r="C1465" t="s">
        <v>30</v>
      </c>
      <c r="D1465" t="s">
        <v>74</v>
      </c>
      <c r="E1465" t="s">
        <v>100</v>
      </c>
      <c r="F1465" t="s">
        <v>140</v>
      </c>
      <c r="G1465" t="s">
        <v>147</v>
      </c>
      <c r="H1465" t="s">
        <v>103</v>
      </c>
      <c r="I1465" t="s">
        <v>447</v>
      </c>
      <c r="J1465" t="s">
        <v>3088</v>
      </c>
      <c r="K1465" t="s">
        <v>37</v>
      </c>
      <c r="L1465" t="s">
        <v>187</v>
      </c>
      <c r="M1465" t="s">
        <v>106</v>
      </c>
      <c r="N1465" t="s">
        <v>196</v>
      </c>
      <c r="O1465" s="4">
        <v>7</v>
      </c>
      <c r="P1465" s="4">
        <v>18</v>
      </c>
      <c r="Q1465" t="s">
        <v>69</v>
      </c>
      <c r="R1465" s="2">
        <v>46190</v>
      </c>
      <c r="S1465" s="4">
        <v>13</v>
      </c>
      <c r="T1465" s="3">
        <v>105000000</v>
      </c>
      <c r="U1465" t="s">
        <v>196</v>
      </c>
      <c r="V1465" t="s">
        <v>70</v>
      </c>
      <c r="W1465" t="s">
        <v>197</v>
      </c>
      <c r="Y1465" t="s">
        <v>369</v>
      </c>
      <c r="Z1465" t="s">
        <v>3181</v>
      </c>
      <c r="AA1465" t="s">
        <v>109</v>
      </c>
      <c r="AB1465" t="s">
        <v>199</v>
      </c>
      <c r="AC1465" t="s">
        <v>109</v>
      </c>
    </row>
    <row r="1466" spans="1:29">
      <c r="A1466" t="s">
        <v>1883</v>
      </c>
      <c r="B1466" s="2">
        <v>46175</v>
      </c>
      <c r="C1466" t="s">
        <v>30</v>
      </c>
      <c r="D1466" t="s">
        <v>134</v>
      </c>
      <c r="E1466" t="s">
        <v>100</v>
      </c>
      <c r="F1466" t="s">
        <v>146</v>
      </c>
      <c r="G1466" t="s">
        <v>147</v>
      </c>
      <c r="H1466" t="s">
        <v>201</v>
      </c>
      <c r="I1466" t="s">
        <v>202</v>
      </c>
      <c r="J1466" t="s">
        <v>3026</v>
      </c>
      <c r="K1466" t="s">
        <v>37</v>
      </c>
      <c r="L1466" t="s">
        <v>38</v>
      </c>
      <c r="M1466" t="s">
        <v>129</v>
      </c>
      <c r="N1466" t="s">
        <v>130</v>
      </c>
      <c r="O1466" s="4">
        <v>5</v>
      </c>
      <c r="P1466" s="4">
        <v>16</v>
      </c>
      <c r="Q1466" t="s">
        <v>83</v>
      </c>
      <c r="R1466" s="2">
        <v>46171</v>
      </c>
      <c r="S1466" s="4">
        <v>32</v>
      </c>
      <c r="T1466" s="3">
        <v>150000000</v>
      </c>
      <c r="U1466" t="s">
        <v>42</v>
      </c>
      <c r="V1466" t="s">
        <v>143</v>
      </c>
      <c r="W1466" t="s">
        <v>252</v>
      </c>
      <c r="Y1466" t="s">
        <v>262</v>
      </c>
      <c r="Z1466" t="s">
        <v>3179</v>
      </c>
      <c r="AA1466" t="s">
        <v>109</v>
      </c>
      <c r="AB1466" t="s">
        <v>97</v>
      </c>
      <c r="AC1466" t="s">
        <v>109</v>
      </c>
    </row>
    <row r="1467" spans="1:29">
      <c r="A1467" t="s">
        <v>1884</v>
      </c>
      <c r="B1467" s="2">
        <v>46181</v>
      </c>
      <c r="C1467" t="s">
        <v>30</v>
      </c>
      <c r="D1467" t="s">
        <v>99</v>
      </c>
      <c r="E1467" t="s">
        <v>100</v>
      </c>
      <c r="F1467" t="s">
        <v>140</v>
      </c>
      <c r="G1467" t="s">
        <v>313</v>
      </c>
      <c r="H1467" t="s">
        <v>148</v>
      </c>
      <c r="I1467" t="s">
        <v>851</v>
      </c>
      <c r="J1467" t="s">
        <v>3163</v>
      </c>
      <c r="K1467" t="s">
        <v>56</v>
      </c>
      <c r="L1467" t="s">
        <v>38</v>
      </c>
      <c r="M1467" t="s">
        <v>164</v>
      </c>
      <c r="N1467" t="s">
        <v>57</v>
      </c>
      <c r="O1467" s="4">
        <v>3</v>
      </c>
      <c r="P1467" s="4">
        <v>6</v>
      </c>
      <c r="Q1467" t="s">
        <v>83</v>
      </c>
      <c r="R1467" s="2">
        <v>46176</v>
      </c>
      <c r="S1467" s="4">
        <v>27</v>
      </c>
      <c r="T1467" s="3">
        <v>338000000</v>
      </c>
      <c r="U1467" t="s">
        <v>42</v>
      </c>
      <c r="V1467" t="s">
        <v>43</v>
      </c>
      <c r="W1467" t="s">
        <v>157</v>
      </c>
      <c r="Y1467" t="s">
        <v>61</v>
      </c>
      <c r="Z1467" t="s">
        <v>3177</v>
      </c>
      <c r="AA1467" t="s">
        <v>109</v>
      </c>
      <c r="AB1467" t="s">
        <v>63</v>
      </c>
      <c r="AC1467" t="s">
        <v>109</v>
      </c>
    </row>
    <row r="1468" spans="1:29">
      <c r="A1468" t="s">
        <v>1885</v>
      </c>
      <c r="B1468" s="2">
        <v>46177</v>
      </c>
      <c r="C1468" t="s">
        <v>30</v>
      </c>
      <c r="D1468" t="s">
        <v>134</v>
      </c>
      <c r="E1468" t="s">
        <v>32</v>
      </c>
      <c r="F1468" t="s">
        <v>273</v>
      </c>
      <c r="G1468" t="s">
        <v>257</v>
      </c>
      <c r="H1468" t="s">
        <v>303</v>
      </c>
      <c r="I1468" t="s">
        <v>1021</v>
      </c>
      <c r="J1468" t="s">
        <v>3171</v>
      </c>
      <c r="K1468" t="s">
        <v>37</v>
      </c>
      <c r="L1468" t="s">
        <v>150</v>
      </c>
      <c r="M1468" t="s">
        <v>106</v>
      </c>
      <c r="N1468" t="s">
        <v>57</v>
      </c>
      <c r="O1468" s="4">
        <v>3</v>
      </c>
      <c r="P1468" s="4">
        <v>1</v>
      </c>
      <c r="Q1468" t="s">
        <v>41</v>
      </c>
      <c r="R1468" s="2">
        <v>46170</v>
      </c>
      <c r="S1468" s="4">
        <v>33</v>
      </c>
      <c r="T1468" s="3">
        <v>143000000</v>
      </c>
      <c r="U1468" t="s">
        <v>260</v>
      </c>
      <c r="V1468" t="s">
        <v>43</v>
      </c>
      <c r="W1468" t="s">
        <v>71</v>
      </c>
      <c r="X1468" t="s">
        <v>308</v>
      </c>
      <c r="Y1468" t="s">
        <v>165</v>
      </c>
      <c r="Z1468" t="s">
        <v>3177</v>
      </c>
      <c r="AA1468" t="s">
        <v>46</v>
      </c>
      <c r="AB1468" t="s">
        <v>63</v>
      </c>
      <c r="AC1468" t="s">
        <v>46</v>
      </c>
    </row>
    <row r="1469" spans="1:29">
      <c r="A1469" t="s">
        <v>1886</v>
      </c>
      <c r="B1469" s="2">
        <v>46189</v>
      </c>
      <c r="C1469" t="s">
        <v>30</v>
      </c>
      <c r="D1469" t="s">
        <v>74</v>
      </c>
      <c r="E1469" t="s">
        <v>111</v>
      </c>
      <c r="F1469" t="s">
        <v>264</v>
      </c>
      <c r="G1469" t="s">
        <v>348</v>
      </c>
      <c r="H1469" t="s">
        <v>191</v>
      </c>
      <c r="I1469" t="s">
        <v>449</v>
      </c>
      <c r="J1469" t="s">
        <v>3089</v>
      </c>
      <c r="K1469" t="s">
        <v>116</v>
      </c>
      <c r="L1469" t="s">
        <v>187</v>
      </c>
      <c r="M1469" t="s">
        <v>129</v>
      </c>
      <c r="N1469" t="s">
        <v>213</v>
      </c>
      <c r="O1469" s="4">
        <v>6</v>
      </c>
      <c r="P1469" s="4">
        <v>13</v>
      </c>
      <c r="Q1469" t="s">
        <v>41</v>
      </c>
      <c r="R1469" s="2">
        <v>46183</v>
      </c>
      <c r="S1469" s="4">
        <v>20</v>
      </c>
      <c r="T1469" s="3">
        <v>141000000</v>
      </c>
      <c r="U1469" t="s">
        <v>42</v>
      </c>
      <c r="V1469" t="s">
        <v>70</v>
      </c>
      <c r="W1469" t="s">
        <v>215</v>
      </c>
      <c r="Y1469" t="s">
        <v>424</v>
      </c>
      <c r="Z1469" t="s">
        <v>3179</v>
      </c>
      <c r="AA1469" t="s">
        <v>118</v>
      </c>
      <c r="AB1469" t="s">
        <v>97</v>
      </c>
      <c r="AC1469" t="s">
        <v>118</v>
      </c>
    </row>
    <row r="1470" spans="1:29">
      <c r="A1470" t="s">
        <v>1887</v>
      </c>
      <c r="B1470" s="2">
        <v>46192</v>
      </c>
      <c r="C1470" t="s">
        <v>30</v>
      </c>
      <c r="D1470" t="s">
        <v>74</v>
      </c>
      <c r="E1470" t="s">
        <v>75</v>
      </c>
      <c r="F1470" t="s">
        <v>76</v>
      </c>
      <c r="G1470" t="s">
        <v>184</v>
      </c>
      <c r="H1470" t="s">
        <v>185</v>
      </c>
      <c r="I1470" t="s">
        <v>795</v>
      </c>
      <c r="J1470" t="s">
        <v>3155</v>
      </c>
      <c r="K1470" t="s">
        <v>105</v>
      </c>
      <c r="L1470" t="s">
        <v>80</v>
      </c>
      <c r="M1470" t="s">
        <v>129</v>
      </c>
      <c r="N1470" t="s">
        <v>94</v>
      </c>
      <c r="O1470" s="4">
        <v>4</v>
      </c>
      <c r="P1470" s="4">
        <v>8</v>
      </c>
      <c r="Q1470" t="s">
        <v>41</v>
      </c>
      <c r="R1470" s="2">
        <v>46189</v>
      </c>
      <c r="S1470" s="4">
        <v>14</v>
      </c>
      <c r="T1470" s="3">
        <v>275000000</v>
      </c>
      <c r="U1470" t="s">
        <v>260</v>
      </c>
      <c r="V1470" t="s">
        <v>70</v>
      </c>
      <c r="W1470" t="s">
        <v>188</v>
      </c>
      <c r="X1470" t="s">
        <v>261</v>
      </c>
      <c r="Y1470" t="s">
        <v>228</v>
      </c>
      <c r="Z1470" t="s">
        <v>3179</v>
      </c>
      <c r="AA1470" t="s">
        <v>86</v>
      </c>
      <c r="AB1470" t="s">
        <v>97</v>
      </c>
      <c r="AC1470" t="s">
        <v>86</v>
      </c>
    </row>
    <row r="1471" spans="1:29">
      <c r="A1471" t="s">
        <v>1888</v>
      </c>
      <c r="B1471" s="2">
        <v>46180</v>
      </c>
      <c r="C1471" t="s">
        <v>30</v>
      </c>
      <c r="D1471" t="s">
        <v>134</v>
      </c>
      <c r="E1471" t="s">
        <v>100</v>
      </c>
      <c r="F1471" t="s">
        <v>146</v>
      </c>
      <c r="G1471" t="s">
        <v>313</v>
      </c>
      <c r="H1471" t="s">
        <v>148</v>
      </c>
      <c r="I1471" t="s">
        <v>490</v>
      </c>
      <c r="J1471" t="s">
        <v>3103</v>
      </c>
      <c r="K1471" t="s">
        <v>56</v>
      </c>
      <c r="L1471" t="s">
        <v>80</v>
      </c>
      <c r="M1471" t="s">
        <v>39</v>
      </c>
      <c r="N1471" t="s">
        <v>40</v>
      </c>
      <c r="O1471" s="4">
        <v>2</v>
      </c>
      <c r="P1471" s="4">
        <v>6</v>
      </c>
      <c r="Q1471" t="s">
        <v>138</v>
      </c>
      <c r="R1471" s="2">
        <v>46178</v>
      </c>
      <c r="S1471" s="4">
        <v>25</v>
      </c>
      <c r="T1471" s="3">
        <v>239000000</v>
      </c>
      <c r="U1471" t="s">
        <v>42</v>
      </c>
      <c r="V1471" t="s">
        <v>43</v>
      </c>
      <c r="W1471" t="s">
        <v>44</v>
      </c>
      <c r="Y1471" t="s">
        <v>180</v>
      </c>
      <c r="Z1471" t="s">
        <v>3178</v>
      </c>
      <c r="AA1471" t="s">
        <v>109</v>
      </c>
      <c r="AB1471" t="s">
        <v>87</v>
      </c>
      <c r="AC1471" t="s">
        <v>109</v>
      </c>
    </row>
    <row r="1472" spans="1:29">
      <c r="A1472" t="s">
        <v>1889</v>
      </c>
      <c r="B1472" s="2">
        <v>46176</v>
      </c>
      <c r="C1472" t="s">
        <v>30</v>
      </c>
      <c r="D1472" t="s">
        <v>134</v>
      </c>
      <c r="E1472" t="s">
        <v>75</v>
      </c>
      <c r="F1472" t="s">
        <v>161</v>
      </c>
      <c r="G1472" t="s">
        <v>162</v>
      </c>
      <c r="H1472" t="s">
        <v>78</v>
      </c>
      <c r="I1472" t="s">
        <v>1145</v>
      </c>
      <c r="J1472" t="s">
        <v>3174</v>
      </c>
      <c r="K1472" t="s">
        <v>116</v>
      </c>
      <c r="L1472" t="s">
        <v>80</v>
      </c>
      <c r="M1472" t="s">
        <v>56</v>
      </c>
      <c r="N1472" t="s">
        <v>94</v>
      </c>
      <c r="O1472" s="4">
        <v>4</v>
      </c>
      <c r="P1472" s="4">
        <v>8</v>
      </c>
      <c r="Q1472" t="s">
        <v>58</v>
      </c>
      <c r="R1472" s="2">
        <v>46168</v>
      </c>
      <c r="S1472" s="4">
        <v>35</v>
      </c>
      <c r="T1472" s="3">
        <v>114000000</v>
      </c>
      <c r="U1472" t="s">
        <v>426</v>
      </c>
      <c r="V1472" t="s">
        <v>70</v>
      </c>
      <c r="W1472" t="s">
        <v>188</v>
      </c>
      <c r="X1472" t="s">
        <v>422</v>
      </c>
      <c r="Y1472" t="s">
        <v>96</v>
      </c>
      <c r="Z1472" t="s">
        <v>3179</v>
      </c>
      <c r="AA1472" t="s">
        <v>86</v>
      </c>
      <c r="AB1472" t="s">
        <v>97</v>
      </c>
      <c r="AC1472" t="s">
        <v>86</v>
      </c>
    </row>
    <row r="1473" spans="1:29">
      <c r="A1473" t="s">
        <v>1890</v>
      </c>
      <c r="B1473" s="2">
        <v>46187</v>
      </c>
      <c r="C1473" t="s">
        <v>30</v>
      </c>
      <c r="D1473" t="s">
        <v>99</v>
      </c>
      <c r="E1473" t="s">
        <v>32</v>
      </c>
      <c r="F1473" t="s">
        <v>256</v>
      </c>
      <c r="G1473" t="s">
        <v>463</v>
      </c>
      <c r="H1473" t="s">
        <v>35</v>
      </c>
      <c r="I1473" t="s">
        <v>604</v>
      </c>
      <c r="J1473" t="s">
        <v>3130</v>
      </c>
      <c r="K1473" t="s">
        <v>92</v>
      </c>
      <c r="L1473" t="s">
        <v>187</v>
      </c>
      <c r="M1473" t="s">
        <v>106</v>
      </c>
      <c r="N1473" t="s">
        <v>82</v>
      </c>
      <c r="O1473" s="4">
        <v>1</v>
      </c>
      <c r="P1473" s="4">
        <v>4</v>
      </c>
      <c r="Q1473" t="s">
        <v>107</v>
      </c>
      <c r="R1473" s="2">
        <v>46183</v>
      </c>
      <c r="S1473" s="4">
        <v>20</v>
      </c>
      <c r="T1473" s="3">
        <v>151000000</v>
      </c>
      <c r="U1473" t="s">
        <v>42</v>
      </c>
      <c r="V1473" t="s">
        <v>43</v>
      </c>
      <c r="W1473" t="s">
        <v>359</v>
      </c>
      <c r="Y1473" t="s">
        <v>85</v>
      </c>
      <c r="Z1473" t="s">
        <v>3176</v>
      </c>
      <c r="AA1473" t="s">
        <v>46</v>
      </c>
      <c r="AB1473" t="s">
        <v>47</v>
      </c>
      <c r="AC1473" t="s">
        <v>46</v>
      </c>
    </row>
    <row r="1474" spans="1:29">
      <c r="A1474" t="s">
        <v>1891</v>
      </c>
      <c r="B1474" s="2">
        <v>46183</v>
      </c>
      <c r="C1474" t="s">
        <v>30</v>
      </c>
      <c r="D1474" t="s">
        <v>99</v>
      </c>
      <c r="E1474" t="s">
        <v>100</v>
      </c>
      <c r="F1474" t="s">
        <v>101</v>
      </c>
      <c r="G1474" t="s">
        <v>212</v>
      </c>
      <c r="H1474" t="s">
        <v>103</v>
      </c>
      <c r="I1474" t="s">
        <v>411</v>
      </c>
      <c r="J1474" t="s">
        <v>3077</v>
      </c>
      <c r="K1474" t="s">
        <v>92</v>
      </c>
      <c r="L1474" t="s">
        <v>55</v>
      </c>
      <c r="M1474" t="s">
        <v>164</v>
      </c>
      <c r="N1474" t="s">
        <v>94</v>
      </c>
      <c r="O1474" s="4">
        <v>4</v>
      </c>
      <c r="P1474" s="4">
        <v>18</v>
      </c>
      <c r="Q1474" t="s">
        <v>142</v>
      </c>
      <c r="R1474" s="2">
        <v>46179</v>
      </c>
      <c r="S1474" s="4">
        <v>24</v>
      </c>
      <c r="T1474" s="3">
        <v>195000000</v>
      </c>
      <c r="U1474" t="s">
        <v>42</v>
      </c>
      <c r="V1474" t="s">
        <v>70</v>
      </c>
      <c r="W1474" t="s">
        <v>188</v>
      </c>
      <c r="Y1474" t="s">
        <v>268</v>
      </c>
      <c r="Z1474" t="s">
        <v>3179</v>
      </c>
      <c r="AA1474" t="s">
        <v>109</v>
      </c>
      <c r="AB1474" t="s">
        <v>97</v>
      </c>
      <c r="AC1474" t="s">
        <v>109</v>
      </c>
    </row>
    <row r="1475" spans="1:29">
      <c r="A1475" t="s">
        <v>1892</v>
      </c>
      <c r="B1475" s="2">
        <v>46186</v>
      </c>
      <c r="C1475" t="s">
        <v>30</v>
      </c>
      <c r="D1475" t="s">
        <v>99</v>
      </c>
      <c r="E1475" t="s">
        <v>32</v>
      </c>
      <c r="F1475" t="s">
        <v>33</v>
      </c>
      <c r="G1475" t="s">
        <v>463</v>
      </c>
      <c r="H1475" t="s">
        <v>303</v>
      </c>
      <c r="I1475" t="s">
        <v>487</v>
      </c>
      <c r="J1475" t="s">
        <v>3102</v>
      </c>
      <c r="K1475" t="s">
        <v>37</v>
      </c>
      <c r="L1475" t="s">
        <v>80</v>
      </c>
      <c r="M1475" t="s">
        <v>93</v>
      </c>
      <c r="N1475" t="s">
        <v>82</v>
      </c>
      <c r="O1475" s="4">
        <v>1</v>
      </c>
      <c r="P1475" s="4">
        <v>1</v>
      </c>
      <c r="Q1475" t="s">
        <v>69</v>
      </c>
      <c r="R1475" s="2">
        <v>46177</v>
      </c>
      <c r="S1475" s="4">
        <v>26</v>
      </c>
      <c r="T1475" s="3">
        <v>212000000</v>
      </c>
      <c r="U1475" t="s">
        <v>42</v>
      </c>
      <c r="V1475" t="s">
        <v>43</v>
      </c>
      <c r="W1475" t="s">
        <v>84</v>
      </c>
      <c r="Y1475" t="s">
        <v>330</v>
      </c>
      <c r="Z1475" t="s">
        <v>3176</v>
      </c>
      <c r="AA1475" t="s">
        <v>46</v>
      </c>
      <c r="AB1475" t="s">
        <v>47</v>
      </c>
      <c r="AC1475" t="s">
        <v>46</v>
      </c>
    </row>
    <row r="1476" spans="1:29">
      <c r="A1476" t="s">
        <v>1893</v>
      </c>
      <c r="B1476" s="2">
        <v>46178</v>
      </c>
      <c r="C1476" t="s">
        <v>30</v>
      </c>
      <c r="D1476" t="s">
        <v>134</v>
      </c>
      <c r="E1476" t="s">
        <v>100</v>
      </c>
      <c r="F1476" t="s">
        <v>146</v>
      </c>
      <c r="G1476" t="s">
        <v>237</v>
      </c>
      <c r="H1476" t="s">
        <v>201</v>
      </c>
      <c r="I1476" t="s">
        <v>608</v>
      </c>
      <c r="J1476" t="s">
        <v>3132</v>
      </c>
      <c r="K1476" t="s">
        <v>105</v>
      </c>
      <c r="L1476" t="s">
        <v>38</v>
      </c>
      <c r="M1476" t="s">
        <v>106</v>
      </c>
      <c r="N1476" t="s">
        <v>57</v>
      </c>
      <c r="O1476" s="4">
        <v>3</v>
      </c>
      <c r="P1476" s="4">
        <v>6</v>
      </c>
      <c r="Q1476" t="s">
        <v>142</v>
      </c>
      <c r="R1476" s="2">
        <v>46176</v>
      </c>
      <c r="S1476" s="4">
        <v>27</v>
      </c>
      <c r="T1476" s="3">
        <v>170000000</v>
      </c>
      <c r="U1476" t="s">
        <v>42</v>
      </c>
      <c r="V1476" t="s">
        <v>43</v>
      </c>
      <c r="W1476" t="s">
        <v>60</v>
      </c>
      <c r="Y1476" t="s">
        <v>61</v>
      </c>
      <c r="Z1476" t="s">
        <v>3177</v>
      </c>
      <c r="AA1476" t="s">
        <v>109</v>
      </c>
      <c r="AB1476" t="s">
        <v>63</v>
      </c>
      <c r="AC1476" t="s">
        <v>109</v>
      </c>
    </row>
    <row r="1477" spans="1:29">
      <c r="A1477" t="s">
        <v>1894</v>
      </c>
      <c r="B1477" s="2">
        <v>46184</v>
      </c>
      <c r="C1477" t="s">
        <v>30</v>
      </c>
      <c r="D1477" t="s">
        <v>99</v>
      </c>
      <c r="E1477" t="s">
        <v>111</v>
      </c>
      <c r="F1477" t="s">
        <v>264</v>
      </c>
      <c r="G1477" t="s">
        <v>126</v>
      </c>
      <c r="H1477" t="s">
        <v>127</v>
      </c>
      <c r="I1477" t="s">
        <v>349</v>
      </c>
      <c r="J1477" t="s">
        <v>3059</v>
      </c>
      <c r="K1477" t="s">
        <v>92</v>
      </c>
      <c r="L1477" t="s">
        <v>55</v>
      </c>
      <c r="M1477" t="s">
        <v>93</v>
      </c>
      <c r="N1477" t="s">
        <v>196</v>
      </c>
      <c r="O1477" s="4">
        <v>7</v>
      </c>
      <c r="P1477" s="4">
        <v>14</v>
      </c>
      <c r="Q1477" t="s">
        <v>58</v>
      </c>
      <c r="R1477" s="2">
        <v>46175</v>
      </c>
      <c r="S1477" s="4">
        <v>28</v>
      </c>
      <c r="T1477" s="3">
        <v>146000000</v>
      </c>
      <c r="U1477" t="s">
        <v>196</v>
      </c>
      <c r="V1477" t="s">
        <v>70</v>
      </c>
      <c r="W1477" t="s">
        <v>197</v>
      </c>
      <c r="Y1477" t="s">
        <v>244</v>
      </c>
      <c r="Z1477" t="s">
        <v>3181</v>
      </c>
      <c r="AA1477" t="s">
        <v>118</v>
      </c>
      <c r="AB1477" t="s">
        <v>199</v>
      </c>
      <c r="AC1477" t="s">
        <v>118</v>
      </c>
    </row>
    <row r="1478" spans="1:29">
      <c r="A1478" t="s">
        <v>1895</v>
      </c>
      <c r="B1478" s="2">
        <v>46185</v>
      </c>
      <c r="C1478" t="s">
        <v>30</v>
      </c>
      <c r="D1478" t="s">
        <v>99</v>
      </c>
      <c r="E1478" t="s">
        <v>111</v>
      </c>
      <c r="F1478" t="s">
        <v>190</v>
      </c>
      <c r="G1478" t="s">
        <v>251</v>
      </c>
      <c r="H1478" t="s">
        <v>127</v>
      </c>
      <c r="I1478" t="s">
        <v>349</v>
      </c>
      <c r="J1478" t="s">
        <v>3059</v>
      </c>
      <c r="K1478" t="s">
        <v>37</v>
      </c>
      <c r="L1478" t="s">
        <v>80</v>
      </c>
      <c r="M1478" t="s">
        <v>164</v>
      </c>
      <c r="N1478" t="s">
        <v>130</v>
      </c>
      <c r="O1478" s="4">
        <v>5</v>
      </c>
      <c r="P1478" s="4">
        <v>7</v>
      </c>
      <c r="Q1478" t="s">
        <v>107</v>
      </c>
      <c r="R1478" s="2">
        <v>46180</v>
      </c>
      <c r="S1478" s="4">
        <v>23</v>
      </c>
      <c r="T1478" s="3">
        <v>105000000</v>
      </c>
      <c r="U1478" t="s">
        <v>260</v>
      </c>
      <c r="V1478" t="s">
        <v>143</v>
      </c>
      <c r="W1478" t="s">
        <v>355</v>
      </c>
      <c r="X1478" t="s">
        <v>308</v>
      </c>
      <c r="Y1478" t="s">
        <v>262</v>
      </c>
      <c r="Z1478" t="s">
        <v>3179</v>
      </c>
      <c r="AA1478" t="s">
        <v>118</v>
      </c>
      <c r="AB1478" t="s">
        <v>97</v>
      </c>
      <c r="AC1478" t="s">
        <v>118</v>
      </c>
    </row>
    <row r="1479" spans="1:29">
      <c r="A1479" t="s">
        <v>1896</v>
      </c>
      <c r="B1479" s="2">
        <v>46175</v>
      </c>
      <c r="C1479" t="s">
        <v>30</v>
      </c>
      <c r="D1479" t="s">
        <v>134</v>
      </c>
      <c r="E1479" t="s">
        <v>120</v>
      </c>
      <c r="F1479" t="s">
        <v>246</v>
      </c>
      <c r="G1479" t="s">
        <v>227</v>
      </c>
      <c r="H1479" t="s">
        <v>123</v>
      </c>
      <c r="I1479" t="s">
        <v>397</v>
      </c>
      <c r="J1479" t="s">
        <v>3073</v>
      </c>
      <c r="K1479" t="s">
        <v>37</v>
      </c>
      <c r="L1479" t="s">
        <v>68</v>
      </c>
      <c r="M1479" t="s">
        <v>39</v>
      </c>
      <c r="N1479" t="s">
        <v>130</v>
      </c>
      <c r="O1479" s="4">
        <v>5</v>
      </c>
      <c r="P1479" s="4">
        <v>8</v>
      </c>
      <c r="Q1479" t="s">
        <v>58</v>
      </c>
      <c r="R1479" s="2">
        <v>46171</v>
      </c>
      <c r="S1479" s="4">
        <v>32</v>
      </c>
      <c r="T1479" s="3">
        <v>268000000</v>
      </c>
      <c r="U1479" t="s">
        <v>42</v>
      </c>
      <c r="V1479" t="s">
        <v>59</v>
      </c>
      <c r="W1479" t="s">
        <v>252</v>
      </c>
      <c r="Y1479" t="s">
        <v>254</v>
      </c>
      <c r="Z1479" t="s">
        <v>3179</v>
      </c>
      <c r="AA1479" t="s">
        <v>97</v>
      </c>
      <c r="AB1479" t="s">
        <v>97</v>
      </c>
      <c r="AC1479" t="s">
        <v>97</v>
      </c>
    </row>
    <row r="1480" spans="1:29">
      <c r="A1480" t="s">
        <v>1897</v>
      </c>
      <c r="B1480" s="2">
        <v>46201</v>
      </c>
      <c r="C1480" t="s">
        <v>30</v>
      </c>
      <c r="D1480" t="s">
        <v>49</v>
      </c>
      <c r="E1480" t="s">
        <v>100</v>
      </c>
      <c r="F1480" t="s">
        <v>146</v>
      </c>
      <c r="G1480" t="s">
        <v>313</v>
      </c>
      <c r="H1480" t="s">
        <v>103</v>
      </c>
      <c r="I1480" t="s">
        <v>436</v>
      </c>
      <c r="J1480" t="s">
        <v>3084</v>
      </c>
      <c r="K1480" t="s">
        <v>56</v>
      </c>
      <c r="L1480" t="s">
        <v>68</v>
      </c>
      <c r="M1480" t="s">
        <v>56</v>
      </c>
      <c r="N1480" t="s">
        <v>57</v>
      </c>
      <c r="O1480" s="4">
        <v>3</v>
      </c>
      <c r="P1480" s="4">
        <v>14</v>
      </c>
      <c r="Q1480" t="s">
        <v>58</v>
      </c>
      <c r="R1480" s="2">
        <v>46193</v>
      </c>
      <c r="S1480" s="4">
        <v>10</v>
      </c>
      <c r="T1480" s="3">
        <v>437000000</v>
      </c>
      <c r="U1480" t="s">
        <v>42</v>
      </c>
      <c r="V1480" t="s">
        <v>43</v>
      </c>
      <c r="W1480" t="s">
        <v>60</v>
      </c>
      <c r="Y1480" t="s">
        <v>61</v>
      </c>
      <c r="Z1480" t="s">
        <v>3180</v>
      </c>
      <c r="AA1480" t="s">
        <v>109</v>
      </c>
      <c r="AB1480" t="s">
        <v>193</v>
      </c>
      <c r="AC1480" t="s">
        <v>109</v>
      </c>
    </row>
    <row r="1481" spans="1:29">
      <c r="A1481" t="s">
        <v>1898</v>
      </c>
      <c r="B1481" s="2">
        <v>46180</v>
      </c>
      <c r="C1481" t="s">
        <v>30</v>
      </c>
      <c r="D1481" t="s">
        <v>134</v>
      </c>
      <c r="E1481" t="s">
        <v>100</v>
      </c>
      <c r="F1481" t="s">
        <v>146</v>
      </c>
      <c r="G1481" t="s">
        <v>313</v>
      </c>
      <c r="H1481" t="s">
        <v>148</v>
      </c>
      <c r="I1481" t="s">
        <v>149</v>
      </c>
      <c r="J1481" t="s">
        <v>3019</v>
      </c>
      <c r="K1481" t="s">
        <v>37</v>
      </c>
      <c r="L1481" t="s">
        <v>68</v>
      </c>
      <c r="M1481" t="s">
        <v>81</v>
      </c>
      <c r="N1481" t="s">
        <v>213</v>
      </c>
      <c r="O1481" s="4">
        <v>6</v>
      </c>
      <c r="P1481" s="4">
        <v>11</v>
      </c>
      <c r="Q1481" t="s">
        <v>107</v>
      </c>
      <c r="R1481" s="2">
        <v>46172</v>
      </c>
      <c r="S1481" s="4">
        <v>31</v>
      </c>
      <c r="T1481" s="3">
        <v>292000000</v>
      </c>
      <c r="U1481" t="s">
        <v>42</v>
      </c>
      <c r="V1481" t="s">
        <v>70</v>
      </c>
      <c r="W1481" t="s">
        <v>248</v>
      </c>
      <c r="Y1481" t="s">
        <v>216</v>
      </c>
      <c r="Z1481" t="s">
        <v>3179</v>
      </c>
      <c r="AA1481" t="s">
        <v>109</v>
      </c>
      <c r="AB1481" t="s">
        <v>97</v>
      </c>
      <c r="AC1481" t="s">
        <v>109</v>
      </c>
    </row>
    <row r="1482" spans="1:29">
      <c r="A1482" t="s">
        <v>1899</v>
      </c>
      <c r="B1482" s="2">
        <v>46201</v>
      </c>
      <c r="C1482" t="s">
        <v>30</v>
      </c>
      <c r="D1482" t="s">
        <v>49</v>
      </c>
      <c r="E1482" t="s">
        <v>100</v>
      </c>
      <c r="F1482" t="s">
        <v>140</v>
      </c>
      <c r="G1482" t="s">
        <v>102</v>
      </c>
      <c r="H1482" t="s">
        <v>103</v>
      </c>
      <c r="I1482" t="s">
        <v>411</v>
      </c>
      <c r="J1482" t="s">
        <v>3077</v>
      </c>
      <c r="K1482" t="s">
        <v>37</v>
      </c>
      <c r="L1482" t="s">
        <v>150</v>
      </c>
      <c r="M1482" t="s">
        <v>81</v>
      </c>
      <c r="N1482" t="s">
        <v>130</v>
      </c>
      <c r="O1482" s="4">
        <v>5</v>
      </c>
      <c r="P1482" s="4">
        <v>16</v>
      </c>
      <c r="Q1482" t="s">
        <v>58</v>
      </c>
      <c r="R1482" s="2">
        <v>46199</v>
      </c>
      <c r="S1482" s="4">
        <v>4</v>
      </c>
      <c r="T1482" s="3">
        <v>170000000</v>
      </c>
      <c r="U1482" t="s">
        <v>42</v>
      </c>
      <c r="V1482" t="s">
        <v>143</v>
      </c>
      <c r="W1482" t="s">
        <v>144</v>
      </c>
      <c r="Y1482" t="s">
        <v>132</v>
      </c>
      <c r="Z1482" t="s">
        <v>3179</v>
      </c>
      <c r="AA1482" t="s">
        <v>109</v>
      </c>
      <c r="AB1482" t="s">
        <v>97</v>
      </c>
      <c r="AC1482" t="s">
        <v>109</v>
      </c>
    </row>
    <row r="1483" spans="1:29">
      <c r="A1483" t="s">
        <v>1900</v>
      </c>
      <c r="B1483" s="2">
        <v>46193</v>
      </c>
      <c r="C1483" t="s">
        <v>30</v>
      </c>
      <c r="D1483" t="s">
        <v>74</v>
      </c>
      <c r="E1483" t="s">
        <v>111</v>
      </c>
      <c r="F1483" t="s">
        <v>264</v>
      </c>
      <c r="G1483" t="s">
        <v>265</v>
      </c>
      <c r="H1483" t="s">
        <v>191</v>
      </c>
      <c r="I1483" t="s">
        <v>578</v>
      </c>
      <c r="J1483" t="s">
        <v>3124</v>
      </c>
      <c r="K1483" t="s">
        <v>37</v>
      </c>
      <c r="L1483" t="s">
        <v>187</v>
      </c>
      <c r="M1483" t="s">
        <v>106</v>
      </c>
      <c r="N1483" t="s">
        <v>82</v>
      </c>
      <c r="O1483" s="4">
        <v>1</v>
      </c>
      <c r="P1483" s="4">
        <v>6</v>
      </c>
      <c r="Q1483" t="s">
        <v>142</v>
      </c>
      <c r="R1483" s="2">
        <v>46191</v>
      </c>
      <c r="S1483" s="4">
        <v>12</v>
      </c>
      <c r="T1483" s="3">
        <v>208000000</v>
      </c>
      <c r="U1483" t="s">
        <v>42</v>
      </c>
      <c r="V1483" t="s">
        <v>43</v>
      </c>
      <c r="W1483" t="s">
        <v>290</v>
      </c>
      <c r="Y1483" t="s">
        <v>305</v>
      </c>
      <c r="Z1483" t="s">
        <v>3178</v>
      </c>
      <c r="AA1483" t="s">
        <v>118</v>
      </c>
      <c r="AB1483" t="s">
        <v>87</v>
      </c>
      <c r="AC1483" t="s">
        <v>118</v>
      </c>
    </row>
    <row r="1484" spans="1:29">
      <c r="A1484" t="s">
        <v>1901</v>
      </c>
      <c r="B1484" s="2">
        <v>46186</v>
      </c>
      <c r="C1484" t="s">
        <v>30</v>
      </c>
      <c r="D1484" t="s">
        <v>99</v>
      </c>
      <c r="E1484" t="s">
        <v>172</v>
      </c>
      <c r="F1484" t="s">
        <v>277</v>
      </c>
      <c r="G1484" t="s">
        <v>476</v>
      </c>
      <c r="H1484" t="s">
        <v>317</v>
      </c>
      <c r="I1484" t="s">
        <v>318</v>
      </c>
      <c r="J1484" t="s">
        <v>3050</v>
      </c>
      <c r="K1484" t="s">
        <v>56</v>
      </c>
      <c r="L1484" t="s">
        <v>150</v>
      </c>
      <c r="M1484" t="s">
        <v>56</v>
      </c>
      <c r="N1484" t="s">
        <v>57</v>
      </c>
      <c r="O1484" s="4">
        <v>3</v>
      </c>
      <c r="P1484" s="4">
        <v>5</v>
      </c>
      <c r="Q1484" t="s">
        <v>83</v>
      </c>
      <c r="R1484" s="2">
        <v>46186</v>
      </c>
      <c r="S1484" s="4">
        <v>17</v>
      </c>
      <c r="T1484" s="3">
        <v>310000000</v>
      </c>
      <c r="U1484" t="s">
        <v>42</v>
      </c>
      <c r="V1484" t="s">
        <v>59</v>
      </c>
      <c r="W1484" t="s">
        <v>71</v>
      </c>
      <c r="Y1484" t="s">
        <v>158</v>
      </c>
      <c r="Z1484" t="s">
        <v>3177</v>
      </c>
      <c r="AA1484" t="s">
        <v>181</v>
      </c>
      <c r="AB1484" t="s">
        <v>63</v>
      </c>
      <c r="AC1484" t="s">
        <v>181</v>
      </c>
    </row>
    <row r="1485" spans="1:29">
      <c r="A1485" t="s">
        <v>1902</v>
      </c>
      <c r="B1485" s="2">
        <v>46197</v>
      </c>
      <c r="C1485" t="s">
        <v>30</v>
      </c>
      <c r="D1485" t="s">
        <v>49</v>
      </c>
      <c r="E1485" t="s">
        <v>111</v>
      </c>
      <c r="F1485" t="s">
        <v>190</v>
      </c>
      <c r="G1485" t="s">
        <v>113</v>
      </c>
      <c r="H1485" t="s">
        <v>191</v>
      </c>
      <c r="I1485" t="s">
        <v>449</v>
      </c>
      <c r="J1485" t="s">
        <v>3089</v>
      </c>
      <c r="K1485" t="s">
        <v>37</v>
      </c>
      <c r="L1485" t="s">
        <v>187</v>
      </c>
      <c r="M1485" t="s">
        <v>93</v>
      </c>
      <c r="N1485" t="s">
        <v>130</v>
      </c>
      <c r="O1485" s="4">
        <v>5</v>
      </c>
      <c r="P1485" s="4">
        <v>12</v>
      </c>
      <c r="Q1485" t="s">
        <v>69</v>
      </c>
      <c r="R1485" s="2">
        <v>46192</v>
      </c>
      <c r="S1485" s="4">
        <v>11</v>
      </c>
      <c r="T1485" s="3">
        <v>268000000</v>
      </c>
      <c r="U1485" t="s">
        <v>260</v>
      </c>
      <c r="V1485" t="s">
        <v>143</v>
      </c>
      <c r="W1485" t="s">
        <v>144</v>
      </c>
      <c r="X1485" t="s">
        <v>381</v>
      </c>
      <c r="Y1485" t="s">
        <v>132</v>
      </c>
      <c r="Z1485" t="s">
        <v>3179</v>
      </c>
      <c r="AA1485" t="s">
        <v>118</v>
      </c>
      <c r="AB1485" t="s">
        <v>97</v>
      </c>
      <c r="AC1485" t="s">
        <v>118</v>
      </c>
    </row>
    <row r="1486" spans="1:29">
      <c r="A1486" t="s">
        <v>1903</v>
      </c>
      <c r="B1486" s="2">
        <v>46192</v>
      </c>
      <c r="C1486" t="s">
        <v>30</v>
      </c>
      <c r="D1486" t="s">
        <v>74</v>
      </c>
      <c r="E1486" t="s">
        <v>75</v>
      </c>
      <c r="F1486" t="s">
        <v>76</v>
      </c>
      <c r="G1486" t="s">
        <v>77</v>
      </c>
      <c r="H1486" t="s">
        <v>78</v>
      </c>
      <c r="I1486" t="s">
        <v>79</v>
      </c>
      <c r="J1486" t="s">
        <v>3011</v>
      </c>
      <c r="K1486" t="s">
        <v>92</v>
      </c>
      <c r="L1486" t="s">
        <v>187</v>
      </c>
      <c r="M1486" t="s">
        <v>56</v>
      </c>
      <c r="N1486" t="s">
        <v>57</v>
      </c>
      <c r="O1486" s="4">
        <v>3</v>
      </c>
      <c r="P1486" s="4">
        <v>12</v>
      </c>
      <c r="Q1486" t="s">
        <v>138</v>
      </c>
      <c r="R1486" s="2">
        <v>46189</v>
      </c>
      <c r="S1486" s="4">
        <v>14</v>
      </c>
      <c r="T1486" s="3">
        <v>119000000</v>
      </c>
      <c r="U1486" t="s">
        <v>42</v>
      </c>
      <c r="V1486" t="s">
        <v>70</v>
      </c>
      <c r="W1486" t="s">
        <v>203</v>
      </c>
      <c r="Y1486" t="s">
        <v>61</v>
      </c>
      <c r="Z1486" t="s">
        <v>3180</v>
      </c>
      <c r="AA1486" t="s">
        <v>86</v>
      </c>
      <c r="AB1486" t="s">
        <v>193</v>
      </c>
      <c r="AC1486" t="s">
        <v>86</v>
      </c>
    </row>
    <row r="1487" spans="1:29">
      <c r="A1487" t="s">
        <v>1904</v>
      </c>
      <c r="B1487" s="2">
        <v>46195</v>
      </c>
      <c r="C1487" t="s">
        <v>30</v>
      </c>
      <c r="D1487" t="s">
        <v>49</v>
      </c>
      <c r="E1487" t="s">
        <v>100</v>
      </c>
      <c r="F1487" t="s">
        <v>101</v>
      </c>
      <c r="G1487" t="s">
        <v>313</v>
      </c>
      <c r="H1487" t="s">
        <v>148</v>
      </c>
      <c r="I1487" t="s">
        <v>149</v>
      </c>
      <c r="J1487" t="s">
        <v>3019</v>
      </c>
      <c r="K1487" t="s">
        <v>37</v>
      </c>
      <c r="L1487" t="s">
        <v>187</v>
      </c>
      <c r="M1487" t="s">
        <v>106</v>
      </c>
      <c r="N1487" t="s">
        <v>57</v>
      </c>
      <c r="O1487" s="4">
        <v>3</v>
      </c>
      <c r="P1487" s="4">
        <v>12</v>
      </c>
      <c r="Q1487" t="s">
        <v>58</v>
      </c>
      <c r="R1487" s="2">
        <v>46191</v>
      </c>
      <c r="S1487" s="4">
        <v>12</v>
      </c>
      <c r="T1487" s="3">
        <v>157000000</v>
      </c>
      <c r="U1487" t="s">
        <v>42</v>
      </c>
      <c r="V1487" t="s">
        <v>59</v>
      </c>
      <c r="W1487" t="s">
        <v>203</v>
      </c>
      <c r="Y1487" t="s">
        <v>158</v>
      </c>
      <c r="Z1487" t="s">
        <v>3180</v>
      </c>
      <c r="AA1487" t="s">
        <v>109</v>
      </c>
      <c r="AB1487" t="s">
        <v>193</v>
      </c>
      <c r="AC1487" t="s">
        <v>109</v>
      </c>
    </row>
    <row r="1488" spans="1:29">
      <c r="A1488" t="s">
        <v>1905</v>
      </c>
      <c r="B1488" s="2">
        <v>46198</v>
      </c>
      <c r="C1488" t="s">
        <v>30</v>
      </c>
      <c r="D1488" t="s">
        <v>49</v>
      </c>
      <c r="E1488" t="s">
        <v>120</v>
      </c>
      <c r="F1488" t="s">
        <v>246</v>
      </c>
      <c r="G1488" t="s">
        <v>224</v>
      </c>
      <c r="H1488" t="s">
        <v>123</v>
      </c>
      <c r="I1488" t="s">
        <v>459</v>
      </c>
      <c r="J1488" t="s">
        <v>3093</v>
      </c>
      <c r="K1488" t="s">
        <v>37</v>
      </c>
      <c r="L1488" t="s">
        <v>55</v>
      </c>
      <c r="M1488" t="s">
        <v>129</v>
      </c>
      <c r="N1488" t="s">
        <v>40</v>
      </c>
      <c r="O1488" s="4">
        <v>2</v>
      </c>
      <c r="P1488" s="4">
        <v>7</v>
      </c>
      <c r="Q1488" t="s">
        <v>138</v>
      </c>
      <c r="R1488" s="2">
        <v>46193</v>
      </c>
      <c r="S1488" s="4">
        <v>10</v>
      </c>
      <c r="T1488" s="3">
        <v>176000000</v>
      </c>
      <c r="U1488" t="s">
        <v>42</v>
      </c>
      <c r="V1488" t="s">
        <v>43</v>
      </c>
      <c r="W1488" t="s">
        <v>178</v>
      </c>
      <c r="Y1488" t="s">
        <v>281</v>
      </c>
      <c r="Z1488" t="s">
        <v>3178</v>
      </c>
      <c r="AA1488" t="s">
        <v>97</v>
      </c>
      <c r="AB1488" t="s">
        <v>87</v>
      </c>
      <c r="AC1488" t="s">
        <v>97</v>
      </c>
    </row>
    <row r="1489" spans="1:29">
      <c r="A1489" t="s">
        <v>1906</v>
      </c>
      <c r="B1489" s="2">
        <v>46177</v>
      </c>
      <c r="C1489" t="s">
        <v>30</v>
      </c>
      <c r="D1489" t="s">
        <v>134</v>
      </c>
      <c r="E1489" t="s">
        <v>120</v>
      </c>
      <c r="F1489" t="s">
        <v>167</v>
      </c>
      <c r="G1489" t="s">
        <v>135</v>
      </c>
      <c r="H1489" t="s">
        <v>123</v>
      </c>
      <c r="I1489" t="s">
        <v>519</v>
      </c>
      <c r="J1489" t="s">
        <v>3109</v>
      </c>
      <c r="K1489" t="s">
        <v>105</v>
      </c>
      <c r="L1489" t="s">
        <v>55</v>
      </c>
      <c r="M1489" t="s">
        <v>81</v>
      </c>
      <c r="N1489" t="s">
        <v>82</v>
      </c>
      <c r="O1489" s="4">
        <v>1</v>
      </c>
      <c r="P1489" s="4">
        <v>4</v>
      </c>
      <c r="Q1489" t="s">
        <v>58</v>
      </c>
      <c r="R1489" s="2">
        <v>46170</v>
      </c>
      <c r="S1489" s="4">
        <v>33</v>
      </c>
      <c r="T1489" s="3">
        <v>195000000</v>
      </c>
      <c r="U1489" t="s">
        <v>42</v>
      </c>
      <c r="V1489" t="s">
        <v>43</v>
      </c>
      <c r="W1489" t="s">
        <v>290</v>
      </c>
      <c r="Y1489" t="s">
        <v>330</v>
      </c>
      <c r="Z1489" t="s">
        <v>3176</v>
      </c>
      <c r="AA1489" t="s">
        <v>97</v>
      </c>
      <c r="AB1489" t="s">
        <v>47</v>
      </c>
      <c r="AC1489" t="s">
        <v>97</v>
      </c>
    </row>
    <row r="1490" spans="1:29">
      <c r="A1490" t="s">
        <v>1907</v>
      </c>
      <c r="B1490" s="2">
        <v>46186</v>
      </c>
      <c r="C1490" t="s">
        <v>30</v>
      </c>
      <c r="D1490" t="s">
        <v>99</v>
      </c>
      <c r="E1490" t="s">
        <v>152</v>
      </c>
      <c r="F1490" t="s">
        <v>221</v>
      </c>
      <c r="G1490" t="s">
        <v>328</v>
      </c>
      <c r="H1490" t="s">
        <v>283</v>
      </c>
      <c r="I1490" t="s">
        <v>474</v>
      </c>
      <c r="J1490" t="s">
        <v>3098</v>
      </c>
      <c r="K1490" t="s">
        <v>37</v>
      </c>
      <c r="L1490" t="s">
        <v>187</v>
      </c>
      <c r="M1490" t="s">
        <v>129</v>
      </c>
      <c r="N1490" t="s">
        <v>57</v>
      </c>
      <c r="O1490" s="4">
        <v>3</v>
      </c>
      <c r="P1490" s="4">
        <v>13</v>
      </c>
      <c r="Q1490" t="s">
        <v>58</v>
      </c>
      <c r="R1490" s="2">
        <v>46177</v>
      </c>
      <c r="S1490" s="4">
        <v>26</v>
      </c>
      <c r="T1490" s="3">
        <v>163000000</v>
      </c>
      <c r="U1490" t="s">
        <v>42</v>
      </c>
      <c r="V1490" t="s">
        <v>70</v>
      </c>
      <c r="W1490" t="s">
        <v>203</v>
      </c>
      <c r="Y1490" t="s">
        <v>72</v>
      </c>
      <c r="Z1490" t="s">
        <v>3180</v>
      </c>
      <c r="AA1490" t="s">
        <v>159</v>
      </c>
      <c r="AB1490" t="s">
        <v>193</v>
      </c>
      <c r="AC1490" t="s">
        <v>159</v>
      </c>
    </row>
    <row r="1491" spans="1:29">
      <c r="A1491" t="s">
        <v>1908</v>
      </c>
      <c r="B1491" s="2">
        <v>46196</v>
      </c>
      <c r="C1491" t="s">
        <v>30</v>
      </c>
      <c r="D1491" t="s">
        <v>49</v>
      </c>
      <c r="E1491" t="s">
        <v>111</v>
      </c>
      <c r="F1491" t="s">
        <v>190</v>
      </c>
      <c r="G1491" t="s">
        <v>251</v>
      </c>
      <c r="H1491" t="s">
        <v>191</v>
      </c>
      <c r="I1491" t="s">
        <v>467</v>
      </c>
      <c r="J1491" t="s">
        <v>3096</v>
      </c>
      <c r="K1491" t="s">
        <v>37</v>
      </c>
      <c r="L1491" t="s">
        <v>187</v>
      </c>
      <c r="M1491" t="s">
        <v>56</v>
      </c>
      <c r="N1491" t="s">
        <v>130</v>
      </c>
      <c r="O1491" s="4">
        <v>5</v>
      </c>
      <c r="P1491" s="4">
        <v>7</v>
      </c>
      <c r="Q1491" t="s">
        <v>69</v>
      </c>
      <c r="R1491" s="2">
        <v>46186</v>
      </c>
      <c r="S1491" s="4">
        <v>17</v>
      </c>
      <c r="T1491" s="3">
        <v>129000000</v>
      </c>
      <c r="U1491" t="s">
        <v>260</v>
      </c>
      <c r="V1491" t="s">
        <v>143</v>
      </c>
      <c r="W1491" t="s">
        <v>252</v>
      </c>
      <c r="X1491" t="s">
        <v>520</v>
      </c>
      <c r="Y1491" t="s">
        <v>254</v>
      </c>
      <c r="Z1491" t="s">
        <v>3179</v>
      </c>
      <c r="AA1491" t="s">
        <v>118</v>
      </c>
      <c r="AB1491" t="s">
        <v>97</v>
      </c>
      <c r="AC1491" t="s">
        <v>118</v>
      </c>
    </row>
    <row r="1492" spans="1:29">
      <c r="A1492" t="s">
        <v>1909</v>
      </c>
      <c r="B1492" s="2">
        <v>46201</v>
      </c>
      <c r="C1492" t="s">
        <v>30</v>
      </c>
      <c r="D1492" t="s">
        <v>49</v>
      </c>
      <c r="E1492" t="s">
        <v>111</v>
      </c>
      <c r="F1492" t="s">
        <v>264</v>
      </c>
      <c r="G1492" t="s">
        <v>348</v>
      </c>
      <c r="H1492" t="s">
        <v>127</v>
      </c>
      <c r="I1492" t="s">
        <v>349</v>
      </c>
      <c r="J1492" t="s">
        <v>3059</v>
      </c>
      <c r="K1492" t="s">
        <v>105</v>
      </c>
      <c r="L1492" t="s">
        <v>80</v>
      </c>
      <c r="M1492" t="s">
        <v>56</v>
      </c>
      <c r="N1492" t="s">
        <v>94</v>
      </c>
      <c r="O1492" s="4">
        <v>4</v>
      </c>
      <c r="P1492" s="4">
        <v>15</v>
      </c>
      <c r="Q1492" t="s">
        <v>107</v>
      </c>
      <c r="R1492" s="2">
        <v>46195</v>
      </c>
      <c r="S1492" s="4">
        <v>8</v>
      </c>
      <c r="T1492" s="3">
        <v>280000000</v>
      </c>
      <c r="U1492" t="s">
        <v>42</v>
      </c>
      <c r="V1492" t="s">
        <v>59</v>
      </c>
      <c r="W1492" t="s">
        <v>95</v>
      </c>
      <c r="Y1492" t="s">
        <v>96</v>
      </c>
      <c r="Z1492" t="s">
        <v>3179</v>
      </c>
      <c r="AA1492" t="s">
        <v>118</v>
      </c>
      <c r="AB1492" t="s">
        <v>97</v>
      </c>
      <c r="AC1492" t="s">
        <v>118</v>
      </c>
    </row>
    <row r="1493" spans="1:29">
      <c r="A1493" t="s">
        <v>1910</v>
      </c>
      <c r="B1493" s="2">
        <v>46201</v>
      </c>
      <c r="C1493" t="s">
        <v>30</v>
      </c>
      <c r="D1493" t="s">
        <v>49</v>
      </c>
      <c r="E1493" t="s">
        <v>111</v>
      </c>
      <c r="F1493" t="s">
        <v>190</v>
      </c>
      <c r="G1493" t="s">
        <v>126</v>
      </c>
      <c r="H1493" t="s">
        <v>191</v>
      </c>
      <c r="I1493" t="s">
        <v>643</v>
      </c>
      <c r="J1493" t="s">
        <v>3138</v>
      </c>
      <c r="K1493" t="s">
        <v>56</v>
      </c>
      <c r="L1493" t="s">
        <v>55</v>
      </c>
      <c r="M1493" t="s">
        <v>56</v>
      </c>
      <c r="N1493" t="s">
        <v>40</v>
      </c>
      <c r="O1493" s="4">
        <v>2</v>
      </c>
      <c r="P1493" s="4">
        <v>12</v>
      </c>
      <c r="Q1493" t="s">
        <v>41</v>
      </c>
      <c r="R1493" s="2">
        <v>46201</v>
      </c>
      <c r="S1493" s="4">
        <v>2</v>
      </c>
      <c r="T1493" s="3">
        <v>203000000</v>
      </c>
      <c r="U1493" t="s">
        <v>42</v>
      </c>
      <c r="V1493" t="s">
        <v>43</v>
      </c>
      <c r="W1493" t="s">
        <v>298</v>
      </c>
      <c r="Y1493" t="s">
        <v>281</v>
      </c>
      <c r="Z1493" t="s">
        <v>3180</v>
      </c>
      <c r="AA1493" t="s">
        <v>118</v>
      </c>
      <c r="AB1493" t="s">
        <v>193</v>
      </c>
      <c r="AC1493" t="s">
        <v>118</v>
      </c>
    </row>
    <row r="1494" spans="1:29">
      <c r="A1494" t="s">
        <v>1911</v>
      </c>
      <c r="B1494" s="2">
        <v>46199</v>
      </c>
      <c r="C1494" t="s">
        <v>30</v>
      </c>
      <c r="D1494" t="s">
        <v>49</v>
      </c>
      <c r="E1494" t="s">
        <v>152</v>
      </c>
      <c r="F1494" t="s">
        <v>205</v>
      </c>
      <c r="G1494" t="s">
        <v>294</v>
      </c>
      <c r="H1494" t="s">
        <v>283</v>
      </c>
      <c r="I1494" t="s">
        <v>474</v>
      </c>
      <c r="J1494" t="s">
        <v>3098</v>
      </c>
      <c r="K1494" t="s">
        <v>116</v>
      </c>
      <c r="L1494" t="s">
        <v>80</v>
      </c>
      <c r="M1494" t="s">
        <v>129</v>
      </c>
      <c r="N1494" t="s">
        <v>82</v>
      </c>
      <c r="O1494" s="4">
        <v>1</v>
      </c>
      <c r="P1494" s="4">
        <v>16</v>
      </c>
      <c r="Q1494" t="s">
        <v>41</v>
      </c>
      <c r="R1494" s="2">
        <v>46189</v>
      </c>
      <c r="S1494" s="4">
        <v>14</v>
      </c>
      <c r="T1494" s="3">
        <v>154000000</v>
      </c>
      <c r="U1494" t="s">
        <v>42</v>
      </c>
      <c r="V1494" t="s">
        <v>43</v>
      </c>
      <c r="W1494" t="s">
        <v>359</v>
      </c>
      <c r="Y1494" t="s">
        <v>330</v>
      </c>
      <c r="Z1494" t="s">
        <v>3180</v>
      </c>
      <c r="AA1494" t="s">
        <v>159</v>
      </c>
      <c r="AB1494" t="s">
        <v>193</v>
      </c>
      <c r="AC1494" t="s">
        <v>159</v>
      </c>
    </row>
    <row r="1495" spans="1:29">
      <c r="A1495" t="s">
        <v>1912</v>
      </c>
      <c r="B1495" s="2">
        <v>46174</v>
      </c>
      <c r="C1495" t="s">
        <v>30</v>
      </c>
      <c r="D1495" t="s">
        <v>134</v>
      </c>
      <c r="E1495" t="s">
        <v>152</v>
      </c>
      <c r="F1495" t="s">
        <v>221</v>
      </c>
      <c r="G1495" t="s">
        <v>294</v>
      </c>
      <c r="H1495" t="s">
        <v>207</v>
      </c>
      <c r="I1495" t="s">
        <v>222</v>
      </c>
      <c r="J1495" t="s">
        <v>3029</v>
      </c>
      <c r="K1495" t="s">
        <v>56</v>
      </c>
      <c r="L1495" t="s">
        <v>187</v>
      </c>
      <c r="M1495" t="s">
        <v>56</v>
      </c>
      <c r="N1495" t="s">
        <v>130</v>
      </c>
      <c r="O1495" s="4">
        <v>5</v>
      </c>
      <c r="P1495" s="4">
        <v>15</v>
      </c>
      <c r="Q1495" t="s">
        <v>83</v>
      </c>
      <c r="R1495" s="2">
        <v>46167</v>
      </c>
      <c r="S1495" s="4">
        <v>36</v>
      </c>
      <c r="T1495" s="3">
        <v>276000000</v>
      </c>
      <c r="U1495" t="s">
        <v>260</v>
      </c>
      <c r="V1495" t="s">
        <v>70</v>
      </c>
      <c r="W1495" t="s">
        <v>252</v>
      </c>
      <c r="X1495" t="s">
        <v>520</v>
      </c>
      <c r="Y1495" t="s">
        <v>132</v>
      </c>
      <c r="Z1495" t="s">
        <v>3179</v>
      </c>
      <c r="AA1495" t="s">
        <v>159</v>
      </c>
      <c r="AB1495" t="s">
        <v>97</v>
      </c>
      <c r="AC1495" t="s">
        <v>159</v>
      </c>
    </row>
    <row r="1496" spans="1:29">
      <c r="A1496" t="s">
        <v>1913</v>
      </c>
      <c r="B1496" s="2">
        <v>46199</v>
      </c>
      <c r="C1496" t="s">
        <v>30</v>
      </c>
      <c r="D1496" t="s">
        <v>49</v>
      </c>
      <c r="E1496" t="s">
        <v>100</v>
      </c>
      <c r="F1496" t="s">
        <v>146</v>
      </c>
      <c r="G1496" t="s">
        <v>147</v>
      </c>
      <c r="H1496" t="s">
        <v>148</v>
      </c>
      <c r="I1496" t="s">
        <v>851</v>
      </c>
      <c r="J1496" t="s">
        <v>3163</v>
      </c>
      <c r="K1496" t="s">
        <v>105</v>
      </c>
      <c r="L1496" t="s">
        <v>55</v>
      </c>
      <c r="M1496" t="s">
        <v>93</v>
      </c>
      <c r="N1496" t="s">
        <v>196</v>
      </c>
      <c r="O1496" s="4">
        <v>7</v>
      </c>
      <c r="P1496" s="4">
        <v>21</v>
      </c>
      <c r="Q1496" t="s">
        <v>107</v>
      </c>
      <c r="R1496" s="2">
        <v>46189</v>
      </c>
      <c r="S1496" s="4">
        <v>14</v>
      </c>
      <c r="T1496" s="3">
        <v>88000000</v>
      </c>
      <c r="U1496" t="s">
        <v>196</v>
      </c>
      <c r="V1496" t="s">
        <v>70</v>
      </c>
      <c r="W1496" t="s">
        <v>675</v>
      </c>
      <c r="Y1496" t="s">
        <v>244</v>
      </c>
      <c r="Z1496" t="s">
        <v>3181</v>
      </c>
      <c r="AA1496" t="s">
        <v>109</v>
      </c>
      <c r="AB1496" t="s">
        <v>199</v>
      </c>
      <c r="AC1496" t="s">
        <v>109</v>
      </c>
    </row>
    <row r="1497" spans="1:29">
      <c r="A1497" t="s">
        <v>1914</v>
      </c>
      <c r="B1497" s="2">
        <v>46178</v>
      </c>
      <c r="C1497" t="s">
        <v>30</v>
      </c>
      <c r="D1497" t="s">
        <v>134</v>
      </c>
      <c r="E1497" t="s">
        <v>75</v>
      </c>
      <c r="F1497" t="s">
        <v>183</v>
      </c>
      <c r="G1497" t="s">
        <v>77</v>
      </c>
      <c r="H1497" t="s">
        <v>388</v>
      </c>
      <c r="I1497" t="s">
        <v>661</v>
      </c>
      <c r="J1497" t="s">
        <v>3144</v>
      </c>
      <c r="K1497" t="s">
        <v>37</v>
      </c>
      <c r="L1497" t="s">
        <v>150</v>
      </c>
      <c r="M1497" t="s">
        <v>129</v>
      </c>
      <c r="N1497" t="s">
        <v>57</v>
      </c>
      <c r="O1497" s="4">
        <v>3</v>
      </c>
      <c r="P1497" s="4">
        <v>11</v>
      </c>
      <c r="Q1497" t="s">
        <v>83</v>
      </c>
      <c r="R1497" s="2">
        <v>46177</v>
      </c>
      <c r="S1497" s="4">
        <v>26</v>
      </c>
      <c r="T1497" s="3">
        <v>137000000</v>
      </c>
      <c r="U1497" t="s">
        <v>42</v>
      </c>
      <c r="V1497" t="s">
        <v>59</v>
      </c>
      <c r="W1497" t="s">
        <v>71</v>
      </c>
      <c r="Y1497" t="s">
        <v>158</v>
      </c>
      <c r="Z1497" t="s">
        <v>3177</v>
      </c>
      <c r="AA1497" t="s">
        <v>86</v>
      </c>
      <c r="AB1497" t="s">
        <v>63</v>
      </c>
      <c r="AC1497" t="s">
        <v>86</v>
      </c>
    </row>
    <row r="1498" spans="1:29">
      <c r="A1498" t="s">
        <v>1915</v>
      </c>
      <c r="B1498" s="2">
        <v>46175</v>
      </c>
      <c r="C1498" t="s">
        <v>30</v>
      </c>
      <c r="D1498" t="s">
        <v>134</v>
      </c>
      <c r="E1498" t="s">
        <v>152</v>
      </c>
      <c r="F1498" t="s">
        <v>153</v>
      </c>
      <c r="G1498" t="s">
        <v>206</v>
      </c>
      <c r="H1498" t="s">
        <v>207</v>
      </c>
      <c r="I1498" t="s">
        <v>571</v>
      </c>
      <c r="J1498" t="s">
        <v>3122</v>
      </c>
      <c r="K1498" t="s">
        <v>37</v>
      </c>
      <c r="L1498" t="s">
        <v>187</v>
      </c>
      <c r="M1498" t="s">
        <v>81</v>
      </c>
      <c r="N1498" t="s">
        <v>82</v>
      </c>
      <c r="O1498" s="4">
        <v>1</v>
      </c>
      <c r="P1498" s="4">
        <v>15</v>
      </c>
      <c r="Q1498" t="s">
        <v>83</v>
      </c>
      <c r="R1498" s="2">
        <v>46174</v>
      </c>
      <c r="S1498" s="4">
        <v>29</v>
      </c>
      <c r="T1498" s="3">
        <v>247000000</v>
      </c>
      <c r="U1498" t="s">
        <v>42</v>
      </c>
      <c r="V1498" t="s">
        <v>43</v>
      </c>
      <c r="W1498" t="s">
        <v>359</v>
      </c>
      <c r="Y1498" t="s">
        <v>330</v>
      </c>
      <c r="Z1498" t="s">
        <v>3180</v>
      </c>
      <c r="AA1498" t="s">
        <v>159</v>
      </c>
      <c r="AB1498" t="s">
        <v>193</v>
      </c>
      <c r="AC1498" t="s">
        <v>159</v>
      </c>
    </row>
    <row r="1499" spans="1:29">
      <c r="A1499" t="s">
        <v>1916</v>
      </c>
      <c r="B1499" s="2">
        <v>46184</v>
      </c>
      <c r="C1499" t="s">
        <v>30</v>
      </c>
      <c r="D1499" t="s">
        <v>99</v>
      </c>
      <c r="E1499" t="s">
        <v>120</v>
      </c>
      <c r="F1499" t="s">
        <v>246</v>
      </c>
      <c r="G1499" t="s">
        <v>224</v>
      </c>
      <c r="H1499" t="s">
        <v>300</v>
      </c>
      <c r="I1499" t="s">
        <v>421</v>
      </c>
      <c r="J1499" t="s">
        <v>3080</v>
      </c>
      <c r="K1499" t="s">
        <v>37</v>
      </c>
      <c r="L1499" t="s">
        <v>169</v>
      </c>
      <c r="M1499" t="s">
        <v>164</v>
      </c>
      <c r="N1499" t="s">
        <v>94</v>
      </c>
      <c r="O1499" s="4">
        <v>4</v>
      </c>
      <c r="P1499" s="4">
        <v>11</v>
      </c>
      <c r="Q1499" t="s">
        <v>69</v>
      </c>
      <c r="R1499" s="2">
        <v>46174</v>
      </c>
      <c r="S1499" s="4">
        <v>29</v>
      </c>
      <c r="T1499" s="3">
        <v>213000000</v>
      </c>
      <c r="U1499" t="s">
        <v>42</v>
      </c>
      <c r="V1499" t="s">
        <v>59</v>
      </c>
      <c r="W1499" t="s">
        <v>170</v>
      </c>
      <c r="Y1499" t="s">
        <v>268</v>
      </c>
      <c r="Z1499" t="s">
        <v>3179</v>
      </c>
      <c r="AA1499" t="s">
        <v>97</v>
      </c>
      <c r="AB1499" t="s">
        <v>97</v>
      </c>
      <c r="AC1499" t="s">
        <v>97</v>
      </c>
    </row>
    <row r="1500" spans="1:29">
      <c r="A1500" t="s">
        <v>1917</v>
      </c>
      <c r="B1500" s="2">
        <v>46201</v>
      </c>
      <c r="C1500" t="s">
        <v>30</v>
      </c>
      <c r="D1500" t="s">
        <v>49</v>
      </c>
      <c r="E1500" t="s">
        <v>32</v>
      </c>
      <c r="F1500" t="s">
        <v>256</v>
      </c>
      <c r="G1500" t="s">
        <v>361</v>
      </c>
      <c r="H1500" t="s">
        <v>35</v>
      </c>
      <c r="I1500" t="s">
        <v>604</v>
      </c>
      <c r="J1500" t="s">
        <v>3130</v>
      </c>
      <c r="K1500" t="s">
        <v>56</v>
      </c>
      <c r="L1500" t="s">
        <v>68</v>
      </c>
      <c r="M1500" t="s">
        <v>39</v>
      </c>
      <c r="N1500" t="s">
        <v>40</v>
      </c>
      <c r="O1500" s="4">
        <v>2</v>
      </c>
      <c r="P1500" s="4">
        <v>5</v>
      </c>
      <c r="Q1500" t="s">
        <v>142</v>
      </c>
      <c r="R1500" s="2">
        <v>46191</v>
      </c>
      <c r="S1500" s="4">
        <v>12</v>
      </c>
      <c r="T1500" s="3">
        <v>285000000</v>
      </c>
      <c r="U1500" t="s">
        <v>42</v>
      </c>
      <c r="V1500" t="s">
        <v>59</v>
      </c>
      <c r="W1500" t="s">
        <v>298</v>
      </c>
      <c r="Y1500" t="s">
        <v>180</v>
      </c>
      <c r="Z1500" t="s">
        <v>3178</v>
      </c>
      <c r="AA1500" t="s">
        <v>46</v>
      </c>
      <c r="AB1500" t="s">
        <v>87</v>
      </c>
      <c r="AC1500" t="s">
        <v>46</v>
      </c>
    </row>
    <row r="1501" spans="1:29">
      <c r="A1501" t="s">
        <v>1918</v>
      </c>
      <c r="B1501" s="2">
        <v>46194</v>
      </c>
      <c r="C1501" t="s">
        <v>30</v>
      </c>
      <c r="D1501" t="s">
        <v>74</v>
      </c>
      <c r="E1501" t="s">
        <v>100</v>
      </c>
      <c r="F1501" t="s">
        <v>140</v>
      </c>
      <c r="G1501" t="s">
        <v>147</v>
      </c>
      <c r="H1501" t="s">
        <v>148</v>
      </c>
      <c r="I1501" t="s">
        <v>315</v>
      </c>
      <c r="J1501" t="s">
        <v>3049</v>
      </c>
      <c r="K1501" t="s">
        <v>105</v>
      </c>
      <c r="L1501" t="s">
        <v>187</v>
      </c>
      <c r="M1501" t="s">
        <v>106</v>
      </c>
      <c r="N1501" t="s">
        <v>94</v>
      </c>
      <c r="O1501" s="4">
        <v>4</v>
      </c>
      <c r="P1501" s="4">
        <v>15</v>
      </c>
      <c r="Q1501" t="s">
        <v>83</v>
      </c>
      <c r="R1501" s="2">
        <v>46194</v>
      </c>
      <c r="S1501" s="4">
        <v>9</v>
      </c>
      <c r="T1501" s="3">
        <v>339000000</v>
      </c>
      <c r="U1501" t="s">
        <v>42</v>
      </c>
      <c r="V1501" t="s">
        <v>59</v>
      </c>
      <c r="W1501" t="s">
        <v>170</v>
      </c>
      <c r="Y1501" t="s">
        <v>268</v>
      </c>
      <c r="Z1501" t="s">
        <v>3179</v>
      </c>
      <c r="AA1501" t="s">
        <v>109</v>
      </c>
      <c r="AB1501" t="s">
        <v>97</v>
      </c>
      <c r="AC1501" t="s">
        <v>109</v>
      </c>
    </row>
    <row r="1502" spans="1:29">
      <c r="A1502" t="s">
        <v>1919</v>
      </c>
      <c r="B1502" s="2">
        <v>46192</v>
      </c>
      <c r="C1502" t="s">
        <v>30</v>
      </c>
      <c r="D1502" t="s">
        <v>74</v>
      </c>
      <c r="E1502" t="s">
        <v>111</v>
      </c>
      <c r="F1502" t="s">
        <v>112</v>
      </c>
      <c r="G1502" t="s">
        <v>348</v>
      </c>
      <c r="H1502" t="s">
        <v>114</v>
      </c>
      <c r="I1502" t="s">
        <v>988</v>
      </c>
      <c r="J1502" t="s">
        <v>3168</v>
      </c>
      <c r="K1502" t="s">
        <v>37</v>
      </c>
      <c r="L1502" t="s">
        <v>80</v>
      </c>
      <c r="M1502" t="s">
        <v>39</v>
      </c>
      <c r="N1502" t="s">
        <v>94</v>
      </c>
      <c r="O1502" s="4">
        <v>4</v>
      </c>
      <c r="P1502" s="4">
        <v>12</v>
      </c>
      <c r="Q1502" t="s">
        <v>83</v>
      </c>
      <c r="R1502" s="2">
        <v>46190</v>
      </c>
      <c r="S1502" s="4">
        <v>13</v>
      </c>
      <c r="T1502" s="3">
        <v>243000000</v>
      </c>
      <c r="U1502" t="s">
        <v>42</v>
      </c>
      <c r="V1502" t="s">
        <v>70</v>
      </c>
      <c r="W1502" t="s">
        <v>95</v>
      </c>
      <c r="Y1502" t="s">
        <v>268</v>
      </c>
      <c r="Z1502" t="s">
        <v>3179</v>
      </c>
      <c r="AA1502" t="s">
        <v>118</v>
      </c>
      <c r="AB1502" t="s">
        <v>97</v>
      </c>
      <c r="AC1502" t="s">
        <v>118</v>
      </c>
    </row>
    <row r="1503" spans="1:29">
      <c r="A1503" t="s">
        <v>1920</v>
      </c>
      <c r="B1503" s="2">
        <v>46184</v>
      </c>
      <c r="C1503" t="s">
        <v>30</v>
      </c>
      <c r="D1503" t="s">
        <v>99</v>
      </c>
      <c r="E1503" t="s">
        <v>152</v>
      </c>
      <c r="F1503" t="s">
        <v>153</v>
      </c>
      <c r="G1503" t="s">
        <v>206</v>
      </c>
      <c r="H1503" t="s">
        <v>283</v>
      </c>
      <c r="I1503" t="s">
        <v>295</v>
      </c>
      <c r="J1503" t="s">
        <v>3043</v>
      </c>
      <c r="K1503" t="s">
        <v>105</v>
      </c>
      <c r="L1503" t="s">
        <v>55</v>
      </c>
      <c r="M1503" t="s">
        <v>164</v>
      </c>
      <c r="N1503" t="s">
        <v>130</v>
      </c>
      <c r="O1503" s="4">
        <v>5</v>
      </c>
      <c r="P1503" s="4">
        <v>14</v>
      </c>
      <c r="Q1503" t="s">
        <v>69</v>
      </c>
      <c r="R1503" s="2">
        <v>46184</v>
      </c>
      <c r="S1503" s="4">
        <v>19</v>
      </c>
      <c r="T1503" s="3">
        <v>216000000</v>
      </c>
      <c r="U1503" t="s">
        <v>42</v>
      </c>
      <c r="V1503" t="s">
        <v>59</v>
      </c>
      <c r="W1503" t="s">
        <v>252</v>
      </c>
      <c r="Y1503" t="s">
        <v>334</v>
      </c>
      <c r="Z1503" t="s">
        <v>3179</v>
      </c>
      <c r="AA1503" t="s">
        <v>159</v>
      </c>
      <c r="AB1503" t="s">
        <v>97</v>
      </c>
      <c r="AC1503" t="s">
        <v>159</v>
      </c>
    </row>
    <row r="1504" spans="1:29">
      <c r="A1504" t="s">
        <v>1921</v>
      </c>
      <c r="B1504" s="2">
        <v>46174</v>
      </c>
      <c r="C1504" t="s">
        <v>30</v>
      </c>
      <c r="D1504" t="s">
        <v>134</v>
      </c>
      <c r="E1504" t="s">
        <v>32</v>
      </c>
      <c r="F1504" t="s">
        <v>273</v>
      </c>
      <c r="G1504" t="s">
        <v>34</v>
      </c>
      <c r="H1504" t="s">
        <v>303</v>
      </c>
      <c r="I1504" t="s">
        <v>1021</v>
      </c>
      <c r="J1504" t="s">
        <v>3171</v>
      </c>
      <c r="K1504" t="s">
        <v>116</v>
      </c>
      <c r="L1504" t="s">
        <v>68</v>
      </c>
      <c r="M1504" t="s">
        <v>129</v>
      </c>
      <c r="N1504" t="s">
        <v>82</v>
      </c>
      <c r="O1504" s="4">
        <v>1</v>
      </c>
      <c r="P1504" s="4">
        <v>5</v>
      </c>
      <c r="Q1504" t="s">
        <v>107</v>
      </c>
      <c r="R1504" s="2">
        <v>46173</v>
      </c>
      <c r="S1504" s="4">
        <v>30</v>
      </c>
      <c r="T1504" s="3">
        <v>166000000</v>
      </c>
      <c r="U1504" t="s">
        <v>42</v>
      </c>
      <c r="V1504" t="s">
        <v>43</v>
      </c>
      <c r="W1504" t="s">
        <v>290</v>
      </c>
      <c r="Y1504" t="s">
        <v>291</v>
      </c>
      <c r="Z1504" t="s">
        <v>3178</v>
      </c>
      <c r="AA1504" t="s">
        <v>46</v>
      </c>
      <c r="AB1504" t="s">
        <v>87</v>
      </c>
      <c r="AC1504" t="s">
        <v>46</v>
      </c>
    </row>
    <row r="1505" spans="1:29">
      <c r="A1505" t="s">
        <v>1922</v>
      </c>
      <c r="B1505" s="2">
        <v>46189</v>
      </c>
      <c r="C1505" t="s">
        <v>30</v>
      </c>
      <c r="D1505" t="s">
        <v>74</v>
      </c>
      <c r="E1505" t="s">
        <v>172</v>
      </c>
      <c r="F1505" t="s">
        <v>195</v>
      </c>
      <c r="G1505" t="s">
        <v>278</v>
      </c>
      <c r="H1505" t="s">
        <v>317</v>
      </c>
      <c r="I1505" t="s">
        <v>534</v>
      </c>
      <c r="J1505" t="s">
        <v>3112</v>
      </c>
      <c r="K1505" t="s">
        <v>56</v>
      </c>
      <c r="L1505" t="s">
        <v>55</v>
      </c>
      <c r="M1505" t="s">
        <v>129</v>
      </c>
      <c r="N1505" t="s">
        <v>82</v>
      </c>
      <c r="O1505" s="4">
        <v>1</v>
      </c>
      <c r="P1505" s="4">
        <v>6</v>
      </c>
      <c r="Q1505" t="s">
        <v>142</v>
      </c>
      <c r="R1505" s="2">
        <v>46189</v>
      </c>
      <c r="S1505" s="4">
        <v>14</v>
      </c>
      <c r="T1505" s="3">
        <v>278000000</v>
      </c>
      <c r="U1505" t="s">
        <v>42</v>
      </c>
      <c r="V1505" t="s">
        <v>43</v>
      </c>
      <c r="W1505" t="s">
        <v>359</v>
      </c>
      <c r="Y1505" t="s">
        <v>330</v>
      </c>
      <c r="Z1505" t="s">
        <v>3178</v>
      </c>
      <c r="AA1505" t="s">
        <v>181</v>
      </c>
      <c r="AB1505" t="s">
        <v>87</v>
      </c>
      <c r="AC1505" t="s">
        <v>181</v>
      </c>
    </row>
    <row r="1506" spans="1:29">
      <c r="A1506" t="s">
        <v>1923</v>
      </c>
      <c r="B1506" s="2">
        <v>46200</v>
      </c>
      <c r="C1506" t="s">
        <v>30</v>
      </c>
      <c r="D1506" t="s">
        <v>49</v>
      </c>
      <c r="E1506" t="s">
        <v>111</v>
      </c>
      <c r="F1506" t="s">
        <v>264</v>
      </c>
      <c r="G1506" t="s">
        <v>126</v>
      </c>
      <c r="H1506" t="s">
        <v>127</v>
      </c>
      <c r="I1506" t="s">
        <v>648</v>
      </c>
      <c r="J1506" t="s">
        <v>3140</v>
      </c>
      <c r="K1506" t="s">
        <v>116</v>
      </c>
      <c r="L1506" t="s">
        <v>187</v>
      </c>
      <c r="M1506" t="s">
        <v>129</v>
      </c>
      <c r="N1506" t="s">
        <v>196</v>
      </c>
      <c r="O1506" s="4">
        <v>7</v>
      </c>
      <c r="P1506" s="4">
        <v>13</v>
      </c>
      <c r="Q1506" t="s">
        <v>58</v>
      </c>
      <c r="R1506" s="2">
        <v>46197</v>
      </c>
      <c r="S1506" s="4">
        <v>6</v>
      </c>
      <c r="T1506" s="3">
        <v>155000000</v>
      </c>
      <c r="U1506" t="s">
        <v>196</v>
      </c>
      <c r="V1506" t="s">
        <v>70</v>
      </c>
      <c r="W1506" t="s">
        <v>209</v>
      </c>
      <c r="Y1506" t="s">
        <v>369</v>
      </c>
      <c r="Z1506" t="s">
        <v>3181</v>
      </c>
      <c r="AA1506" t="s">
        <v>118</v>
      </c>
      <c r="AB1506" t="s">
        <v>199</v>
      </c>
      <c r="AC1506" t="s">
        <v>118</v>
      </c>
    </row>
    <row r="1507" spans="1:29">
      <c r="A1507" t="s">
        <v>1924</v>
      </c>
      <c r="B1507" s="2">
        <v>46186</v>
      </c>
      <c r="C1507" t="s">
        <v>30</v>
      </c>
      <c r="D1507" t="s">
        <v>99</v>
      </c>
      <c r="E1507" t="s">
        <v>120</v>
      </c>
      <c r="F1507" t="s">
        <v>167</v>
      </c>
      <c r="G1507" t="s">
        <v>420</v>
      </c>
      <c r="H1507" t="s">
        <v>136</v>
      </c>
      <c r="I1507" t="s">
        <v>658</v>
      </c>
      <c r="J1507" t="s">
        <v>3143</v>
      </c>
      <c r="K1507" t="s">
        <v>37</v>
      </c>
      <c r="L1507" t="s">
        <v>150</v>
      </c>
      <c r="M1507" t="s">
        <v>93</v>
      </c>
      <c r="N1507" t="s">
        <v>94</v>
      </c>
      <c r="O1507" s="4">
        <v>4</v>
      </c>
      <c r="P1507" s="4">
        <v>5</v>
      </c>
      <c r="Q1507" t="s">
        <v>41</v>
      </c>
      <c r="R1507" s="2">
        <v>46180</v>
      </c>
      <c r="S1507" s="4">
        <v>23</v>
      </c>
      <c r="T1507" s="3">
        <v>245000000</v>
      </c>
      <c r="U1507" t="s">
        <v>426</v>
      </c>
      <c r="V1507" t="s">
        <v>70</v>
      </c>
      <c r="W1507" t="s">
        <v>170</v>
      </c>
      <c r="X1507" t="s">
        <v>308</v>
      </c>
      <c r="Y1507" t="s">
        <v>228</v>
      </c>
      <c r="Z1507" t="s">
        <v>3179</v>
      </c>
      <c r="AA1507" t="s">
        <v>97</v>
      </c>
      <c r="AB1507" t="s">
        <v>97</v>
      </c>
      <c r="AC1507" t="s">
        <v>97</v>
      </c>
    </row>
    <row r="1508" spans="1:29">
      <c r="A1508" t="s">
        <v>1925</v>
      </c>
      <c r="B1508" s="2">
        <v>46197</v>
      </c>
      <c r="C1508" t="s">
        <v>30</v>
      </c>
      <c r="D1508" t="s">
        <v>49</v>
      </c>
      <c r="E1508" t="s">
        <v>32</v>
      </c>
      <c r="F1508" t="s">
        <v>273</v>
      </c>
      <c r="G1508" t="s">
        <v>361</v>
      </c>
      <c r="H1508" t="s">
        <v>258</v>
      </c>
      <c r="I1508" t="s">
        <v>1756</v>
      </c>
      <c r="J1508" t="s">
        <v>3175</v>
      </c>
      <c r="K1508" t="s">
        <v>105</v>
      </c>
      <c r="L1508" t="s">
        <v>38</v>
      </c>
      <c r="M1508" t="s">
        <v>129</v>
      </c>
      <c r="N1508" t="s">
        <v>82</v>
      </c>
      <c r="O1508" s="4">
        <v>1</v>
      </c>
      <c r="P1508" s="4">
        <v>6</v>
      </c>
      <c r="Q1508" t="s">
        <v>138</v>
      </c>
      <c r="R1508" s="2">
        <v>46196</v>
      </c>
      <c r="S1508" s="4">
        <v>7</v>
      </c>
      <c r="T1508" s="3">
        <v>139000000</v>
      </c>
      <c r="U1508" t="s">
        <v>42</v>
      </c>
      <c r="V1508" t="s">
        <v>43</v>
      </c>
      <c r="W1508" t="s">
        <v>404</v>
      </c>
      <c r="Y1508" t="s">
        <v>305</v>
      </c>
      <c r="Z1508" t="s">
        <v>3178</v>
      </c>
      <c r="AA1508" t="s">
        <v>46</v>
      </c>
      <c r="AB1508" t="s">
        <v>87</v>
      </c>
      <c r="AC1508" t="s">
        <v>46</v>
      </c>
    </row>
    <row r="1509" spans="1:29">
      <c r="A1509" t="s">
        <v>1926</v>
      </c>
      <c r="B1509" s="2">
        <v>46199</v>
      </c>
      <c r="C1509" t="s">
        <v>30</v>
      </c>
      <c r="D1509" t="s">
        <v>49</v>
      </c>
      <c r="E1509" t="s">
        <v>32</v>
      </c>
      <c r="F1509" t="s">
        <v>33</v>
      </c>
      <c r="G1509" t="s">
        <v>361</v>
      </c>
      <c r="H1509" t="s">
        <v>303</v>
      </c>
      <c r="I1509" t="s">
        <v>487</v>
      </c>
      <c r="J1509" t="s">
        <v>3102</v>
      </c>
      <c r="K1509" t="s">
        <v>56</v>
      </c>
      <c r="L1509" t="s">
        <v>150</v>
      </c>
      <c r="M1509" t="s">
        <v>56</v>
      </c>
      <c r="N1509" t="s">
        <v>40</v>
      </c>
      <c r="O1509" s="4">
        <v>2</v>
      </c>
      <c r="P1509" s="4">
        <v>2</v>
      </c>
      <c r="Q1509" t="s">
        <v>58</v>
      </c>
      <c r="R1509" s="2">
        <v>46199</v>
      </c>
      <c r="S1509" s="4">
        <v>4</v>
      </c>
      <c r="T1509" s="3">
        <v>411000000</v>
      </c>
      <c r="U1509" t="s">
        <v>42</v>
      </c>
      <c r="V1509" t="s">
        <v>59</v>
      </c>
      <c r="W1509" t="s">
        <v>178</v>
      </c>
      <c r="Y1509" t="s">
        <v>45</v>
      </c>
      <c r="Z1509" t="s">
        <v>3176</v>
      </c>
      <c r="AA1509" t="s">
        <v>46</v>
      </c>
      <c r="AB1509" t="s">
        <v>47</v>
      </c>
      <c r="AC1509" t="s">
        <v>46</v>
      </c>
    </row>
    <row r="1510" spans="1:29">
      <c r="A1510" t="s">
        <v>1927</v>
      </c>
      <c r="B1510" s="2">
        <v>46200</v>
      </c>
      <c r="C1510" t="s">
        <v>30</v>
      </c>
      <c r="D1510" t="s">
        <v>49</v>
      </c>
      <c r="E1510" t="s">
        <v>50</v>
      </c>
      <c r="F1510" t="s">
        <v>89</v>
      </c>
      <c r="G1510" t="s">
        <v>343</v>
      </c>
      <c r="H1510" t="s">
        <v>53</v>
      </c>
      <c r="I1510" t="s">
        <v>235</v>
      </c>
      <c r="J1510" t="s">
        <v>3032</v>
      </c>
      <c r="K1510" t="s">
        <v>37</v>
      </c>
      <c r="L1510" t="s">
        <v>38</v>
      </c>
      <c r="M1510" t="s">
        <v>106</v>
      </c>
      <c r="N1510" t="s">
        <v>94</v>
      </c>
      <c r="O1510" s="4">
        <v>4</v>
      </c>
      <c r="P1510" s="4">
        <v>7</v>
      </c>
      <c r="Q1510" t="s">
        <v>58</v>
      </c>
      <c r="R1510" s="2">
        <v>46191</v>
      </c>
      <c r="S1510" s="4">
        <v>12</v>
      </c>
      <c r="T1510" s="3">
        <v>94000000</v>
      </c>
      <c r="U1510" t="s">
        <v>42</v>
      </c>
      <c r="V1510" t="s">
        <v>59</v>
      </c>
      <c r="W1510" t="s">
        <v>267</v>
      </c>
      <c r="Y1510" t="s">
        <v>268</v>
      </c>
      <c r="Z1510" t="s">
        <v>3179</v>
      </c>
      <c r="AA1510" t="s">
        <v>62</v>
      </c>
      <c r="AB1510" t="s">
        <v>97</v>
      </c>
      <c r="AC1510" t="s">
        <v>62</v>
      </c>
    </row>
    <row r="1511" spans="1:29">
      <c r="A1511" t="s">
        <v>1928</v>
      </c>
      <c r="B1511" s="2">
        <v>46202</v>
      </c>
      <c r="C1511" t="s">
        <v>30</v>
      </c>
      <c r="D1511" t="s">
        <v>31</v>
      </c>
      <c r="E1511" t="s">
        <v>50</v>
      </c>
      <c r="F1511" t="s">
        <v>351</v>
      </c>
      <c r="G1511" t="s">
        <v>52</v>
      </c>
      <c r="H1511" t="s">
        <v>53</v>
      </c>
      <c r="I1511" t="s">
        <v>271</v>
      </c>
      <c r="J1511" t="s">
        <v>3038</v>
      </c>
      <c r="K1511" t="s">
        <v>37</v>
      </c>
      <c r="L1511" t="s">
        <v>187</v>
      </c>
      <c r="M1511" t="s">
        <v>129</v>
      </c>
      <c r="N1511" t="s">
        <v>94</v>
      </c>
      <c r="O1511" s="4">
        <v>4</v>
      </c>
      <c r="P1511" s="4">
        <v>8</v>
      </c>
      <c r="Q1511" t="s">
        <v>107</v>
      </c>
      <c r="R1511" s="2">
        <v>46201</v>
      </c>
      <c r="S1511" s="4">
        <v>2</v>
      </c>
      <c r="T1511" s="3">
        <v>73000000</v>
      </c>
      <c r="U1511" t="s">
        <v>42</v>
      </c>
      <c r="V1511" t="s">
        <v>143</v>
      </c>
      <c r="W1511" t="s">
        <v>95</v>
      </c>
      <c r="Y1511" t="s">
        <v>108</v>
      </c>
      <c r="Z1511" t="s">
        <v>3179</v>
      </c>
      <c r="AA1511" t="s">
        <v>62</v>
      </c>
      <c r="AB1511" t="s">
        <v>97</v>
      </c>
      <c r="AC1511" t="s">
        <v>62</v>
      </c>
    </row>
    <row r="1512" spans="1:29">
      <c r="A1512" t="s">
        <v>1929</v>
      </c>
      <c r="B1512" s="2">
        <v>46177</v>
      </c>
      <c r="C1512" t="s">
        <v>30</v>
      </c>
      <c r="D1512" t="s">
        <v>134</v>
      </c>
      <c r="E1512" t="s">
        <v>50</v>
      </c>
      <c r="F1512" t="s">
        <v>89</v>
      </c>
      <c r="G1512" t="s">
        <v>234</v>
      </c>
      <c r="H1512" t="s">
        <v>53</v>
      </c>
      <c r="I1512" t="s">
        <v>373</v>
      </c>
      <c r="J1512" t="s">
        <v>3066</v>
      </c>
      <c r="K1512" t="s">
        <v>92</v>
      </c>
      <c r="L1512" t="s">
        <v>80</v>
      </c>
      <c r="M1512" t="s">
        <v>39</v>
      </c>
      <c r="N1512" t="s">
        <v>40</v>
      </c>
      <c r="O1512" s="4">
        <v>2</v>
      </c>
      <c r="P1512" s="4">
        <v>11</v>
      </c>
      <c r="Q1512" t="s">
        <v>69</v>
      </c>
      <c r="R1512" s="2">
        <v>46174</v>
      </c>
      <c r="S1512" s="4">
        <v>29</v>
      </c>
      <c r="T1512" s="3">
        <v>225000000</v>
      </c>
      <c r="U1512" t="s">
        <v>42</v>
      </c>
      <c r="V1512" t="s">
        <v>43</v>
      </c>
      <c r="W1512" t="s">
        <v>239</v>
      </c>
      <c r="Y1512" t="s">
        <v>309</v>
      </c>
      <c r="Z1512" t="s">
        <v>3178</v>
      </c>
      <c r="AA1512" t="s">
        <v>62</v>
      </c>
      <c r="AB1512" t="s">
        <v>87</v>
      </c>
      <c r="AC1512" t="s">
        <v>62</v>
      </c>
    </row>
    <row r="1513" spans="1:29">
      <c r="A1513" t="s">
        <v>1930</v>
      </c>
      <c r="B1513" s="2">
        <v>46178</v>
      </c>
      <c r="C1513" t="s">
        <v>30</v>
      </c>
      <c r="D1513" t="s">
        <v>134</v>
      </c>
      <c r="E1513" t="s">
        <v>50</v>
      </c>
      <c r="F1513" t="s">
        <v>89</v>
      </c>
      <c r="G1513" t="s">
        <v>52</v>
      </c>
      <c r="H1513" t="s">
        <v>90</v>
      </c>
      <c r="I1513" t="s">
        <v>377</v>
      </c>
      <c r="J1513" t="s">
        <v>3068</v>
      </c>
      <c r="K1513" t="s">
        <v>56</v>
      </c>
      <c r="L1513" t="s">
        <v>55</v>
      </c>
      <c r="M1513" t="s">
        <v>129</v>
      </c>
      <c r="N1513" t="s">
        <v>82</v>
      </c>
      <c r="O1513" s="4">
        <v>1</v>
      </c>
      <c r="P1513" s="4">
        <v>6</v>
      </c>
      <c r="Q1513" t="s">
        <v>58</v>
      </c>
      <c r="R1513" s="2">
        <v>46175</v>
      </c>
      <c r="S1513" s="4">
        <v>28</v>
      </c>
      <c r="T1513" s="3">
        <v>366000000</v>
      </c>
      <c r="U1513" t="s">
        <v>42</v>
      </c>
      <c r="V1513" t="s">
        <v>59</v>
      </c>
      <c r="W1513" t="s">
        <v>290</v>
      </c>
      <c r="Y1513" t="s">
        <v>330</v>
      </c>
      <c r="Z1513" t="s">
        <v>3178</v>
      </c>
      <c r="AA1513" t="s">
        <v>62</v>
      </c>
      <c r="AB1513" t="s">
        <v>87</v>
      </c>
      <c r="AC1513" t="s">
        <v>62</v>
      </c>
    </row>
    <row r="1514" spans="1:29">
      <c r="A1514" t="s">
        <v>1931</v>
      </c>
      <c r="B1514" s="2">
        <v>46178</v>
      </c>
      <c r="C1514" t="s">
        <v>30</v>
      </c>
      <c r="D1514" t="s">
        <v>134</v>
      </c>
      <c r="E1514" t="s">
        <v>152</v>
      </c>
      <c r="F1514" t="s">
        <v>205</v>
      </c>
      <c r="G1514" t="s">
        <v>154</v>
      </c>
      <c r="H1514" t="s">
        <v>283</v>
      </c>
      <c r="I1514" t="s">
        <v>284</v>
      </c>
      <c r="J1514" t="s">
        <v>3041</v>
      </c>
      <c r="K1514" t="s">
        <v>37</v>
      </c>
      <c r="L1514" t="s">
        <v>80</v>
      </c>
      <c r="M1514" t="s">
        <v>164</v>
      </c>
      <c r="N1514" t="s">
        <v>196</v>
      </c>
      <c r="O1514" s="4">
        <v>7</v>
      </c>
      <c r="P1514" s="4">
        <v>13</v>
      </c>
      <c r="Q1514" t="s">
        <v>69</v>
      </c>
      <c r="R1514" s="2">
        <v>46173</v>
      </c>
      <c r="S1514" s="4">
        <v>30</v>
      </c>
      <c r="T1514" s="3">
        <v>147000000</v>
      </c>
      <c r="U1514" t="s">
        <v>196</v>
      </c>
      <c r="V1514" t="s">
        <v>70</v>
      </c>
      <c r="W1514" t="s">
        <v>197</v>
      </c>
      <c r="Y1514" t="s">
        <v>244</v>
      </c>
      <c r="Z1514" t="s">
        <v>3181</v>
      </c>
      <c r="AA1514" t="s">
        <v>159</v>
      </c>
      <c r="AB1514" t="s">
        <v>199</v>
      </c>
      <c r="AC1514" t="s">
        <v>159</v>
      </c>
    </row>
    <row r="1515" spans="1:29">
      <c r="A1515" t="s">
        <v>1932</v>
      </c>
      <c r="B1515" s="2">
        <v>46194</v>
      </c>
      <c r="C1515" t="s">
        <v>30</v>
      </c>
      <c r="D1515" t="s">
        <v>74</v>
      </c>
      <c r="E1515" t="s">
        <v>152</v>
      </c>
      <c r="F1515" t="s">
        <v>205</v>
      </c>
      <c r="G1515" t="s">
        <v>294</v>
      </c>
      <c r="H1515" t="s">
        <v>155</v>
      </c>
      <c r="I1515" t="s">
        <v>375</v>
      </c>
      <c r="J1515" t="s">
        <v>3067</v>
      </c>
      <c r="K1515" t="s">
        <v>37</v>
      </c>
      <c r="L1515" t="s">
        <v>80</v>
      </c>
      <c r="M1515" t="s">
        <v>81</v>
      </c>
      <c r="N1515" t="s">
        <v>130</v>
      </c>
      <c r="O1515" s="4">
        <v>5</v>
      </c>
      <c r="P1515" s="4">
        <v>18</v>
      </c>
      <c r="Q1515" t="s">
        <v>41</v>
      </c>
      <c r="R1515" s="2">
        <v>46184</v>
      </c>
      <c r="S1515" s="4">
        <v>19</v>
      </c>
      <c r="T1515" s="3">
        <v>224000000</v>
      </c>
      <c r="U1515" t="s">
        <v>42</v>
      </c>
      <c r="V1515" t="s">
        <v>70</v>
      </c>
      <c r="W1515" t="s">
        <v>355</v>
      </c>
      <c r="Y1515" t="s">
        <v>262</v>
      </c>
      <c r="Z1515" t="s">
        <v>3179</v>
      </c>
      <c r="AA1515" t="s">
        <v>159</v>
      </c>
      <c r="AB1515" t="s">
        <v>97</v>
      </c>
      <c r="AC1515" t="s">
        <v>159</v>
      </c>
    </row>
    <row r="1516" spans="1:29">
      <c r="A1516" t="s">
        <v>1933</v>
      </c>
      <c r="B1516" s="2">
        <v>46196</v>
      </c>
      <c r="C1516" t="s">
        <v>30</v>
      </c>
      <c r="D1516" t="s">
        <v>49</v>
      </c>
      <c r="E1516" t="s">
        <v>32</v>
      </c>
      <c r="F1516" t="s">
        <v>33</v>
      </c>
      <c r="G1516" t="s">
        <v>257</v>
      </c>
      <c r="H1516" t="s">
        <v>258</v>
      </c>
      <c r="I1516" t="s">
        <v>1008</v>
      </c>
      <c r="J1516" t="s">
        <v>3170</v>
      </c>
      <c r="K1516" t="s">
        <v>92</v>
      </c>
      <c r="L1516" t="s">
        <v>187</v>
      </c>
      <c r="M1516" t="s">
        <v>164</v>
      </c>
      <c r="N1516" t="s">
        <v>82</v>
      </c>
      <c r="O1516" s="4">
        <v>1</v>
      </c>
      <c r="P1516" s="4">
        <v>3</v>
      </c>
      <c r="Q1516" t="s">
        <v>142</v>
      </c>
      <c r="R1516" s="2">
        <v>46196</v>
      </c>
      <c r="S1516" s="4">
        <v>7</v>
      </c>
      <c r="T1516" s="3">
        <v>45000000</v>
      </c>
      <c r="U1516" t="s">
        <v>42</v>
      </c>
      <c r="V1516" t="s">
        <v>43</v>
      </c>
      <c r="W1516" t="s">
        <v>359</v>
      </c>
      <c r="Y1516" t="s">
        <v>330</v>
      </c>
      <c r="Z1516" t="s">
        <v>3176</v>
      </c>
      <c r="AA1516" t="s">
        <v>46</v>
      </c>
      <c r="AB1516" t="s">
        <v>47</v>
      </c>
      <c r="AC1516" t="s">
        <v>46</v>
      </c>
    </row>
    <row r="1517" spans="1:29">
      <c r="A1517" t="s">
        <v>1934</v>
      </c>
      <c r="B1517" s="2">
        <v>46179</v>
      </c>
      <c r="C1517" t="s">
        <v>30</v>
      </c>
      <c r="D1517" t="s">
        <v>134</v>
      </c>
      <c r="E1517" t="s">
        <v>32</v>
      </c>
      <c r="F1517" t="s">
        <v>33</v>
      </c>
      <c r="G1517" t="s">
        <v>34</v>
      </c>
      <c r="H1517" t="s">
        <v>303</v>
      </c>
      <c r="I1517" t="s">
        <v>464</v>
      </c>
      <c r="J1517" t="s">
        <v>3095</v>
      </c>
      <c r="K1517" t="s">
        <v>37</v>
      </c>
      <c r="L1517" t="s">
        <v>80</v>
      </c>
      <c r="M1517" t="s">
        <v>81</v>
      </c>
      <c r="N1517" t="s">
        <v>57</v>
      </c>
      <c r="O1517" s="4">
        <v>3</v>
      </c>
      <c r="P1517" s="4">
        <v>4</v>
      </c>
      <c r="Q1517" t="s">
        <v>58</v>
      </c>
      <c r="R1517" s="2">
        <v>46172</v>
      </c>
      <c r="S1517" s="4">
        <v>31</v>
      </c>
      <c r="T1517" s="3">
        <v>263000000</v>
      </c>
      <c r="U1517" t="s">
        <v>42</v>
      </c>
      <c r="V1517" t="s">
        <v>43</v>
      </c>
      <c r="W1517" t="s">
        <v>157</v>
      </c>
      <c r="Y1517" t="s">
        <v>61</v>
      </c>
      <c r="Z1517" t="s">
        <v>3177</v>
      </c>
      <c r="AA1517" t="s">
        <v>46</v>
      </c>
      <c r="AB1517" t="s">
        <v>63</v>
      </c>
      <c r="AC1517" t="s">
        <v>46</v>
      </c>
    </row>
    <row r="1518" spans="1:29">
      <c r="A1518" t="s">
        <v>1935</v>
      </c>
      <c r="B1518" s="2">
        <v>46197</v>
      </c>
      <c r="C1518" t="s">
        <v>30</v>
      </c>
      <c r="D1518" t="s">
        <v>49</v>
      </c>
      <c r="E1518" t="s">
        <v>75</v>
      </c>
      <c r="F1518" t="s">
        <v>161</v>
      </c>
      <c r="G1518" t="s">
        <v>162</v>
      </c>
      <c r="H1518" t="s">
        <v>388</v>
      </c>
      <c r="I1518" t="s">
        <v>389</v>
      </c>
      <c r="J1518" t="s">
        <v>3071</v>
      </c>
      <c r="K1518" t="s">
        <v>56</v>
      </c>
      <c r="L1518" t="s">
        <v>169</v>
      </c>
      <c r="M1518" t="s">
        <v>56</v>
      </c>
      <c r="N1518" t="s">
        <v>94</v>
      </c>
      <c r="O1518" s="4">
        <v>4</v>
      </c>
      <c r="P1518" s="4">
        <v>9</v>
      </c>
      <c r="Q1518" t="s">
        <v>58</v>
      </c>
      <c r="R1518" s="2">
        <v>46197</v>
      </c>
      <c r="S1518" s="4">
        <v>6</v>
      </c>
      <c r="T1518" s="3">
        <v>220000000</v>
      </c>
      <c r="U1518" t="s">
        <v>42</v>
      </c>
      <c r="V1518" t="s">
        <v>59</v>
      </c>
      <c r="W1518" t="s">
        <v>267</v>
      </c>
      <c r="X1518" t="s">
        <v>117</v>
      </c>
      <c r="Y1518" t="s">
        <v>108</v>
      </c>
      <c r="Z1518" t="s">
        <v>3179</v>
      </c>
      <c r="AA1518" t="s">
        <v>86</v>
      </c>
      <c r="AB1518" t="s">
        <v>97</v>
      </c>
      <c r="AC1518" t="s">
        <v>86</v>
      </c>
    </row>
    <row r="1519" spans="1:29">
      <c r="A1519" t="s">
        <v>1936</v>
      </c>
      <c r="B1519" s="2">
        <v>46175</v>
      </c>
      <c r="C1519" t="s">
        <v>30</v>
      </c>
      <c r="D1519" t="s">
        <v>134</v>
      </c>
      <c r="E1519" t="s">
        <v>75</v>
      </c>
      <c r="F1519" t="s">
        <v>183</v>
      </c>
      <c r="G1519" t="s">
        <v>77</v>
      </c>
      <c r="H1519" t="s">
        <v>185</v>
      </c>
      <c r="I1519" t="s">
        <v>673</v>
      </c>
      <c r="J1519" t="s">
        <v>3146</v>
      </c>
      <c r="K1519" t="s">
        <v>56</v>
      </c>
      <c r="L1519" t="s">
        <v>187</v>
      </c>
      <c r="M1519" t="s">
        <v>164</v>
      </c>
      <c r="N1519" t="s">
        <v>57</v>
      </c>
      <c r="O1519" s="4">
        <v>3</v>
      </c>
      <c r="P1519" s="4">
        <v>4</v>
      </c>
      <c r="Q1519" t="s">
        <v>69</v>
      </c>
      <c r="R1519" s="2">
        <v>46170</v>
      </c>
      <c r="S1519" s="4">
        <v>33</v>
      </c>
      <c r="T1519" s="3">
        <v>453000000</v>
      </c>
      <c r="U1519" t="s">
        <v>42</v>
      </c>
      <c r="V1519" t="s">
        <v>59</v>
      </c>
      <c r="W1519" t="s">
        <v>60</v>
      </c>
      <c r="Y1519" t="s">
        <v>165</v>
      </c>
      <c r="Z1519" t="s">
        <v>3177</v>
      </c>
      <c r="AA1519" t="s">
        <v>86</v>
      </c>
      <c r="AB1519" t="s">
        <v>63</v>
      </c>
      <c r="AC1519" t="s">
        <v>86</v>
      </c>
    </row>
    <row r="1520" spans="1:29">
      <c r="A1520" t="s">
        <v>1937</v>
      </c>
      <c r="B1520" s="2">
        <v>46199</v>
      </c>
      <c r="C1520" t="s">
        <v>30</v>
      </c>
      <c r="D1520" t="s">
        <v>49</v>
      </c>
      <c r="E1520" t="s">
        <v>50</v>
      </c>
      <c r="F1520" t="s">
        <v>89</v>
      </c>
      <c r="G1520" t="s">
        <v>65</v>
      </c>
      <c r="H1520" t="s">
        <v>53</v>
      </c>
      <c r="I1520" t="s">
        <v>307</v>
      </c>
      <c r="J1520" t="s">
        <v>3047</v>
      </c>
      <c r="K1520" t="s">
        <v>116</v>
      </c>
      <c r="L1520" t="s">
        <v>80</v>
      </c>
      <c r="M1520" t="s">
        <v>129</v>
      </c>
      <c r="N1520" t="s">
        <v>57</v>
      </c>
      <c r="O1520" s="4">
        <v>3</v>
      </c>
      <c r="P1520" s="4">
        <v>10</v>
      </c>
      <c r="Q1520" t="s">
        <v>58</v>
      </c>
      <c r="R1520" s="2">
        <v>46194</v>
      </c>
      <c r="S1520" s="4">
        <v>9</v>
      </c>
      <c r="T1520" s="3">
        <v>104000000</v>
      </c>
      <c r="U1520" t="s">
        <v>42</v>
      </c>
      <c r="V1520" t="s">
        <v>43</v>
      </c>
      <c r="W1520" t="s">
        <v>157</v>
      </c>
      <c r="Y1520" t="s">
        <v>165</v>
      </c>
      <c r="Z1520" t="s">
        <v>3177</v>
      </c>
      <c r="AA1520" t="s">
        <v>62</v>
      </c>
      <c r="AB1520" t="s">
        <v>63</v>
      </c>
      <c r="AC1520" t="s">
        <v>62</v>
      </c>
    </row>
    <row r="1521" spans="1:29">
      <c r="A1521" t="s">
        <v>1938</v>
      </c>
      <c r="B1521" s="2">
        <v>46185</v>
      </c>
      <c r="C1521" t="s">
        <v>30</v>
      </c>
      <c r="D1521" t="s">
        <v>99</v>
      </c>
      <c r="E1521" t="s">
        <v>50</v>
      </c>
      <c r="F1521" t="s">
        <v>89</v>
      </c>
      <c r="G1521" t="s">
        <v>270</v>
      </c>
      <c r="H1521" t="s">
        <v>66</v>
      </c>
      <c r="I1521" t="s">
        <v>902</v>
      </c>
      <c r="J1521" t="s">
        <v>3165</v>
      </c>
      <c r="K1521" t="s">
        <v>105</v>
      </c>
      <c r="L1521" t="s">
        <v>80</v>
      </c>
      <c r="M1521" t="s">
        <v>39</v>
      </c>
      <c r="N1521" t="s">
        <v>94</v>
      </c>
      <c r="O1521" s="4">
        <v>4</v>
      </c>
      <c r="P1521" s="4">
        <v>13</v>
      </c>
      <c r="Q1521" t="s">
        <v>58</v>
      </c>
      <c r="R1521" s="2">
        <v>46184</v>
      </c>
      <c r="S1521" s="4">
        <v>19</v>
      </c>
      <c r="T1521" s="3">
        <v>341000000</v>
      </c>
      <c r="U1521" t="s">
        <v>42</v>
      </c>
      <c r="V1521" t="s">
        <v>143</v>
      </c>
      <c r="W1521" t="s">
        <v>267</v>
      </c>
      <c r="X1521" t="s">
        <v>253</v>
      </c>
      <c r="Y1521" t="s">
        <v>268</v>
      </c>
      <c r="Z1521" t="s">
        <v>3179</v>
      </c>
      <c r="AA1521" t="s">
        <v>62</v>
      </c>
      <c r="AB1521" t="s">
        <v>97</v>
      </c>
      <c r="AC1521" t="s">
        <v>62</v>
      </c>
    </row>
    <row r="1522" spans="1:29">
      <c r="A1522" t="s">
        <v>1939</v>
      </c>
      <c r="B1522" s="2">
        <v>46196</v>
      </c>
      <c r="C1522" t="s">
        <v>30</v>
      </c>
      <c r="D1522" t="s">
        <v>49</v>
      </c>
      <c r="E1522" t="s">
        <v>152</v>
      </c>
      <c r="F1522" t="s">
        <v>205</v>
      </c>
      <c r="G1522" t="s">
        <v>154</v>
      </c>
      <c r="H1522" t="s">
        <v>283</v>
      </c>
      <c r="I1522" t="s">
        <v>287</v>
      </c>
      <c r="J1522" t="s">
        <v>3042</v>
      </c>
      <c r="K1522" t="s">
        <v>56</v>
      </c>
      <c r="L1522" t="s">
        <v>80</v>
      </c>
      <c r="M1522" t="s">
        <v>39</v>
      </c>
      <c r="N1522" t="s">
        <v>40</v>
      </c>
      <c r="O1522" s="4">
        <v>2</v>
      </c>
      <c r="P1522" s="4">
        <v>14</v>
      </c>
      <c r="Q1522" t="s">
        <v>138</v>
      </c>
      <c r="R1522" s="2">
        <v>46189</v>
      </c>
      <c r="S1522" s="4">
        <v>14</v>
      </c>
      <c r="T1522" s="3">
        <v>339000000</v>
      </c>
      <c r="U1522" t="s">
        <v>42</v>
      </c>
      <c r="V1522" t="s">
        <v>59</v>
      </c>
      <c r="W1522" t="s">
        <v>178</v>
      </c>
      <c r="Y1522" t="s">
        <v>309</v>
      </c>
      <c r="Z1522" t="s">
        <v>3180</v>
      </c>
      <c r="AA1522" t="s">
        <v>159</v>
      </c>
      <c r="AB1522" t="s">
        <v>193</v>
      </c>
      <c r="AC1522" t="s">
        <v>159</v>
      </c>
    </row>
    <row r="1523" spans="1:29">
      <c r="A1523" t="s">
        <v>1940</v>
      </c>
      <c r="B1523" s="2">
        <v>46201</v>
      </c>
      <c r="C1523" t="s">
        <v>30</v>
      </c>
      <c r="D1523" t="s">
        <v>49</v>
      </c>
      <c r="E1523" t="s">
        <v>111</v>
      </c>
      <c r="F1523" t="s">
        <v>112</v>
      </c>
      <c r="G1523" t="s">
        <v>251</v>
      </c>
      <c r="H1523" t="s">
        <v>191</v>
      </c>
      <c r="I1523" t="s">
        <v>606</v>
      </c>
      <c r="J1523" t="s">
        <v>3131</v>
      </c>
      <c r="K1523" t="s">
        <v>56</v>
      </c>
      <c r="L1523" t="s">
        <v>80</v>
      </c>
      <c r="M1523" t="s">
        <v>39</v>
      </c>
      <c r="N1523" t="s">
        <v>130</v>
      </c>
      <c r="O1523" s="4">
        <v>5</v>
      </c>
      <c r="P1523" s="4">
        <v>13</v>
      </c>
      <c r="Q1523" t="s">
        <v>69</v>
      </c>
      <c r="R1523" s="2">
        <v>46197</v>
      </c>
      <c r="S1523" s="4">
        <v>6</v>
      </c>
      <c r="T1523" s="3">
        <v>277000000</v>
      </c>
      <c r="U1523" t="s">
        <v>426</v>
      </c>
      <c r="V1523" t="s">
        <v>70</v>
      </c>
      <c r="W1523" t="s">
        <v>144</v>
      </c>
      <c r="X1523" t="s">
        <v>422</v>
      </c>
      <c r="Y1523" t="s">
        <v>334</v>
      </c>
      <c r="Z1523" t="s">
        <v>3179</v>
      </c>
      <c r="AA1523" t="s">
        <v>118</v>
      </c>
      <c r="AB1523" t="s">
        <v>97</v>
      </c>
      <c r="AC1523" t="s">
        <v>118</v>
      </c>
    </row>
    <row r="1524" spans="1:29">
      <c r="A1524" t="s">
        <v>1941</v>
      </c>
      <c r="B1524" s="2">
        <v>46179</v>
      </c>
      <c r="C1524" t="s">
        <v>30</v>
      </c>
      <c r="D1524" t="s">
        <v>134</v>
      </c>
      <c r="E1524" t="s">
        <v>32</v>
      </c>
      <c r="F1524" t="s">
        <v>256</v>
      </c>
      <c r="G1524" t="s">
        <v>257</v>
      </c>
      <c r="H1524" t="s">
        <v>303</v>
      </c>
      <c r="I1524" t="s">
        <v>487</v>
      </c>
      <c r="J1524" t="s">
        <v>3102</v>
      </c>
      <c r="K1524" t="s">
        <v>56</v>
      </c>
      <c r="L1524" t="s">
        <v>187</v>
      </c>
      <c r="M1524" t="s">
        <v>106</v>
      </c>
      <c r="N1524" t="s">
        <v>196</v>
      </c>
      <c r="O1524" s="4">
        <v>7</v>
      </c>
      <c r="P1524" s="4">
        <v>5</v>
      </c>
      <c r="Q1524" t="s">
        <v>41</v>
      </c>
      <c r="R1524" s="2">
        <v>46176</v>
      </c>
      <c r="S1524" s="4">
        <v>27</v>
      </c>
      <c r="T1524" s="3">
        <v>298000000</v>
      </c>
      <c r="U1524" t="s">
        <v>196</v>
      </c>
      <c r="V1524" t="s">
        <v>70</v>
      </c>
      <c r="W1524" t="s">
        <v>243</v>
      </c>
      <c r="Y1524" t="s">
        <v>210</v>
      </c>
      <c r="Z1524" t="s">
        <v>3181</v>
      </c>
      <c r="AA1524" t="s">
        <v>46</v>
      </c>
      <c r="AB1524" t="s">
        <v>199</v>
      </c>
      <c r="AC1524" t="s">
        <v>46</v>
      </c>
    </row>
    <row r="1525" spans="1:29">
      <c r="A1525" t="s">
        <v>1942</v>
      </c>
      <c r="B1525" s="2">
        <v>46196</v>
      </c>
      <c r="C1525" t="s">
        <v>30</v>
      </c>
      <c r="D1525" t="s">
        <v>49</v>
      </c>
      <c r="E1525" t="s">
        <v>120</v>
      </c>
      <c r="F1525" t="s">
        <v>121</v>
      </c>
      <c r="G1525" t="s">
        <v>135</v>
      </c>
      <c r="H1525" t="s">
        <v>136</v>
      </c>
      <c r="I1525" t="s">
        <v>627</v>
      </c>
      <c r="J1525" t="s">
        <v>3134</v>
      </c>
      <c r="K1525" t="s">
        <v>116</v>
      </c>
      <c r="L1525" t="s">
        <v>150</v>
      </c>
      <c r="M1525" t="s">
        <v>106</v>
      </c>
      <c r="N1525" t="s">
        <v>57</v>
      </c>
      <c r="O1525" s="4">
        <v>3</v>
      </c>
      <c r="P1525" s="4">
        <v>4</v>
      </c>
      <c r="Q1525" t="s">
        <v>41</v>
      </c>
      <c r="R1525" s="2">
        <v>46195</v>
      </c>
      <c r="S1525" s="4">
        <v>8</v>
      </c>
      <c r="T1525" s="3">
        <v>68000000</v>
      </c>
      <c r="U1525" t="s">
        <v>42</v>
      </c>
      <c r="V1525" t="s">
        <v>43</v>
      </c>
      <c r="W1525" t="s">
        <v>71</v>
      </c>
      <c r="Y1525" t="s">
        <v>61</v>
      </c>
      <c r="Z1525" t="s">
        <v>3177</v>
      </c>
      <c r="AA1525" t="s">
        <v>97</v>
      </c>
      <c r="AB1525" t="s">
        <v>63</v>
      </c>
      <c r="AC1525" t="s">
        <v>97</v>
      </c>
    </row>
    <row r="1526" spans="1:29">
      <c r="A1526" t="s">
        <v>1943</v>
      </c>
      <c r="B1526" s="2">
        <v>46192</v>
      </c>
      <c r="C1526" t="s">
        <v>30</v>
      </c>
      <c r="D1526" t="s">
        <v>74</v>
      </c>
      <c r="E1526" t="s">
        <v>152</v>
      </c>
      <c r="F1526" t="s">
        <v>221</v>
      </c>
      <c r="G1526" t="s">
        <v>154</v>
      </c>
      <c r="H1526" t="s">
        <v>283</v>
      </c>
      <c r="I1526" t="s">
        <v>474</v>
      </c>
      <c r="J1526" t="s">
        <v>3098</v>
      </c>
      <c r="K1526" t="s">
        <v>37</v>
      </c>
      <c r="L1526" t="s">
        <v>80</v>
      </c>
      <c r="M1526" t="s">
        <v>39</v>
      </c>
      <c r="N1526" t="s">
        <v>40</v>
      </c>
      <c r="O1526" s="4">
        <v>2</v>
      </c>
      <c r="P1526" s="4">
        <v>15</v>
      </c>
      <c r="Q1526" t="s">
        <v>142</v>
      </c>
      <c r="R1526" s="2">
        <v>46183</v>
      </c>
      <c r="S1526" s="4">
        <v>20</v>
      </c>
      <c r="T1526" s="3">
        <v>64000000</v>
      </c>
      <c r="U1526" t="s">
        <v>42</v>
      </c>
      <c r="V1526" t="s">
        <v>43</v>
      </c>
      <c r="W1526" t="s">
        <v>44</v>
      </c>
      <c r="Y1526" t="s">
        <v>45</v>
      </c>
      <c r="Z1526" t="s">
        <v>3180</v>
      </c>
      <c r="AA1526" t="s">
        <v>159</v>
      </c>
      <c r="AB1526" t="s">
        <v>193</v>
      </c>
      <c r="AC1526" t="s">
        <v>159</v>
      </c>
    </row>
    <row r="1527" spans="1:29">
      <c r="A1527" t="s">
        <v>1944</v>
      </c>
      <c r="B1527" s="2">
        <v>46176</v>
      </c>
      <c r="C1527" t="s">
        <v>30</v>
      </c>
      <c r="D1527" t="s">
        <v>134</v>
      </c>
      <c r="E1527" t="s">
        <v>152</v>
      </c>
      <c r="F1527" t="s">
        <v>205</v>
      </c>
      <c r="G1527" t="s">
        <v>206</v>
      </c>
      <c r="H1527" t="s">
        <v>155</v>
      </c>
      <c r="I1527" t="s">
        <v>537</v>
      </c>
      <c r="J1527" t="s">
        <v>3113</v>
      </c>
      <c r="K1527" t="s">
        <v>56</v>
      </c>
      <c r="L1527" t="s">
        <v>187</v>
      </c>
      <c r="M1527" t="s">
        <v>129</v>
      </c>
      <c r="N1527" t="s">
        <v>40</v>
      </c>
      <c r="O1527" s="4">
        <v>2</v>
      </c>
      <c r="P1527" s="4">
        <v>16</v>
      </c>
      <c r="Q1527" t="s">
        <v>58</v>
      </c>
      <c r="R1527" s="2">
        <v>46176</v>
      </c>
      <c r="S1527" s="4">
        <v>27</v>
      </c>
      <c r="T1527" s="3">
        <v>192000000</v>
      </c>
      <c r="U1527" t="s">
        <v>42</v>
      </c>
      <c r="V1527" t="s">
        <v>43</v>
      </c>
      <c r="W1527" t="s">
        <v>44</v>
      </c>
      <c r="Y1527" t="s">
        <v>309</v>
      </c>
      <c r="Z1527" t="s">
        <v>3180</v>
      </c>
      <c r="AA1527" t="s">
        <v>159</v>
      </c>
      <c r="AB1527" t="s">
        <v>193</v>
      </c>
      <c r="AC1527" t="s">
        <v>159</v>
      </c>
    </row>
    <row r="1528" spans="1:29">
      <c r="A1528" t="s">
        <v>1945</v>
      </c>
      <c r="B1528" s="2">
        <v>46176</v>
      </c>
      <c r="C1528" t="s">
        <v>30</v>
      </c>
      <c r="D1528" t="s">
        <v>134</v>
      </c>
      <c r="E1528" t="s">
        <v>152</v>
      </c>
      <c r="F1528" t="s">
        <v>205</v>
      </c>
      <c r="G1528" t="s">
        <v>206</v>
      </c>
      <c r="H1528" t="s">
        <v>207</v>
      </c>
      <c r="I1528" t="s">
        <v>208</v>
      </c>
      <c r="J1528" t="s">
        <v>3027</v>
      </c>
      <c r="K1528" t="s">
        <v>92</v>
      </c>
      <c r="L1528" t="s">
        <v>150</v>
      </c>
      <c r="M1528" t="s">
        <v>164</v>
      </c>
      <c r="N1528" t="s">
        <v>57</v>
      </c>
      <c r="O1528" s="4">
        <v>3</v>
      </c>
      <c r="P1528" s="4">
        <v>15</v>
      </c>
      <c r="Q1528" t="s">
        <v>83</v>
      </c>
      <c r="R1528" s="2">
        <v>46168</v>
      </c>
      <c r="S1528" s="4">
        <v>35</v>
      </c>
      <c r="T1528" s="3">
        <v>200000000</v>
      </c>
      <c r="U1528" t="s">
        <v>177</v>
      </c>
      <c r="V1528" t="s">
        <v>59</v>
      </c>
      <c r="W1528" t="s">
        <v>60</v>
      </c>
      <c r="X1528" t="s">
        <v>308</v>
      </c>
      <c r="Y1528" t="s">
        <v>72</v>
      </c>
      <c r="Z1528" t="s">
        <v>3180</v>
      </c>
      <c r="AA1528" t="s">
        <v>159</v>
      </c>
      <c r="AB1528" t="s">
        <v>193</v>
      </c>
      <c r="AC1528" t="s">
        <v>159</v>
      </c>
    </row>
    <row r="1529" spans="1:29">
      <c r="A1529" t="s">
        <v>1946</v>
      </c>
      <c r="B1529" s="2">
        <v>46192</v>
      </c>
      <c r="C1529" t="s">
        <v>30</v>
      </c>
      <c r="D1529" t="s">
        <v>74</v>
      </c>
      <c r="E1529" t="s">
        <v>75</v>
      </c>
      <c r="F1529" t="s">
        <v>76</v>
      </c>
      <c r="G1529" t="s">
        <v>387</v>
      </c>
      <c r="H1529" t="s">
        <v>78</v>
      </c>
      <c r="I1529" t="s">
        <v>79</v>
      </c>
      <c r="J1529" t="s">
        <v>3011</v>
      </c>
      <c r="K1529" t="s">
        <v>105</v>
      </c>
      <c r="L1529" t="s">
        <v>38</v>
      </c>
      <c r="M1529" t="s">
        <v>164</v>
      </c>
      <c r="N1529" t="s">
        <v>94</v>
      </c>
      <c r="O1529" s="4">
        <v>4</v>
      </c>
      <c r="P1529" s="4">
        <v>12</v>
      </c>
      <c r="Q1529" t="s">
        <v>58</v>
      </c>
      <c r="R1529" s="2">
        <v>46189</v>
      </c>
      <c r="S1529" s="4">
        <v>14</v>
      </c>
      <c r="T1529" s="3">
        <v>147000000</v>
      </c>
      <c r="U1529" t="s">
        <v>42</v>
      </c>
      <c r="V1529" t="s">
        <v>59</v>
      </c>
      <c r="W1529" t="s">
        <v>95</v>
      </c>
      <c r="X1529" t="s">
        <v>253</v>
      </c>
      <c r="Y1529" t="s">
        <v>228</v>
      </c>
      <c r="Z1529" t="s">
        <v>3179</v>
      </c>
      <c r="AA1529" t="s">
        <v>86</v>
      </c>
      <c r="AB1529" t="s">
        <v>97</v>
      </c>
      <c r="AC1529" t="s">
        <v>86</v>
      </c>
    </row>
    <row r="1530" spans="1:29">
      <c r="A1530" t="s">
        <v>1947</v>
      </c>
      <c r="B1530" s="2">
        <v>46189</v>
      </c>
      <c r="C1530" t="s">
        <v>30</v>
      </c>
      <c r="D1530" t="s">
        <v>74</v>
      </c>
      <c r="E1530" t="s">
        <v>100</v>
      </c>
      <c r="F1530" t="s">
        <v>101</v>
      </c>
      <c r="G1530" t="s">
        <v>212</v>
      </c>
      <c r="H1530" t="s">
        <v>201</v>
      </c>
      <c r="I1530" t="s">
        <v>453</v>
      </c>
      <c r="J1530" t="s">
        <v>3090</v>
      </c>
      <c r="K1530" t="s">
        <v>105</v>
      </c>
      <c r="L1530" t="s">
        <v>38</v>
      </c>
      <c r="M1530" t="s">
        <v>81</v>
      </c>
      <c r="N1530" t="s">
        <v>130</v>
      </c>
      <c r="O1530" s="4">
        <v>5</v>
      </c>
      <c r="P1530" s="4">
        <v>17</v>
      </c>
      <c r="Q1530" t="s">
        <v>83</v>
      </c>
      <c r="R1530" s="2">
        <v>46180</v>
      </c>
      <c r="S1530" s="4">
        <v>23</v>
      </c>
      <c r="T1530" s="3">
        <v>79000000</v>
      </c>
      <c r="U1530" t="s">
        <v>42</v>
      </c>
      <c r="V1530" t="s">
        <v>70</v>
      </c>
      <c r="W1530" t="s">
        <v>252</v>
      </c>
      <c r="X1530" t="s">
        <v>117</v>
      </c>
      <c r="Y1530" t="s">
        <v>254</v>
      </c>
      <c r="Z1530" t="s">
        <v>3179</v>
      </c>
      <c r="AA1530" t="s">
        <v>109</v>
      </c>
      <c r="AB1530" t="s">
        <v>97</v>
      </c>
      <c r="AC1530" t="s">
        <v>109</v>
      </c>
    </row>
    <row r="1531" spans="1:29">
      <c r="A1531" t="s">
        <v>1948</v>
      </c>
      <c r="B1531" s="2">
        <v>46179</v>
      </c>
      <c r="C1531" t="s">
        <v>30</v>
      </c>
      <c r="D1531" t="s">
        <v>134</v>
      </c>
      <c r="E1531" t="s">
        <v>172</v>
      </c>
      <c r="F1531" t="s">
        <v>173</v>
      </c>
      <c r="G1531" t="s">
        <v>338</v>
      </c>
      <c r="H1531" t="s">
        <v>317</v>
      </c>
      <c r="I1531" t="s">
        <v>756</v>
      </c>
      <c r="J1531" t="s">
        <v>3152</v>
      </c>
      <c r="K1531" t="s">
        <v>37</v>
      </c>
      <c r="L1531" t="s">
        <v>80</v>
      </c>
      <c r="M1531" t="s">
        <v>129</v>
      </c>
      <c r="N1531" t="s">
        <v>40</v>
      </c>
      <c r="O1531" s="4">
        <v>2</v>
      </c>
      <c r="P1531" s="4">
        <v>4</v>
      </c>
      <c r="Q1531" t="s">
        <v>58</v>
      </c>
      <c r="R1531" s="2">
        <v>46172</v>
      </c>
      <c r="S1531" s="4">
        <v>31</v>
      </c>
      <c r="T1531" s="3">
        <v>149000000</v>
      </c>
      <c r="U1531" t="s">
        <v>42</v>
      </c>
      <c r="V1531" t="s">
        <v>43</v>
      </c>
      <c r="W1531" t="s">
        <v>178</v>
      </c>
      <c r="Y1531" t="s">
        <v>180</v>
      </c>
      <c r="Z1531" t="s">
        <v>3176</v>
      </c>
      <c r="AA1531" t="s">
        <v>181</v>
      </c>
      <c r="AB1531" t="s">
        <v>47</v>
      </c>
      <c r="AC1531" t="s">
        <v>181</v>
      </c>
    </row>
    <row r="1532" spans="1:29">
      <c r="A1532" t="s">
        <v>1949</v>
      </c>
      <c r="B1532" s="2">
        <v>46185</v>
      </c>
      <c r="C1532" t="s">
        <v>30</v>
      </c>
      <c r="D1532" t="s">
        <v>99</v>
      </c>
      <c r="E1532" t="s">
        <v>172</v>
      </c>
      <c r="F1532" t="s">
        <v>173</v>
      </c>
      <c r="G1532" t="s">
        <v>476</v>
      </c>
      <c r="H1532" t="s">
        <v>175</v>
      </c>
      <c r="I1532" t="s">
        <v>333</v>
      </c>
      <c r="J1532" t="s">
        <v>3054</v>
      </c>
      <c r="K1532" t="s">
        <v>92</v>
      </c>
      <c r="L1532" t="s">
        <v>38</v>
      </c>
      <c r="M1532" t="s">
        <v>106</v>
      </c>
      <c r="N1532" t="s">
        <v>82</v>
      </c>
      <c r="O1532" s="4">
        <v>1</v>
      </c>
      <c r="P1532" s="4">
        <v>8</v>
      </c>
      <c r="Q1532" t="s">
        <v>107</v>
      </c>
      <c r="R1532" s="2">
        <v>46175</v>
      </c>
      <c r="S1532" s="4">
        <v>28</v>
      </c>
      <c r="T1532" s="3">
        <v>99000000</v>
      </c>
      <c r="U1532" t="s">
        <v>42</v>
      </c>
      <c r="V1532" t="s">
        <v>43</v>
      </c>
      <c r="W1532" t="s">
        <v>359</v>
      </c>
      <c r="Y1532" t="s">
        <v>85</v>
      </c>
      <c r="Z1532" t="s">
        <v>3178</v>
      </c>
      <c r="AA1532" t="s">
        <v>181</v>
      </c>
      <c r="AB1532" t="s">
        <v>87</v>
      </c>
      <c r="AC1532" t="s">
        <v>181</v>
      </c>
    </row>
    <row r="1533" spans="1:29">
      <c r="A1533" t="s">
        <v>1950</v>
      </c>
      <c r="B1533" s="2">
        <v>46178</v>
      </c>
      <c r="C1533" t="s">
        <v>30</v>
      </c>
      <c r="D1533" t="s">
        <v>134</v>
      </c>
      <c r="E1533" t="s">
        <v>100</v>
      </c>
      <c r="F1533" t="s">
        <v>146</v>
      </c>
      <c r="G1533" t="s">
        <v>237</v>
      </c>
      <c r="H1533" t="s">
        <v>148</v>
      </c>
      <c r="I1533" t="s">
        <v>851</v>
      </c>
      <c r="J1533" t="s">
        <v>3163</v>
      </c>
      <c r="K1533" t="s">
        <v>92</v>
      </c>
      <c r="L1533" t="s">
        <v>80</v>
      </c>
      <c r="M1533" t="s">
        <v>164</v>
      </c>
      <c r="N1533" t="s">
        <v>130</v>
      </c>
      <c r="O1533" s="4">
        <v>5</v>
      </c>
      <c r="P1533" s="4">
        <v>9</v>
      </c>
      <c r="Q1533" t="s">
        <v>107</v>
      </c>
      <c r="R1533" s="2">
        <v>46177</v>
      </c>
      <c r="S1533" s="4">
        <v>26</v>
      </c>
      <c r="T1533" s="3">
        <v>85000000</v>
      </c>
      <c r="U1533" t="s">
        <v>42</v>
      </c>
      <c r="V1533" t="s">
        <v>70</v>
      </c>
      <c r="W1533" t="s">
        <v>252</v>
      </c>
      <c r="X1533" t="s">
        <v>117</v>
      </c>
      <c r="Y1533" t="s">
        <v>254</v>
      </c>
      <c r="Z1533" t="s">
        <v>3179</v>
      </c>
      <c r="AA1533" t="s">
        <v>109</v>
      </c>
      <c r="AB1533" t="s">
        <v>97</v>
      </c>
      <c r="AC1533" t="s">
        <v>109</v>
      </c>
    </row>
    <row r="1534" spans="1:29">
      <c r="A1534" t="s">
        <v>1951</v>
      </c>
      <c r="B1534" s="2">
        <v>46202</v>
      </c>
      <c r="C1534" t="s">
        <v>30</v>
      </c>
      <c r="D1534" t="s">
        <v>31</v>
      </c>
      <c r="E1534" t="s">
        <v>32</v>
      </c>
      <c r="F1534" t="s">
        <v>33</v>
      </c>
      <c r="G1534" t="s">
        <v>257</v>
      </c>
      <c r="H1534" t="s">
        <v>258</v>
      </c>
      <c r="I1534" t="s">
        <v>297</v>
      </c>
      <c r="J1534" t="s">
        <v>3044</v>
      </c>
      <c r="K1534" t="s">
        <v>37</v>
      </c>
      <c r="L1534" t="s">
        <v>169</v>
      </c>
      <c r="M1534" t="s">
        <v>164</v>
      </c>
      <c r="N1534" t="s">
        <v>130</v>
      </c>
      <c r="O1534" s="4">
        <v>5</v>
      </c>
      <c r="P1534" s="4">
        <v>5</v>
      </c>
      <c r="Q1534" t="s">
        <v>138</v>
      </c>
      <c r="R1534" s="2">
        <v>46202</v>
      </c>
      <c r="S1534" s="4">
        <v>1</v>
      </c>
      <c r="T1534" s="3">
        <v>187000000</v>
      </c>
      <c r="U1534" t="s">
        <v>42</v>
      </c>
      <c r="V1534" t="s">
        <v>59</v>
      </c>
      <c r="W1534" t="s">
        <v>355</v>
      </c>
      <c r="Y1534" t="s">
        <v>254</v>
      </c>
      <c r="Z1534" t="s">
        <v>3179</v>
      </c>
      <c r="AA1534" t="s">
        <v>46</v>
      </c>
      <c r="AB1534" t="s">
        <v>97</v>
      </c>
      <c r="AC1534" t="s">
        <v>46</v>
      </c>
    </row>
    <row r="1535" spans="1:29">
      <c r="A1535" t="s">
        <v>1952</v>
      </c>
      <c r="B1535" s="2">
        <v>46181</v>
      </c>
      <c r="C1535" t="s">
        <v>30</v>
      </c>
      <c r="D1535" t="s">
        <v>99</v>
      </c>
      <c r="E1535" t="s">
        <v>120</v>
      </c>
      <c r="F1535" t="s">
        <v>121</v>
      </c>
      <c r="G1535" t="s">
        <v>135</v>
      </c>
      <c r="H1535" t="s">
        <v>136</v>
      </c>
      <c r="I1535" t="s">
        <v>275</v>
      </c>
      <c r="J1535" t="s">
        <v>3039</v>
      </c>
      <c r="K1535" t="s">
        <v>37</v>
      </c>
      <c r="L1535" t="s">
        <v>68</v>
      </c>
      <c r="M1535" t="s">
        <v>106</v>
      </c>
      <c r="N1535" t="s">
        <v>94</v>
      </c>
      <c r="O1535" s="4">
        <v>4</v>
      </c>
      <c r="P1535" s="4">
        <v>10</v>
      </c>
      <c r="Q1535" t="s">
        <v>58</v>
      </c>
      <c r="R1535" s="2">
        <v>46179</v>
      </c>
      <c r="S1535" s="4">
        <v>24</v>
      </c>
      <c r="T1535" s="3">
        <v>78000000</v>
      </c>
      <c r="U1535" t="s">
        <v>42</v>
      </c>
      <c r="V1535" t="s">
        <v>59</v>
      </c>
      <c r="W1535" t="s">
        <v>95</v>
      </c>
      <c r="X1535" t="s">
        <v>117</v>
      </c>
      <c r="Y1535" t="s">
        <v>108</v>
      </c>
      <c r="Z1535" t="s">
        <v>3179</v>
      </c>
      <c r="AA1535" t="s">
        <v>97</v>
      </c>
      <c r="AB1535" t="s">
        <v>97</v>
      </c>
      <c r="AC1535" t="s">
        <v>97</v>
      </c>
    </row>
    <row r="1536" spans="1:29">
      <c r="A1536" t="s">
        <v>1953</v>
      </c>
      <c r="B1536" s="2">
        <v>46190</v>
      </c>
      <c r="C1536" t="s">
        <v>30</v>
      </c>
      <c r="D1536" t="s">
        <v>74</v>
      </c>
      <c r="E1536" t="s">
        <v>100</v>
      </c>
      <c r="F1536" t="s">
        <v>101</v>
      </c>
      <c r="G1536" t="s">
        <v>313</v>
      </c>
      <c r="H1536" t="s">
        <v>148</v>
      </c>
      <c r="I1536" t="s">
        <v>800</v>
      </c>
      <c r="J1536" t="s">
        <v>3156</v>
      </c>
      <c r="K1536" t="s">
        <v>116</v>
      </c>
      <c r="L1536" t="s">
        <v>80</v>
      </c>
      <c r="M1536" t="s">
        <v>164</v>
      </c>
      <c r="N1536" t="s">
        <v>57</v>
      </c>
      <c r="O1536" s="4">
        <v>3</v>
      </c>
      <c r="P1536" s="4">
        <v>13</v>
      </c>
      <c r="Q1536" t="s">
        <v>41</v>
      </c>
      <c r="R1536" s="2">
        <v>46189</v>
      </c>
      <c r="S1536" s="4">
        <v>14</v>
      </c>
      <c r="T1536" s="3">
        <v>172000000</v>
      </c>
      <c r="U1536" t="s">
        <v>177</v>
      </c>
      <c r="V1536" t="s">
        <v>59</v>
      </c>
      <c r="W1536" t="s">
        <v>203</v>
      </c>
      <c r="X1536" t="s">
        <v>381</v>
      </c>
      <c r="Y1536" t="s">
        <v>165</v>
      </c>
      <c r="Z1536" t="s">
        <v>3180</v>
      </c>
      <c r="AA1536" t="s">
        <v>109</v>
      </c>
      <c r="AB1536" t="s">
        <v>193</v>
      </c>
      <c r="AC1536" t="s">
        <v>109</v>
      </c>
    </row>
    <row r="1537" spans="1:29">
      <c r="A1537" t="s">
        <v>1954</v>
      </c>
      <c r="B1537" s="2">
        <v>46185</v>
      </c>
      <c r="C1537" t="s">
        <v>30</v>
      </c>
      <c r="D1537" t="s">
        <v>99</v>
      </c>
      <c r="E1537" t="s">
        <v>100</v>
      </c>
      <c r="F1537" t="s">
        <v>101</v>
      </c>
      <c r="G1537" t="s">
        <v>237</v>
      </c>
      <c r="H1537" t="s">
        <v>103</v>
      </c>
      <c r="I1537" t="s">
        <v>994</v>
      </c>
      <c r="J1537" t="s">
        <v>3169</v>
      </c>
      <c r="K1537" t="s">
        <v>37</v>
      </c>
      <c r="L1537" t="s">
        <v>38</v>
      </c>
      <c r="M1537" t="s">
        <v>56</v>
      </c>
      <c r="N1537" t="s">
        <v>40</v>
      </c>
      <c r="O1537" s="4">
        <v>2</v>
      </c>
      <c r="P1537" s="4">
        <v>11</v>
      </c>
      <c r="Q1537" t="s">
        <v>83</v>
      </c>
      <c r="R1537" s="2">
        <v>46179</v>
      </c>
      <c r="S1537" s="4">
        <v>24</v>
      </c>
      <c r="T1537" s="3">
        <v>96000000</v>
      </c>
      <c r="U1537" t="s">
        <v>42</v>
      </c>
      <c r="V1537" t="s">
        <v>43</v>
      </c>
      <c r="W1537" t="s">
        <v>298</v>
      </c>
      <c r="Y1537" t="s">
        <v>45</v>
      </c>
      <c r="Z1537" t="s">
        <v>3178</v>
      </c>
      <c r="AA1537" t="s">
        <v>109</v>
      </c>
      <c r="AB1537" t="s">
        <v>87</v>
      </c>
      <c r="AC1537" t="s">
        <v>109</v>
      </c>
    </row>
    <row r="1538" spans="1:29">
      <c r="A1538" t="s">
        <v>1955</v>
      </c>
      <c r="B1538" s="2">
        <v>46199</v>
      </c>
      <c r="C1538" t="s">
        <v>30</v>
      </c>
      <c r="D1538" t="s">
        <v>49</v>
      </c>
      <c r="E1538" t="s">
        <v>32</v>
      </c>
      <c r="F1538" t="s">
        <v>33</v>
      </c>
      <c r="G1538" t="s">
        <v>218</v>
      </c>
      <c r="H1538" t="s">
        <v>258</v>
      </c>
      <c r="I1538" t="s">
        <v>1008</v>
      </c>
      <c r="J1538" t="s">
        <v>3170</v>
      </c>
      <c r="K1538" t="s">
        <v>116</v>
      </c>
      <c r="L1538" t="s">
        <v>80</v>
      </c>
      <c r="M1538" t="s">
        <v>164</v>
      </c>
      <c r="N1538" t="s">
        <v>82</v>
      </c>
      <c r="O1538" s="4">
        <v>1</v>
      </c>
      <c r="P1538" s="4">
        <v>2</v>
      </c>
      <c r="Q1538" t="s">
        <v>58</v>
      </c>
      <c r="R1538" s="2">
        <v>46194</v>
      </c>
      <c r="S1538" s="4">
        <v>9</v>
      </c>
      <c r="T1538" s="3">
        <v>115000000</v>
      </c>
      <c r="U1538" t="s">
        <v>42</v>
      </c>
      <c r="V1538" t="s">
        <v>43</v>
      </c>
      <c r="W1538" t="s">
        <v>84</v>
      </c>
      <c r="Y1538" t="s">
        <v>305</v>
      </c>
      <c r="Z1538" t="s">
        <v>3176</v>
      </c>
      <c r="AA1538" t="s">
        <v>46</v>
      </c>
      <c r="AB1538" t="s">
        <v>47</v>
      </c>
      <c r="AC1538" t="s">
        <v>46</v>
      </c>
    </row>
    <row r="1539" spans="1:29">
      <c r="A1539" t="s">
        <v>1956</v>
      </c>
      <c r="B1539" s="2">
        <v>46199</v>
      </c>
      <c r="C1539" t="s">
        <v>30</v>
      </c>
      <c r="D1539" t="s">
        <v>49</v>
      </c>
      <c r="E1539" t="s">
        <v>120</v>
      </c>
      <c r="F1539" t="s">
        <v>121</v>
      </c>
      <c r="G1539" t="s">
        <v>135</v>
      </c>
      <c r="H1539" t="s">
        <v>136</v>
      </c>
      <c r="I1539" t="s">
        <v>627</v>
      </c>
      <c r="J1539" t="s">
        <v>3134</v>
      </c>
      <c r="K1539" t="s">
        <v>37</v>
      </c>
      <c r="L1539" t="s">
        <v>80</v>
      </c>
      <c r="M1539" t="s">
        <v>129</v>
      </c>
      <c r="N1539" t="s">
        <v>94</v>
      </c>
      <c r="O1539" s="4">
        <v>4</v>
      </c>
      <c r="P1539" s="4">
        <v>10</v>
      </c>
      <c r="Q1539" t="s">
        <v>69</v>
      </c>
      <c r="R1539" s="2">
        <v>46199</v>
      </c>
      <c r="S1539" s="4">
        <v>4</v>
      </c>
      <c r="T1539" s="3">
        <v>115000000</v>
      </c>
      <c r="U1539" t="s">
        <v>42</v>
      </c>
      <c r="V1539" t="s">
        <v>59</v>
      </c>
      <c r="W1539" t="s">
        <v>170</v>
      </c>
      <c r="X1539" t="s">
        <v>117</v>
      </c>
      <c r="Y1539" t="s">
        <v>268</v>
      </c>
      <c r="Z1539" t="s">
        <v>3179</v>
      </c>
      <c r="AA1539" t="s">
        <v>97</v>
      </c>
      <c r="AB1539" t="s">
        <v>97</v>
      </c>
      <c r="AC1539" t="s">
        <v>97</v>
      </c>
    </row>
    <row r="1540" spans="1:29">
      <c r="A1540" t="s">
        <v>1957</v>
      </c>
      <c r="B1540" s="2">
        <v>46195</v>
      </c>
      <c r="C1540" t="s">
        <v>30</v>
      </c>
      <c r="D1540" t="s">
        <v>49</v>
      </c>
      <c r="E1540" t="s">
        <v>75</v>
      </c>
      <c r="F1540" t="s">
        <v>183</v>
      </c>
      <c r="G1540" t="s">
        <v>184</v>
      </c>
      <c r="H1540" t="s">
        <v>388</v>
      </c>
      <c r="I1540" t="s">
        <v>576</v>
      </c>
      <c r="J1540" t="s">
        <v>3123</v>
      </c>
      <c r="K1540" t="s">
        <v>56</v>
      </c>
      <c r="L1540" t="s">
        <v>150</v>
      </c>
      <c r="M1540" t="s">
        <v>81</v>
      </c>
      <c r="N1540" t="s">
        <v>40</v>
      </c>
      <c r="O1540" s="4">
        <v>2</v>
      </c>
      <c r="P1540" s="4">
        <v>8</v>
      </c>
      <c r="Q1540" t="s">
        <v>107</v>
      </c>
      <c r="R1540" s="2">
        <v>46190</v>
      </c>
      <c r="S1540" s="4">
        <v>13</v>
      </c>
      <c r="T1540" s="3">
        <v>160000000</v>
      </c>
      <c r="U1540" t="s">
        <v>42</v>
      </c>
      <c r="V1540" t="s">
        <v>43</v>
      </c>
      <c r="W1540" t="s">
        <v>239</v>
      </c>
      <c r="Y1540" t="s">
        <v>309</v>
      </c>
      <c r="Z1540" t="s">
        <v>3178</v>
      </c>
      <c r="AA1540" t="s">
        <v>86</v>
      </c>
      <c r="AB1540" t="s">
        <v>87</v>
      </c>
      <c r="AC1540" t="s">
        <v>86</v>
      </c>
    </row>
    <row r="1541" spans="1:29">
      <c r="A1541" t="s">
        <v>1958</v>
      </c>
      <c r="B1541" s="2">
        <v>46200</v>
      </c>
      <c r="C1541" t="s">
        <v>30</v>
      </c>
      <c r="D1541" t="s">
        <v>49</v>
      </c>
      <c r="E1541" t="s">
        <v>75</v>
      </c>
      <c r="F1541" t="s">
        <v>161</v>
      </c>
      <c r="G1541" t="s">
        <v>184</v>
      </c>
      <c r="H1541" t="s">
        <v>388</v>
      </c>
      <c r="I1541" t="s">
        <v>556</v>
      </c>
      <c r="J1541" t="s">
        <v>3118</v>
      </c>
      <c r="K1541" t="s">
        <v>105</v>
      </c>
      <c r="L1541" t="s">
        <v>80</v>
      </c>
      <c r="M1541" t="s">
        <v>106</v>
      </c>
      <c r="N1541" t="s">
        <v>57</v>
      </c>
      <c r="O1541" s="4">
        <v>3</v>
      </c>
      <c r="P1541" s="4">
        <v>8</v>
      </c>
      <c r="Q1541" t="s">
        <v>58</v>
      </c>
      <c r="R1541" s="2">
        <v>46190</v>
      </c>
      <c r="S1541" s="4">
        <v>13</v>
      </c>
      <c r="T1541" s="3">
        <v>156000000</v>
      </c>
      <c r="U1541" t="s">
        <v>42</v>
      </c>
      <c r="V1541" t="s">
        <v>59</v>
      </c>
      <c r="W1541" t="s">
        <v>157</v>
      </c>
      <c r="Y1541" t="s">
        <v>158</v>
      </c>
      <c r="Z1541" t="s">
        <v>3177</v>
      </c>
      <c r="AA1541" t="s">
        <v>86</v>
      </c>
      <c r="AB1541" t="s">
        <v>63</v>
      </c>
      <c r="AC1541" t="s">
        <v>86</v>
      </c>
    </row>
    <row r="1542" spans="1:29">
      <c r="A1542" t="s">
        <v>1959</v>
      </c>
      <c r="B1542" s="2">
        <v>46195</v>
      </c>
      <c r="C1542" t="s">
        <v>30</v>
      </c>
      <c r="D1542" t="s">
        <v>49</v>
      </c>
      <c r="E1542" t="s">
        <v>120</v>
      </c>
      <c r="F1542" t="s">
        <v>167</v>
      </c>
      <c r="G1542" t="s">
        <v>227</v>
      </c>
      <c r="H1542" t="s">
        <v>136</v>
      </c>
      <c r="I1542" t="s">
        <v>658</v>
      </c>
      <c r="J1542" t="s">
        <v>3143</v>
      </c>
      <c r="K1542" t="s">
        <v>56</v>
      </c>
      <c r="L1542" t="s">
        <v>150</v>
      </c>
      <c r="M1542" t="s">
        <v>129</v>
      </c>
      <c r="N1542" t="s">
        <v>82</v>
      </c>
      <c r="O1542" s="4">
        <v>1</v>
      </c>
      <c r="P1542" s="4">
        <v>5</v>
      </c>
      <c r="Q1542" t="s">
        <v>107</v>
      </c>
      <c r="R1542" s="2">
        <v>46187</v>
      </c>
      <c r="S1542" s="4">
        <v>16</v>
      </c>
      <c r="T1542" s="3">
        <v>418000000</v>
      </c>
      <c r="U1542" t="s">
        <v>42</v>
      </c>
      <c r="V1542" t="s">
        <v>43</v>
      </c>
      <c r="W1542" t="s">
        <v>404</v>
      </c>
      <c r="Y1542" t="s">
        <v>85</v>
      </c>
      <c r="Z1542" t="s">
        <v>3178</v>
      </c>
      <c r="AA1542" t="s">
        <v>97</v>
      </c>
      <c r="AB1542" t="s">
        <v>87</v>
      </c>
      <c r="AC1542" t="s">
        <v>97</v>
      </c>
    </row>
    <row r="1543" spans="1:29">
      <c r="A1543" t="s">
        <v>1960</v>
      </c>
      <c r="B1543" s="2">
        <v>46183</v>
      </c>
      <c r="C1543" t="s">
        <v>30</v>
      </c>
      <c r="D1543" t="s">
        <v>99</v>
      </c>
      <c r="E1543" t="s">
        <v>32</v>
      </c>
      <c r="F1543" t="s">
        <v>273</v>
      </c>
      <c r="G1543" t="s">
        <v>463</v>
      </c>
      <c r="H1543" t="s">
        <v>258</v>
      </c>
      <c r="I1543" t="s">
        <v>297</v>
      </c>
      <c r="J1543" t="s">
        <v>3044</v>
      </c>
      <c r="K1543" t="s">
        <v>37</v>
      </c>
      <c r="L1543" t="s">
        <v>80</v>
      </c>
      <c r="M1543" t="s">
        <v>164</v>
      </c>
      <c r="N1543" t="s">
        <v>94</v>
      </c>
      <c r="O1543" s="4">
        <v>4</v>
      </c>
      <c r="P1543" s="4">
        <v>4</v>
      </c>
      <c r="Q1543" t="s">
        <v>69</v>
      </c>
      <c r="R1543" s="2">
        <v>46177</v>
      </c>
      <c r="S1543" s="4">
        <v>26</v>
      </c>
      <c r="T1543" s="3">
        <v>79000000</v>
      </c>
      <c r="U1543" t="s">
        <v>42</v>
      </c>
      <c r="V1543" t="s">
        <v>59</v>
      </c>
      <c r="W1543" t="s">
        <v>95</v>
      </c>
      <c r="Y1543" t="s">
        <v>268</v>
      </c>
      <c r="Z1543" t="s">
        <v>3179</v>
      </c>
      <c r="AA1543" t="s">
        <v>46</v>
      </c>
      <c r="AB1543" t="s">
        <v>97</v>
      </c>
      <c r="AC1543" t="s">
        <v>46</v>
      </c>
    </row>
    <row r="1544" spans="1:29">
      <c r="A1544" t="s">
        <v>1961</v>
      </c>
      <c r="B1544" s="2">
        <v>46192</v>
      </c>
      <c r="C1544" t="s">
        <v>30</v>
      </c>
      <c r="D1544" t="s">
        <v>74</v>
      </c>
      <c r="E1544" t="s">
        <v>50</v>
      </c>
      <c r="F1544" t="s">
        <v>51</v>
      </c>
      <c r="G1544" t="s">
        <v>343</v>
      </c>
      <c r="H1544" t="s">
        <v>53</v>
      </c>
      <c r="I1544" t="s">
        <v>235</v>
      </c>
      <c r="J1544" t="s">
        <v>3032</v>
      </c>
      <c r="K1544" t="s">
        <v>56</v>
      </c>
      <c r="L1544" t="s">
        <v>55</v>
      </c>
      <c r="M1544" t="s">
        <v>106</v>
      </c>
      <c r="N1544" t="s">
        <v>130</v>
      </c>
      <c r="O1544" s="4">
        <v>5</v>
      </c>
      <c r="P1544" s="4">
        <v>9</v>
      </c>
      <c r="Q1544" t="s">
        <v>138</v>
      </c>
      <c r="R1544" s="2">
        <v>46191</v>
      </c>
      <c r="S1544" s="4">
        <v>12</v>
      </c>
      <c r="T1544" s="3">
        <v>238000000</v>
      </c>
      <c r="U1544" t="s">
        <v>42</v>
      </c>
      <c r="V1544" t="s">
        <v>59</v>
      </c>
      <c r="W1544" t="s">
        <v>252</v>
      </c>
      <c r="X1544" t="s">
        <v>117</v>
      </c>
      <c r="Y1544" t="s">
        <v>132</v>
      </c>
      <c r="Z1544" t="s">
        <v>3179</v>
      </c>
      <c r="AA1544" t="s">
        <v>62</v>
      </c>
      <c r="AB1544" t="s">
        <v>97</v>
      </c>
      <c r="AC1544" t="s">
        <v>62</v>
      </c>
    </row>
    <row r="1545" spans="1:29">
      <c r="A1545" t="s">
        <v>1962</v>
      </c>
      <c r="B1545" s="2">
        <v>46178</v>
      </c>
      <c r="C1545" t="s">
        <v>30</v>
      </c>
      <c r="D1545" t="s">
        <v>134</v>
      </c>
      <c r="E1545" t="s">
        <v>100</v>
      </c>
      <c r="F1545" t="s">
        <v>146</v>
      </c>
      <c r="G1545" t="s">
        <v>102</v>
      </c>
      <c r="H1545" t="s">
        <v>201</v>
      </c>
      <c r="I1545" t="s">
        <v>554</v>
      </c>
      <c r="J1545" t="s">
        <v>3117</v>
      </c>
      <c r="K1545" t="s">
        <v>56</v>
      </c>
      <c r="L1545" t="s">
        <v>38</v>
      </c>
      <c r="M1545" t="s">
        <v>106</v>
      </c>
      <c r="N1545" t="s">
        <v>94</v>
      </c>
      <c r="O1545" s="4">
        <v>4</v>
      </c>
      <c r="P1545" s="4">
        <v>12</v>
      </c>
      <c r="Q1545" t="s">
        <v>83</v>
      </c>
      <c r="R1545" s="2">
        <v>46172</v>
      </c>
      <c r="S1545" s="4">
        <v>31</v>
      </c>
      <c r="T1545" s="3">
        <v>146000000</v>
      </c>
      <c r="U1545" t="s">
        <v>42</v>
      </c>
      <c r="V1545" t="s">
        <v>59</v>
      </c>
      <c r="W1545" t="s">
        <v>170</v>
      </c>
      <c r="X1545" t="s">
        <v>117</v>
      </c>
      <c r="Y1545" t="s">
        <v>268</v>
      </c>
      <c r="Z1545" t="s">
        <v>3179</v>
      </c>
      <c r="AA1545" t="s">
        <v>109</v>
      </c>
      <c r="AB1545" t="s">
        <v>97</v>
      </c>
      <c r="AC1545" t="s">
        <v>109</v>
      </c>
    </row>
    <row r="1546" spans="1:29">
      <c r="A1546" t="s">
        <v>1963</v>
      </c>
      <c r="B1546" s="2">
        <v>46178</v>
      </c>
      <c r="C1546" t="s">
        <v>30</v>
      </c>
      <c r="D1546" t="s">
        <v>134</v>
      </c>
      <c r="E1546" t="s">
        <v>50</v>
      </c>
      <c r="F1546" t="s">
        <v>351</v>
      </c>
      <c r="G1546" t="s">
        <v>52</v>
      </c>
      <c r="H1546" t="s">
        <v>53</v>
      </c>
      <c r="I1546" t="s">
        <v>235</v>
      </c>
      <c r="J1546" t="s">
        <v>3032</v>
      </c>
      <c r="K1546" t="s">
        <v>105</v>
      </c>
      <c r="L1546" t="s">
        <v>150</v>
      </c>
      <c r="M1546" t="s">
        <v>106</v>
      </c>
      <c r="N1546" t="s">
        <v>94</v>
      </c>
      <c r="O1546" s="4">
        <v>4</v>
      </c>
      <c r="P1546" s="4">
        <v>9</v>
      </c>
      <c r="Q1546" t="s">
        <v>69</v>
      </c>
      <c r="R1546" s="2">
        <v>46168</v>
      </c>
      <c r="S1546" s="4">
        <v>35</v>
      </c>
      <c r="T1546" s="3">
        <v>342000000</v>
      </c>
      <c r="U1546" t="s">
        <v>42</v>
      </c>
      <c r="V1546" t="s">
        <v>143</v>
      </c>
      <c r="W1546" t="s">
        <v>188</v>
      </c>
      <c r="X1546" t="s">
        <v>117</v>
      </c>
      <c r="Y1546" t="s">
        <v>268</v>
      </c>
      <c r="Z1546" t="s">
        <v>3179</v>
      </c>
      <c r="AA1546" t="s">
        <v>62</v>
      </c>
      <c r="AB1546" t="s">
        <v>97</v>
      </c>
      <c r="AC1546" t="s">
        <v>62</v>
      </c>
    </row>
    <row r="1547" spans="1:29">
      <c r="A1547" t="s">
        <v>1964</v>
      </c>
      <c r="B1547" s="2">
        <v>46201</v>
      </c>
      <c r="C1547" t="s">
        <v>30</v>
      </c>
      <c r="D1547" t="s">
        <v>49</v>
      </c>
      <c r="E1547" t="s">
        <v>111</v>
      </c>
      <c r="F1547" t="s">
        <v>112</v>
      </c>
      <c r="G1547" t="s">
        <v>265</v>
      </c>
      <c r="H1547" t="s">
        <v>114</v>
      </c>
      <c r="I1547" t="s">
        <v>645</v>
      </c>
      <c r="J1547" t="s">
        <v>3139</v>
      </c>
      <c r="K1547" t="s">
        <v>56</v>
      </c>
      <c r="L1547" t="s">
        <v>187</v>
      </c>
      <c r="M1547" t="s">
        <v>164</v>
      </c>
      <c r="N1547" t="s">
        <v>130</v>
      </c>
      <c r="O1547" s="4">
        <v>5</v>
      </c>
      <c r="P1547" s="4">
        <v>8</v>
      </c>
      <c r="Q1547" t="s">
        <v>107</v>
      </c>
      <c r="R1547" s="2">
        <v>46197</v>
      </c>
      <c r="S1547" s="4">
        <v>6</v>
      </c>
      <c r="T1547" s="3">
        <v>151000000</v>
      </c>
      <c r="U1547" t="s">
        <v>42</v>
      </c>
      <c r="V1547" t="s">
        <v>59</v>
      </c>
      <c r="W1547" t="s">
        <v>144</v>
      </c>
      <c r="Y1547" t="s">
        <v>262</v>
      </c>
      <c r="Z1547" t="s">
        <v>3179</v>
      </c>
      <c r="AA1547" t="s">
        <v>118</v>
      </c>
      <c r="AB1547" t="s">
        <v>97</v>
      </c>
      <c r="AC1547" t="s">
        <v>118</v>
      </c>
    </row>
    <row r="1548" spans="1:29">
      <c r="A1548" t="s">
        <v>1965</v>
      </c>
      <c r="B1548" s="2">
        <v>46203</v>
      </c>
      <c r="C1548" t="s">
        <v>30</v>
      </c>
      <c r="D1548" t="s">
        <v>31</v>
      </c>
      <c r="E1548" t="s">
        <v>152</v>
      </c>
      <c r="F1548" t="s">
        <v>205</v>
      </c>
      <c r="G1548" t="s">
        <v>328</v>
      </c>
      <c r="H1548" t="s">
        <v>283</v>
      </c>
      <c r="I1548" t="s">
        <v>474</v>
      </c>
      <c r="J1548" t="s">
        <v>3098</v>
      </c>
      <c r="K1548" t="s">
        <v>37</v>
      </c>
      <c r="L1548" t="s">
        <v>80</v>
      </c>
      <c r="M1548" t="s">
        <v>39</v>
      </c>
      <c r="N1548" t="s">
        <v>196</v>
      </c>
      <c r="O1548" s="4">
        <v>7</v>
      </c>
      <c r="P1548" s="4">
        <v>15</v>
      </c>
      <c r="Q1548" t="s">
        <v>138</v>
      </c>
      <c r="R1548" s="2">
        <v>46197</v>
      </c>
      <c r="S1548" s="4">
        <v>6</v>
      </c>
      <c r="T1548" s="3">
        <v>100000000</v>
      </c>
      <c r="U1548" t="s">
        <v>196</v>
      </c>
      <c r="V1548" t="s">
        <v>70</v>
      </c>
      <c r="W1548" t="s">
        <v>197</v>
      </c>
      <c r="Y1548" t="s">
        <v>369</v>
      </c>
      <c r="Z1548" t="s">
        <v>3181</v>
      </c>
      <c r="AA1548" t="s">
        <v>159</v>
      </c>
      <c r="AB1548" t="s">
        <v>199</v>
      </c>
      <c r="AC1548" t="s">
        <v>159</v>
      </c>
    </row>
    <row r="1549" spans="1:29">
      <c r="A1549" t="s">
        <v>1966</v>
      </c>
      <c r="B1549" s="2">
        <v>46175</v>
      </c>
      <c r="C1549" t="s">
        <v>30</v>
      </c>
      <c r="D1549" t="s">
        <v>134</v>
      </c>
      <c r="E1549" t="s">
        <v>111</v>
      </c>
      <c r="F1549" t="s">
        <v>264</v>
      </c>
      <c r="G1549" t="s">
        <v>265</v>
      </c>
      <c r="H1549" t="s">
        <v>127</v>
      </c>
      <c r="I1549" t="s">
        <v>654</v>
      </c>
      <c r="J1549" t="s">
        <v>3142</v>
      </c>
      <c r="K1549" t="s">
        <v>105</v>
      </c>
      <c r="L1549" t="s">
        <v>80</v>
      </c>
      <c r="M1549" t="s">
        <v>56</v>
      </c>
      <c r="N1549" t="s">
        <v>94</v>
      </c>
      <c r="O1549" s="4">
        <v>4</v>
      </c>
      <c r="P1549" s="4">
        <v>9</v>
      </c>
      <c r="Q1549" t="s">
        <v>83</v>
      </c>
      <c r="R1549" s="2">
        <v>46168</v>
      </c>
      <c r="S1549" s="4">
        <v>35</v>
      </c>
      <c r="T1549" s="3">
        <v>249000000</v>
      </c>
      <c r="U1549" t="s">
        <v>42</v>
      </c>
      <c r="V1549" t="s">
        <v>70</v>
      </c>
      <c r="W1549" t="s">
        <v>95</v>
      </c>
      <c r="Y1549" t="s">
        <v>268</v>
      </c>
      <c r="Z1549" t="s">
        <v>3179</v>
      </c>
      <c r="AA1549" t="s">
        <v>118</v>
      </c>
      <c r="AB1549" t="s">
        <v>97</v>
      </c>
      <c r="AC1549" t="s">
        <v>118</v>
      </c>
    </row>
    <row r="1550" spans="1:29">
      <c r="A1550" t="s">
        <v>1967</v>
      </c>
      <c r="B1550" s="2">
        <v>46196</v>
      </c>
      <c r="C1550" t="s">
        <v>30</v>
      </c>
      <c r="D1550" t="s">
        <v>49</v>
      </c>
      <c r="E1550" t="s">
        <v>32</v>
      </c>
      <c r="F1550" t="s">
        <v>256</v>
      </c>
      <c r="G1550" t="s">
        <v>218</v>
      </c>
      <c r="H1550" t="s">
        <v>258</v>
      </c>
      <c r="I1550" t="s">
        <v>1756</v>
      </c>
      <c r="J1550" t="s">
        <v>3175</v>
      </c>
      <c r="K1550" t="s">
        <v>92</v>
      </c>
      <c r="L1550" t="s">
        <v>55</v>
      </c>
      <c r="M1550" t="s">
        <v>39</v>
      </c>
      <c r="N1550" t="s">
        <v>82</v>
      </c>
      <c r="O1550" s="4">
        <v>1</v>
      </c>
      <c r="P1550" s="4">
        <v>5</v>
      </c>
      <c r="Q1550" t="s">
        <v>107</v>
      </c>
      <c r="R1550" s="2">
        <v>46189</v>
      </c>
      <c r="S1550" s="4">
        <v>14</v>
      </c>
      <c r="T1550" s="3">
        <v>203000000</v>
      </c>
      <c r="U1550" t="s">
        <v>42</v>
      </c>
      <c r="V1550" t="s">
        <v>43</v>
      </c>
      <c r="W1550" t="s">
        <v>84</v>
      </c>
      <c r="Y1550" t="s">
        <v>85</v>
      </c>
      <c r="Z1550" t="s">
        <v>3178</v>
      </c>
      <c r="AA1550" t="s">
        <v>46</v>
      </c>
      <c r="AB1550" t="s">
        <v>87</v>
      </c>
      <c r="AC1550" t="s">
        <v>46</v>
      </c>
    </row>
    <row r="1551" spans="1:29">
      <c r="A1551" t="s">
        <v>1968</v>
      </c>
      <c r="B1551" s="2">
        <v>46195</v>
      </c>
      <c r="C1551" t="s">
        <v>30</v>
      </c>
      <c r="D1551" t="s">
        <v>49</v>
      </c>
      <c r="E1551" t="s">
        <v>32</v>
      </c>
      <c r="F1551" t="s">
        <v>273</v>
      </c>
      <c r="G1551" t="s">
        <v>34</v>
      </c>
      <c r="H1551" t="s">
        <v>35</v>
      </c>
      <c r="I1551" t="s">
        <v>595</v>
      </c>
      <c r="J1551" t="s">
        <v>3128</v>
      </c>
      <c r="K1551" t="s">
        <v>92</v>
      </c>
      <c r="L1551" t="s">
        <v>150</v>
      </c>
      <c r="M1551" t="s">
        <v>39</v>
      </c>
      <c r="N1551" t="s">
        <v>40</v>
      </c>
      <c r="O1551" s="4">
        <v>2</v>
      </c>
      <c r="P1551" s="4">
        <v>3</v>
      </c>
      <c r="Q1551" t="s">
        <v>138</v>
      </c>
      <c r="R1551" s="2">
        <v>46189</v>
      </c>
      <c r="S1551" s="4">
        <v>14</v>
      </c>
      <c r="T1551" s="3">
        <v>178000000</v>
      </c>
      <c r="U1551" t="s">
        <v>42</v>
      </c>
      <c r="V1551" t="s">
        <v>43</v>
      </c>
      <c r="W1551" t="s">
        <v>44</v>
      </c>
      <c r="Y1551" t="s">
        <v>281</v>
      </c>
      <c r="Z1551" t="s">
        <v>3176</v>
      </c>
      <c r="AA1551" t="s">
        <v>46</v>
      </c>
      <c r="AB1551" t="s">
        <v>47</v>
      </c>
      <c r="AC1551" t="s">
        <v>46</v>
      </c>
    </row>
    <row r="1552" spans="1:29">
      <c r="A1552" t="s">
        <v>1969</v>
      </c>
      <c r="B1552" s="2">
        <v>46188</v>
      </c>
      <c r="C1552" t="s">
        <v>30</v>
      </c>
      <c r="D1552" t="s">
        <v>74</v>
      </c>
      <c r="E1552" t="s">
        <v>75</v>
      </c>
      <c r="F1552" t="s">
        <v>76</v>
      </c>
      <c r="G1552" t="s">
        <v>162</v>
      </c>
      <c r="H1552" t="s">
        <v>185</v>
      </c>
      <c r="I1552" t="s">
        <v>795</v>
      </c>
      <c r="J1552" t="s">
        <v>3155</v>
      </c>
      <c r="K1552" t="s">
        <v>92</v>
      </c>
      <c r="L1552" t="s">
        <v>68</v>
      </c>
      <c r="M1552" t="s">
        <v>129</v>
      </c>
      <c r="N1552" t="s">
        <v>94</v>
      </c>
      <c r="O1552" s="4">
        <v>4</v>
      </c>
      <c r="P1552" s="4">
        <v>8</v>
      </c>
      <c r="Q1552" t="s">
        <v>58</v>
      </c>
      <c r="R1552" s="2">
        <v>46181</v>
      </c>
      <c r="S1552" s="4">
        <v>22</v>
      </c>
      <c r="T1552" s="3">
        <v>81000000</v>
      </c>
      <c r="U1552" t="s">
        <v>42</v>
      </c>
      <c r="V1552" t="s">
        <v>59</v>
      </c>
      <c r="W1552" t="s">
        <v>170</v>
      </c>
      <c r="Y1552" t="s">
        <v>108</v>
      </c>
      <c r="Z1552" t="s">
        <v>3179</v>
      </c>
      <c r="AA1552" t="s">
        <v>86</v>
      </c>
      <c r="AB1552" t="s">
        <v>97</v>
      </c>
      <c r="AC1552" t="s">
        <v>86</v>
      </c>
    </row>
    <row r="1553" spans="1:29">
      <c r="A1553" t="s">
        <v>1970</v>
      </c>
      <c r="B1553" s="2">
        <v>46174</v>
      </c>
      <c r="C1553" t="s">
        <v>30</v>
      </c>
      <c r="D1553" t="s">
        <v>134</v>
      </c>
      <c r="E1553" t="s">
        <v>50</v>
      </c>
      <c r="F1553" t="s">
        <v>51</v>
      </c>
      <c r="G1553" t="s">
        <v>52</v>
      </c>
      <c r="H1553" t="s">
        <v>53</v>
      </c>
      <c r="I1553" t="s">
        <v>271</v>
      </c>
      <c r="J1553" t="s">
        <v>3038</v>
      </c>
      <c r="K1553" t="s">
        <v>105</v>
      </c>
      <c r="L1553" t="s">
        <v>68</v>
      </c>
      <c r="M1553" t="s">
        <v>81</v>
      </c>
      <c r="N1553" t="s">
        <v>94</v>
      </c>
      <c r="O1553" s="4">
        <v>4</v>
      </c>
      <c r="P1553" s="4">
        <v>6</v>
      </c>
      <c r="Q1553" t="s">
        <v>138</v>
      </c>
      <c r="R1553" s="2">
        <v>46165</v>
      </c>
      <c r="S1553" s="4">
        <v>38</v>
      </c>
      <c r="T1553" s="3">
        <v>153000000</v>
      </c>
      <c r="U1553" t="s">
        <v>42</v>
      </c>
      <c r="V1553" t="s">
        <v>143</v>
      </c>
      <c r="W1553" t="s">
        <v>188</v>
      </c>
      <c r="Y1553" t="s">
        <v>96</v>
      </c>
      <c r="Z1553" t="s">
        <v>3179</v>
      </c>
      <c r="AA1553" t="s">
        <v>62</v>
      </c>
      <c r="AB1553" t="s">
        <v>97</v>
      </c>
      <c r="AC1553" t="s">
        <v>62</v>
      </c>
    </row>
    <row r="1554" spans="1:29">
      <c r="A1554" t="s">
        <v>1971</v>
      </c>
      <c r="B1554" s="2">
        <v>46184</v>
      </c>
      <c r="C1554" t="s">
        <v>30</v>
      </c>
      <c r="D1554" t="s">
        <v>99</v>
      </c>
      <c r="E1554" t="s">
        <v>32</v>
      </c>
      <c r="F1554" t="s">
        <v>256</v>
      </c>
      <c r="G1554" t="s">
        <v>361</v>
      </c>
      <c r="H1554" t="s">
        <v>258</v>
      </c>
      <c r="I1554" t="s">
        <v>1008</v>
      </c>
      <c r="J1554" t="s">
        <v>3170</v>
      </c>
      <c r="K1554" t="s">
        <v>37</v>
      </c>
      <c r="L1554" t="s">
        <v>187</v>
      </c>
      <c r="M1554" t="s">
        <v>39</v>
      </c>
      <c r="N1554" t="s">
        <v>82</v>
      </c>
      <c r="O1554" s="4">
        <v>1</v>
      </c>
      <c r="P1554" s="4">
        <v>5</v>
      </c>
      <c r="Q1554" t="s">
        <v>138</v>
      </c>
      <c r="R1554" s="2">
        <v>46175</v>
      </c>
      <c r="S1554" s="4">
        <v>28</v>
      </c>
      <c r="T1554" s="3">
        <v>185000000</v>
      </c>
      <c r="U1554" t="s">
        <v>177</v>
      </c>
      <c r="V1554" t="s">
        <v>43</v>
      </c>
      <c r="W1554" t="s">
        <v>84</v>
      </c>
      <c r="X1554" t="s">
        <v>422</v>
      </c>
      <c r="Y1554" t="s">
        <v>305</v>
      </c>
      <c r="Z1554" t="s">
        <v>3178</v>
      </c>
      <c r="AA1554" t="s">
        <v>46</v>
      </c>
      <c r="AB1554" t="s">
        <v>87</v>
      </c>
      <c r="AC1554" t="s">
        <v>46</v>
      </c>
    </row>
    <row r="1555" spans="1:29">
      <c r="A1555" t="s">
        <v>1972</v>
      </c>
      <c r="B1555" s="2">
        <v>46174</v>
      </c>
      <c r="C1555" t="s">
        <v>30</v>
      </c>
      <c r="D1555" t="s">
        <v>134</v>
      </c>
      <c r="E1555" t="s">
        <v>152</v>
      </c>
      <c r="F1555" t="s">
        <v>221</v>
      </c>
      <c r="G1555" t="s">
        <v>328</v>
      </c>
      <c r="H1555" t="s">
        <v>155</v>
      </c>
      <c r="I1555" t="s">
        <v>434</v>
      </c>
      <c r="J1555" t="s">
        <v>3083</v>
      </c>
      <c r="K1555" t="s">
        <v>37</v>
      </c>
      <c r="L1555" t="s">
        <v>55</v>
      </c>
      <c r="M1555" t="s">
        <v>129</v>
      </c>
      <c r="N1555" t="s">
        <v>82</v>
      </c>
      <c r="O1555" s="4">
        <v>1</v>
      </c>
      <c r="P1555" s="4">
        <v>13</v>
      </c>
      <c r="Q1555" t="s">
        <v>138</v>
      </c>
      <c r="R1555" s="2">
        <v>46174</v>
      </c>
      <c r="S1555" s="4">
        <v>29</v>
      </c>
      <c r="T1555" s="3">
        <v>207000000</v>
      </c>
      <c r="U1555" t="s">
        <v>42</v>
      </c>
      <c r="V1555" t="s">
        <v>43</v>
      </c>
      <c r="W1555" t="s">
        <v>84</v>
      </c>
      <c r="Y1555" t="s">
        <v>291</v>
      </c>
      <c r="Z1555" t="s">
        <v>3180</v>
      </c>
      <c r="AA1555" t="s">
        <v>159</v>
      </c>
      <c r="AB1555" t="s">
        <v>193</v>
      </c>
      <c r="AC1555" t="s">
        <v>159</v>
      </c>
    </row>
    <row r="1556" spans="1:29">
      <c r="A1556" t="s">
        <v>1973</v>
      </c>
      <c r="B1556" s="2">
        <v>46193</v>
      </c>
      <c r="C1556" t="s">
        <v>30</v>
      </c>
      <c r="D1556" t="s">
        <v>74</v>
      </c>
      <c r="E1556" t="s">
        <v>32</v>
      </c>
      <c r="F1556" t="s">
        <v>273</v>
      </c>
      <c r="G1556" t="s">
        <v>361</v>
      </c>
      <c r="H1556" t="s">
        <v>258</v>
      </c>
      <c r="I1556" t="s">
        <v>297</v>
      </c>
      <c r="J1556" t="s">
        <v>3044</v>
      </c>
      <c r="K1556" t="s">
        <v>56</v>
      </c>
      <c r="L1556" t="s">
        <v>38</v>
      </c>
      <c r="M1556" t="s">
        <v>39</v>
      </c>
      <c r="N1556" t="s">
        <v>130</v>
      </c>
      <c r="O1556" s="4">
        <v>5</v>
      </c>
      <c r="P1556" s="4">
        <v>6</v>
      </c>
      <c r="Q1556" t="s">
        <v>69</v>
      </c>
      <c r="R1556" s="2">
        <v>46189</v>
      </c>
      <c r="S1556" s="4">
        <v>14</v>
      </c>
      <c r="T1556" s="3">
        <v>193000000</v>
      </c>
      <c r="U1556" t="s">
        <v>42</v>
      </c>
      <c r="V1556" t="s">
        <v>70</v>
      </c>
      <c r="W1556" t="s">
        <v>144</v>
      </c>
      <c r="Y1556" t="s">
        <v>254</v>
      </c>
      <c r="Z1556" t="s">
        <v>3179</v>
      </c>
      <c r="AA1556" t="s">
        <v>46</v>
      </c>
      <c r="AB1556" t="s">
        <v>97</v>
      </c>
      <c r="AC1556" t="s">
        <v>46</v>
      </c>
    </row>
    <row r="1557" spans="1:29">
      <c r="A1557" t="s">
        <v>1974</v>
      </c>
      <c r="B1557" s="2">
        <v>46182</v>
      </c>
      <c r="C1557" t="s">
        <v>30</v>
      </c>
      <c r="D1557" t="s">
        <v>99</v>
      </c>
      <c r="E1557" t="s">
        <v>75</v>
      </c>
      <c r="F1557" t="s">
        <v>183</v>
      </c>
      <c r="G1557" t="s">
        <v>77</v>
      </c>
      <c r="H1557" t="s">
        <v>185</v>
      </c>
      <c r="I1557" t="s">
        <v>795</v>
      </c>
      <c r="J1557" t="s">
        <v>3155</v>
      </c>
      <c r="K1557" t="s">
        <v>92</v>
      </c>
      <c r="L1557" t="s">
        <v>68</v>
      </c>
      <c r="M1557" t="s">
        <v>164</v>
      </c>
      <c r="N1557" t="s">
        <v>40</v>
      </c>
      <c r="O1557" s="4">
        <v>2</v>
      </c>
      <c r="P1557" s="4">
        <v>7</v>
      </c>
      <c r="Q1557" t="s">
        <v>142</v>
      </c>
      <c r="R1557" s="2">
        <v>46172</v>
      </c>
      <c r="S1557" s="4">
        <v>31</v>
      </c>
      <c r="T1557" s="3">
        <v>207000000</v>
      </c>
      <c r="U1557" t="s">
        <v>42</v>
      </c>
      <c r="V1557" t="s">
        <v>59</v>
      </c>
      <c r="W1557" t="s">
        <v>298</v>
      </c>
      <c r="Y1557" t="s">
        <v>180</v>
      </c>
      <c r="Z1557" t="s">
        <v>3178</v>
      </c>
      <c r="AA1557" t="s">
        <v>86</v>
      </c>
      <c r="AB1557" t="s">
        <v>87</v>
      </c>
      <c r="AC1557" t="s">
        <v>86</v>
      </c>
    </row>
    <row r="1558" spans="1:29">
      <c r="A1558" t="s">
        <v>1975</v>
      </c>
      <c r="B1558" s="2">
        <v>46201</v>
      </c>
      <c r="C1558" t="s">
        <v>30</v>
      </c>
      <c r="D1558" t="s">
        <v>49</v>
      </c>
      <c r="E1558" t="s">
        <v>50</v>
      </c>
      <c r="F1558" t="s">
        <v>51</v>
      </c>
      <c r="G1558" t="s">
        <v>234</v>
      </c>
      <c r="H1558" t="s">
        <v>53</v>
      </c>
      <c r="I1558" t="s">
        <v>373</v>
      </c>
      <c r="J1558" t="s">
        <v>3066</v>
      </c>
      <c r="K1558" t="s">
        <v>105</v>
      </c>
      <c r="L1558" t="s">
        <v>150</v>
      </c>
      <c r="M1558" t="s">
        <v>56</v>
      </c>
      <c r="N1558" t="s">
        <v>94</v>
      </c>
      <c r="O1558" s="4">
        <v>4</v>
      </c>
      <c r="P1558" s="4">
        <v>14</v>
      </c>
      <c r="Q1558" t="s">
        <v>138</v>
      </c>
      <c r="R1558" s="2">
        <v>46196</v>
      </c>
      <c r="S1558" s="4">
        <v>7</v>
      </c>
      <c r="T1558" s="3">
        <v>210000000</v>
      </c>
      <c r="U1558" t="s">
        <v>42</v>
      </c>
      <c r="V1558" t="s">
        <v>70</v>
      </c>
      <c r="W1558" t="s">
        <v>95</v>
      </c>
      <c r="Y1558" t="s">
        <v>228</v>
      </c>
      <c r="Z1558" t="s">
        <v>3179</v>
      </c>
      <c r="AA1558" t="s">
        <v>62</v>
      </c>
      <c r="AB1558" t="s">
        <v>97</v>
      </c>
      <c r="AC1558" t="s">
        <v>62</v>
      </c>
    </row>
    <row r="1559" spans="1:29">
      <c r="A1559" t="s">
        <v>1976</v>
      </c>
      <c r="B1559" s="2">
        <v>46176</v>
      </c>
      <c r="C1559" t="s">
        <v>30</v>
      </c>
      <c r="D1559" t="s">
        <v>134</v>
      </c>
      <c r="E1559" t="s">
        <v>75</v>
      </c>
      <c r="F1559" t="s">
        <v>161</v>
      </c>
      <c r="G1559" t="s">
        <v>230</v>
      </c>
      <c r="H1559" t="s">
        <v>388</v>
      </c>
      <c r="I1559" t="s">
        <v>389</v>
      </c>
      <c r="J1559" t="s">
        <v>3071</v>
      </c>
      <c r="K1559" t="s">
        <v>56</v>
      </c>
      <c r="L1559" t="s">
        <v>80</v>
      </c>
      <c r="M1559" t="s">
        <v>164</v>
      </c>
      <c r="N1559" t="s">
        <v>57</v>
      </c>
      <c r="O1559" s="4">
        <v>3</v>
      </c>
      <c r="P1559" s="4">
        <v>8</v>
      </c>
      <c r="Q1559" t="s">
        <v>138</v>
      </c>
      <c r="R1559" s="2">
        <v>46174</v>
      </c>
      <c r="S1559" s="4">
        <v>29</v>
      </c>
      <c r="T1559" s="3">
        <v>146000000</v>
      </c>
      <c r="U1559" t="s">
        <v>42</v>
      </c>
      <c r="V1559" t="s">
        <v>59</v>
      </c>
      <c r="W1559" t="s">
        <v>157</v>
      </c>
      <c r="Y1559" t="s">
        <v>61</v>
      </c>
      <c r="Z1559" t="s">
        <v>3177</v>
      </c>
      <c r="AA1559" t="s">
        <v>86</v>
      </c>
      <c r="AB1559" t="s">
        <v>63</v>
      </c>
      <c r="AC1559" t="s">
        <v>86</v>
      </c>
    </row>
    <row r="1560" spans="1:29">
      <c r="A1560" t="s">
        <v>1977</v>
      </c>
      <c r="B1560" s="2">
        <v>46199</v>
      </c>
      <c r="C1560" t="s">
        <v>30</v>
      </c>
      <c r="D1560" t="s">
        <v>49</v>
      </c>
      <c r="E1560" t="s">
        <v>120</v>
      </c>
      <c r="F1560" t="s">
        <v>121</v>
      </c>
      <c r="G1560" t="s">
        <v>224</v>
      </c>
      <c r="H1560" t="s">
        <v>136</v>
      </c>
      <c r="I1560" t="s">
        <v>247</v>
      </c>
      <c r="J1560" t="s">
        <v>3035</v>
      </c>
      <c r="K1560" t="s">
        <v>56</v>
      </c>
      <c r="L1560" t="s">
        <v>68</v>
      </c>
      <c r="M1560" t="s">
        <v>129</v>
      </c>
      <c r="N1560" t="s">
        <v>40</v>
      </c>
      <c r="O1560" s="4">
        <v>2</v>
      </c>
      <c r="P1560" s="4">
        <v>11</v>
      </c>
      <c r="Q1560" t="s">
        <v>107</v>
      </c>
      <c r="R1560" s="2">
        <v>46191</v>
      </c>
      <c r="S1560" s="4">
        <v>12</v>
      </c>
      <c r="T1560" s="3">
        <v>401000000</v>
      </c>
      <c r="U1560" t="s">
        <v>42</v>
      </c>
      <c r="V1560" t="s">
        <v>43</v>
      </c>
      <c r="W1560" t="s">
        <v>44</v>
      </c>
      <c r="Y1560" t="s">
        <v>309</v>
      </c>
      <c r="Z1560" t="s">
        <v>3178</v>
      </c>
      <c r="AA1560" t="s">
        <v>97</v>
      </c>
      <c r="AB1560" t="s">
        <v>87</v>
      </c>
      <c r="AC1560" t="s">
        <v>97</v>
      </c>
    </row>
    <row r="1561" spans="1:29">
      <c r="A1561" t="s">
        <v>1978</v>
      </c>
      <c r="B1561" s="2">
        <v>46176</v>
      </c>
      <c r="C1561" t="s">
        <v>30</v>
      </c>
      <c r="D1561" t="s">
        <v>134</v>
      </c>
      <c r="E1561" t="s">
        <v>100</v>
      </c>
      <c r="F1561" t="s">
        <v>140</v>
      </c>
      <c r="G1561" t="s">
        <v>147</v>
      </c>
      <c r="H1561" t="s">
        <v>201</v>
      </c>
      <c r="I1561" t="s">
        <v>554</v>
      </c>
      <c r="J1561" t="s">
        <v>3117</v>
      </c>
      <c r="K1561" t="s">
        <v>116</v>
      </c>
      <c r="L1561" t="s">
        <v>187</v>
      </c>
      <c r="M1561" t="s">
        <v>81</v>
      </c>
      <c r="N1561" t="s">
        <v>196</v>
      </c>
      <c r="O1561" s="4">
        <v>7</v>
      </c>
      <c r="P1561" s="4">
        <v>19</v>
      </c>
      <c r="Q1561" t="s">
        <v>142</v>
      </c>
      <c r="R1561" s="2">
        <v>46174</v>
      </c>
      <c r="S1561" s="4">
        <v>29</v>
      </c>
      <c r="T1561" s="3">
        <v>176000000</v>
      </c>
      <c r="U1561" t="s">
        <v>196</v>
      </c>
      <c r="V1561" t="s">
        <v>70</v>
      </c>
      <c r="W1561" t="s">
        <v>243</v>
      </c>
      <c r="Y1561" t="s">
        <v>210</v>
      </c>
      <c r="Z1561" t="s">
        <v>3181</v>
      </c>
      <c r="AA1561" t="s">
        <v>109</v>
      </c>
      <c r="AB1561" t="s">
        <v>199</v>
      </c>
      <c r="AC1561" t="s">
        <v>109</v>
      </c>
    </row>
    <row r="1562" spans="1:29">
      <c r="A1562" t="s">
        <v>1979</v>
      </c>
      <c r="B1562" s="2">
        <v>46199</v>
      </c>
      <c r="C1562" t="s">
        <v>30</v>
      </c>
      <c r="D1562" t="s">
        <v>49</v>
      </c>
      <c r="E1562" t="s">
        <v>32</v>
      </c>
      <c r="F1562" t="s">
        <v>273</v>
      </c>
      <c r="G1562" t="s">
        <v>218</v>
      </c>
      <c r="H1562" t="s">
        <v>258</v>
      </c>
      <c r="I1562" t="s">
        <v>1008</v>
      </c>
      <c r="J1562" t="s">
        <v>3170</v>
      </c>
      <c r="K1562" t="s">
        <v>105</v>
      </c>
      <c r="L1562" t="s">
        <v>38</v>
      </c>
      <c r="M1562" t="s">
        <v>56</v>
      </c>
      <c r="N1562" t="s">
        <v>82</v>
      </c>
      <c r="O1562" s="4">
        <v>1</v>
      </c>
      <c r="P1562" s="4">
        <v>3</v>
      </c>
      <c r="Q1562" t="s">
        <v>142</v>
      </c>
      <c r="R1562" s="2">
        <v>46199</v>
      </c>
      <c r="S1562" s="4">
        <v>4</v>
      </c>
      <c r="T1562" s="3">
        <v>339000000</v>
      </c>
      <c r="U1562" t="s">
        <v>42</v>
      </c>
      <c r="V1562" t="s">
        <v>43</v>
      </c>
      <c r="W1562" t="s">
        <v>290</v>
      </c>
      <c r="Y1562" t="s">
        <v>85</v>
      </c>
      <c r="Z1562" t="s">
        <v>3176</v>
      </c>
      <c r="AA1562" t="s">
        <v>46</v>
      </c>
      <c r="AB1562" t="s">
        <v>47</v>
      </c>
      <c r="AC1562" t="s">
        <v>46</v>
      </c>
    </row>
    <row r="1563" spans="1:29">
      <c r="A1563" t="s">
        <v>1980</v>
      </c>
      <c r="B1563" s="2">
        <v>46193</v>
      </c>
      <c r="C1563" t="s">
        <v>30</v>
      </c>
      <c r="D1563" t="s">
        <v>74</v>
      </c>
      <c r="E1563" t="s">
        <v>50</v>
      </c>
      <c r="F1563" t="s">
        <v>51</v>
      </c>
      <c r="G1563" t="s">
        <v>270</v>
      </c>
      <c r="H1563" t="s">
        <v>66</v>
      </c>
      <c r="I1563" t="s">
        <v>67</v>
      </c>
      <c r="J1563" t="s">
        <v>3010</v>
      </c>
      <c r="K1563" t="s">
        <v>92</v>
      </c>
      <c r="L1563" t="s">
        <v>150</v>
      </c>
      <c r="M1563" t="s">
        <v>39</v>
      </c>
      <c r="N1563" t="s">
        <v>57</v>
      </c>
      <c r="O1563" s="4">
        <v>3</v>
      </c>
      <c r="P1563" s="4">
        <v>12</v>
      </c>
      <c r="Q1563" t="s">
        <v>69</v>
      </c>
      <c r="R1563" s="2">
        <v>46186</v>
      </c>
      <c r="S1563" s="4">
        <v>17</v>
      </c>
      <c r="T1563" s="3">
        <v>50000000</v>
      </c>
      <c r="U1563" t="s">
        <v>42</v>
      </c>
      <c r="V1563" t="s">
        <v>43</v>
      </c>
      <c r="W1563" t="s">
        <v>157</v>
      </c>
      <c r="Y1563" t="s">
        <v>165</v>
      </c>
      <c r="Z1563" t="s">
        <v>3180</v>
      </c>
      <c r="AA1563" t="s">
        <v>62</v>
      </c>
      <c r="AB1563" t="s">
        <v>193</v>
      </c>
      <c r="AC1563" t="s">
        <v>62</v>
      </c>
    </row>
    <row r="1564" spans="1:29">
      <c r="A1564" t="s">
        <v>1981</v>
      </c>
      <c r="B1564" s="2">
        <v>46183</v>
      </c>
      <c r="C1564" t="s">
        <v>30</v>
      </c>
      <c r="D1564" t="s">
        <v>99</v>
      </c>
      <c r="E1564" t="s">
        <v>100</v>
      </c>
      <c r="F1564" t="s">
        <v>101</v>
      </c>
      <c r="G1564" t="s">
        <v>147</v>
      </c>
      <c r="H1564" t="s">
        <v>148</v>
      </c>
      <c r="I1564" t="s">
        <v>149</v>
      </c>
      <c r="J1564" t="s">
        <v>3019</v>
      </c>
      <c r="K1564" t="s">
        <v>92</v>
      </c>
      <c r="L1564" t="s">
        <v>68</v>
      </c>
      <c r="M1564" t="s">
        <v>164</v>
      </c>
      <c r="N1564" t="s">
        <v>196</v>
      </c>
      <c r="O1564" s="4">
        <v>7</v>
      </c>
      <c r="P1564" s="4">
        <v>20</v>
      </c>
      <c r="Q1564" t="s">
        <v>138</v>
      </c>
      <c r="R1564" s="2">
        <v>46180</v>
      </c>
      <c r="S1564" s="4">
        <v>23</v>
      </c>
      <c r="T1564" s="3">
        <v>243000000</v>
      </c>
      <c r="U1564" t="s">
        <v>564</v>
      </c>
      <c r="V1564" t="s">
        <v>70</v>
      </c>
      <c r="W1564" t="s">
        <v>197</v>
      </c>
      <c r="Y1564" t="s">
        <v>369</v>
      </c>
      <c r="Z1564" t="s">
        <v>3181</v>
      </c>
      <c r="AA1564" t="s">
        <v>109</v>
      </c>
      <c r="AB1564" t="s">
        <v>199</v>
      </c>
      <c r="AC1564" t="s">
        <v>109</v>
      </c>
    </row>
    <row r="1565" spans="1:29">
      <c r="A1565" t="s">
        <v>1982</v>
      </c>
      <c r="B1565" s="2">
        <v>46197</v>
      </c>
      <c r="C1565" t="s">
        <v>30</v>
      </c>
      <c r="D1565" t="s">
        <v>49</v>
      </c>
      <c r="E1565" t="s">
        <v>152</v>
      </c>
      <c r="F1565" t="s">
        <v>153</v>
      </c>
      <c r="G1565" t="s">
        <v>286</v>
      </c>
      <c r="H1565" t="s">
        <v>155</v>
      </c>
      <c r="I1565" t="s">
        <v>375</v>
      </c>
      <c r="J1565" t="s">
        <v>3067</v>
      </c>
      <c r="K1565" t="s">
        <v>92</v>
      </c>
      <c r="L1565" t="s">
        <v>80</v>
      </c>
      <c r="M1565" t="s">
        <v>39</v>
      </c>
      <c r="N1565" t="s">
        <v>94</v>
      </c>
      <c r="O1565" s="4">
        <v>4</v>
      </c>
      <c r="P1565" s="4">
        <v>11</v>
      </c>
      <c r="Q1565" t="s">
        <v>58</v>
      </c>
      <c r="R1565" s="2">
        <v>46192</v>
      </c>
      <c r="S1565" s="4">
        <v>11</v>
      </c>
      <c r="T1565" s="3">
        <v>188000000</v>
      </c>
      <c r="U1565" t="s">
        <v>42</v>
      </c>
      <c r="V1565" t="s">
        <v>70</v>
      </c>
      <c r="W1565" t="s">
        <v>95</v>
      </c>
      <c r="Y1565" t="s">
        <v>96</v>
      </c>
      <c r="Z1565" t="s">
        <v>3179</v>
      </c>
      <c r="AA1565" t="s">
        <v>159</v>
      </c>
      <c r="AB1565" t="s">
        <v>97</v>
      </c>
      <c r="AC1565" t="s">
        <v>159</v>
      </c>
    </row>
    <row r="1566" spans="1:29">
      <c r="A1566" t="s">
        <v>1983</v>
      </c>
      <c r="B1566" s="2">
        <v>46182</v>
      </c>
      <c r="C1566" t="s">
        <v>30</v>
      </c>
      <c r="D1566" t="s">
        <v>99</v>
      </c>
      <c r="E1566" t="s">
        <v>75</v>
      </c>
      <c r="F1566" t="s">
        <v>161</v>
      </c>
      <c r="G1566" t="s">
        <v>162</v>
      </c>
      <c r="H1566" t="s">
        <v>185</v>
      </c>
      <c r="I1566" t="s">
        <v>428</v>
      </c>
      <c r="J1566" t="s">
        <v>3081</v>
      </c>
      <c r="K1566" t="s">
        <v>37</v>
      </c>
      <c r="L1566" t="s">
        <v>169</v>
      </c>
      <c r="M1566" t="s">
        <v>39</v>
      </c>
      <c r="N1566" t="s">
        <v>40</v>
      </c>
      <c r="O1566" s="4">
        <v>2</v>
      </c>
      <c r="P1566" s="4">
        <v>6</v>
      </c>
      <c r="Q1566" t="s">
        <v>142</v>
      </c>
      <c r="R1566" s="2">
        <v>46172</v>
      </c>
      <c r="S1566" s="4">
        <v>31</v>
      </c>
      <c r="T1566" s="3">
        <v>106000000</v>
      </c>
      <c r="U1566" t="s">
        <v>42</v>
      </c>
      <c r="V1566" t="s">
        <v>43</v>
      </c>
      <c r="W1566" t="s">
        <v>44</v>
      </c>
      <c r="Y1566" t="s">
        <v>281</v>
      </c>
      <c r="Z1566" t="s">
        <v>3178</v>
      </c>
      <c r="AA1566" t="s">
        <v>86</v>
      </c>
      <c r="AB1566" t="s">
        <v>87</v>
      </c>
      <c r="AC1566" t="s">
        <v>86</v>
      </c>
    </row>
    <row r="1567" spans="1:29">
      <c r="A1567" t="s">
        <v>1984</v>
      </c>
      <c r="B1567" s="2">
        <v>46196</v>
      </c>
      <c r="C1567" t="s">
        <v>30</v>
      </c>
      <c r="D1567" t="s">
        <v>49</v>
      </c>
      <c r="E1567" t="s">
        <v>120</v>
      </c>
      <c r="F1567" t="s">
        <v>246</v>
      </c>
      <c r="G1567" t="s">
        <v>420</v>
      </c>
      <c r="H1567" t="s">
        <v>300</v>
      </c>
      <c r="I1567" t="s">
        <v>830</v>
      </c>
      <c r="J1567" t="s">
        <v>3159</v>
      </c>
      <c r="K1567" t="s">
        <v>37</v>
      </c>
      <c r="L1567" t="s">
        <v>38</v>
      </c>
      <c r="M1567" t="s">
        <v>164</v>
      </c>
      <c r="N1567" t="s">
        <v>130</v>
      </c>
      <c r="O1567" s="4">
        <v>5</v>
      </c>
      <c r="P1567" s="4">
        <v>10</v>
      </c>
      <c r="Q1567" t="s">
        <v>58</v>
      </c>
      <c r="R1567" s="2">
        <v>46196</v>
      </c>
      <c r="S1567" s="4">
        <v>7</v>
      </c>
      <c r="T1567" s="3">
        <v>217000000</v>
      </c>
      <c r="U1567" t="s">
        <v>42</v>
      </c>
      <c r="V1567" t="s">
        <v>70</v>
      </c>
      <c r="W1567" t="s">
        <v>131</v>
      </c>
      <c r="Y1567" t="s">
        <v>334</v>
      </c>
      <c r="Z1567" t="s">
        <v>3179</v>
      </c>
      <c r="AA1567" t="s">
        <v>97</v>
      </c>
      <c r="AB1567" t="s">
        <v>97</v>
      </c>
      <c r="AC1567" t="s">
        <v>97</v>
      </c>
    </row>
    <row r="1568" spans="1:29">
      <c r="A1568" t="s">
        <v>1985</v>
      </c>
      <c r="B1568" s="2">
        <v>46202</v>
      </c>
      <c r="C1568" t="s">
        <v>30</v>
      </c>
      <c r="D1568" t="s">
        <v>31</v>
      </c>
      <c r="E1568" t="s">
        <v>120</v>
      </c>
      <c r="F1568" t="s">
        <v>121</v>
      </c>
      <c r="G1568" t="s">
        <v>224</v>
      </c>
      <c r="H1568" t="s">
        <v>123</v>
      </c>
      <c r="I1568" t="s">
        <v>336</v>
      </c>
      <c r="J1568" t="s">
        <v>3055</v>
      </c>
      <c r="K1568" t="s">
        <v>105</v>
      </c>
      <c r="L1568" t="s">
        <v>187</v>
      </c>
      <c r="M1568" t="s">
        <v>129</v>
      </c>
      <c r="N1568" t="s">
        <v>130</v>
      </c>
      <c r="O1568" s="4">
        <v>5</v>
      </c>
      <c r="P1568" s="4">
        <v>12</v>
      </c>
      <c r="Q1568" t="s">
        <v>107</v>
      </c>
      <c r="R1568" s="2">
        <v>46201</v>
      </c>
      <c r="S1568" s="4">
        <v>2</v>
      </c>
      <c r="T1568" s="3">
        <v>238000000</v>
      </c>
      <c r="U1568" t="s">
        <v>42</v>
      </c>
      <c r="V1568" t="s">
        <v>70</v>
      </c>
      <c r="W1568" t="s">
        <v>131</v>
      </c>
      <c r="X1568" t="s">
        <v>117</v>
      </c>
      <c r="Y1568" t="s">
        <v>334</v>
      </c>
      <c r="Z1568" t="s">
        <v>3179</v>
      </c>
      <c r="AA1568" t="s">
        <v>97</v>
      </c>
      <c r="AB1568" t="s">
        <v>97</v>
      </c>
      <c r="AC1568" t="s">
        <v>97</v>
      </c>
    </row>
    <row r="1569" spans="1:29">
      <c r="A1569" t="s">
        <v>1986</v>
      </c>
      <c r="B1569" s="2">
        <v>46197</v>
      </c>
      <c r="C1569" t="s">
        <v>30</v>
      </c>
      <c r="D1569" t="s">
        <v>49</v>
      </c>
      <c r="E1569" t="s">
        <v>152</v>
      </c>
      <c r="F1569" t="s">
        <v>221</v>
      </c>
      <c r="G1569" t="s">
        <v>328</v>
      </c>
      <c r="H1569" t="s">
        <v>283</v>
      </c>
      <c r="I1569" t="s">
        <v>393</v>
      </c>
      <c r="J1569" t="s">
        <v>3072</v>
      </c>
      <c r="K1569" t="s">
        <v>56</v>
      </c>
      <c r="L1569" t="s">
        <v>169</v>
      </c>
      <c r="M1569" t="s">
        <v>164</v>
      </c>
      <c r="N1569" t="s">
        <v>82</v>
      </c>
      <c r="O1569" s="4">
        <v>1</v>
      </c>
      <c r="P1569" s="4">
        <v>16</v>
      </c>
      <c r="Q1569" t="s">
        <v>138</v>
      </c>
      <c r="R1569" s="2">
        <v>46192</v>
      </c>
      <c r="S1569" s="4">
        <v>11</v>
      </c>
      <c r="T1569" s="3">
        <v>314000000</v>
      </c>
      <c r="U1569" t="s">
        <v>42</v>
      </c>
      <c r="V1569" t="s">
        <v>59</v>
      </c>
      <c r="W1569" t="s">
        <v>359</v>
      </c>
      <c r="Y1569" t="s">
        <v>330</v>
      </c>
      <c r="Z1569" t="s">
        <v>3180</v>
      </c>
      <c r="AA1569" t="s">
        <v>159</v>
      </c>
      <c r="AB1569" t="s">
        <v>193</v>
      </c>
      <c r="AC1569" t="s">
        <v>159</v>
      </c>
    </row>
    <row r="1570" spans="1:29">
      <c r="A1570" t="s">
        <v>1987</v>
      </c>
      <c r="B1570" s="2">
        <v>46176</v>
      </c>
      <c r="C1570" t="s">
        <v>30</v>
      </c>
      <c r="D1570" t="s">
        <v>134</v>
      </c>
      <c r="E1570" t="s">
        <v>111</v>
      </c>
      <c r="F1570" t="s">
        <v>190</v>
      </c>
      <c r="G1570" t="s">
        <v>348</v>
      </c>
      <c r="H1570" t="s">
        <v>127</v>
      </c>
      <c r="I1570" t="s">
        <v>734</v>
      </c>
      <c r="J1570" t="s">
        <v>3150</v>
      </c>
      <c r="K1570" t="s">
        <v>37</v>
      </c>
      <c r="L1570" t="s">
        <v>187</v>
      </c>
      <c r="M1570" t="s">
        <v>164</v>
      </c>
      <c r="N1570" t="s">
        <v>40</v>
      </c>
      <c r="O1570" s="4">
        <v>2</v>
      </c>
      <c r="P1570" s="4">
        <v>12</v>
      </c>
      <c r="Q1570" t="s">
        <v>41</v>
      </c>
      <c r="R1570" s="2">
        <v>46166</v>
      </c>
      <c r="S1570" s="4">
        <v>37</v>
      </c>
      <c r="T1570" s="3">
        <v>73000000</v>
      </c>
      <c r="U1570" t="s">
        <v>42</v>
      </c>
      <c r="V1570" t="s">
        <v>43</v>
      </c>
      <c r="W1570" t="s">
        <v>239</v>
      </c>
      <c r="Y1570" t="s">
        <v>281</v>
      </c>
      <c r="Z1570" t="s">
        <v>3180</v>
      </c>
      <c r="AA1570" t="s">
        <v>118</v>
      </c>
      <c r="AB1570" t="s">
        <v>193</v>
      </c>
      <c r="AC1570" t="s">
        <v>118</v>
      </c>
    </row>
    <row r="1571" spans="1:29">
      <c r="A1571" t="s">
        <v>1988</v>
      </c>
      <c r="B1571" s="2">
        <v>46199</v>
      </c>
      <c r="C1571" t="s">
        <v>30</v>
      </c>
      <c r="D1571" t="s">
        <v>49</v>
      </c>
      <c r="E1571" t="s">
        <v>172</v>
      </c>
      <c r="F1571" t="s">
        <v>173</v>
      </c>
      <c r="G1571" t="s">
        <v>476</v>
      </c>
      <c r="H1571" t="s">
        <v>317</v>
      </c>
      <c r="I1571" t="s">
        <v>534</v>
      </c>
      <c r="J1571" t="s">
        <v>3112</v>
      </c>
      <c r="K1571" t="s">
        <v>37</v>
      </c>
      <c r="L1571" t="s">
        <v>80</v>
      </c>
      <c r="M1571" t="s">
        <v>129</v>
      </c>
      <c r="N1571" t="s">
        <v>94</v>
      </c>
      <c r="O1571" s="4">
        <v>4</v>
      </c>
      <c r="P1571" s="4">
        <v>8</v>
      </c>
      <c r="Q1571" t="s">
        <v>58</v>
      </c>
      <c r="R1571" s="2">
        <v>46198</v>
      </c>
      <c r="S1571" s="4">
        <v>5</v>
      </c>
      <c r="T1571" s="3">
        <v>120000000</v>
      </c>
      <c r="U1571" t="s">
        <v>42</v>
      </c>
      <c r="V1571" t="s">
        <v>59</v>
      </c>
      <c r="W1571" t="s">
        <v>267</v>
      </c>
      <c r="X1571" t="s">
        <v>253</v>
      </c>
      <c r="Y1571" t="s">
        <v>268</v>
      </c>
      <c r="Z1571" t="s">
        <v>3179</v>
      </c>
      <c r="AA1571" t="s">
        <v>181</v>
      </c>
      <c r="AB1571" t="s">
        <v>97</v>
      </c>
      <c r="AC1571" t="s">
        <v>181</v>
      </c>
    </row>
    <row r="1572" spans="1:29">
      <c r="A1572" t="s">
        <v>1989</v>
      </c>
      <c r="B1572" s="2">
        <v>46196</v>
      </c>
      <c r="C1572" t="s">
        <v>30</v>
      </c>
      <c r="D1572" t="s">
        <v>49</v>
      </c>
      <c r="E1572" t="s">
        <v>32</v>
      </c>
      <c r="F1572" t="s">
        <v>273</v>
      </c>
      <c r="G1572" t="s">
        <v>34</v>
      </c>
      <c r="H1572" t="s">
        <v>35</v>
      </c>
      <c r="I1572" t="s">
        <v>323</v>
      </c>
      <c r="J1572" t="s">
        <v>3052</v>
      </c>
      <c r="K1572" t="s">
        <v>56</v>
      </c>
      <c r="L1572" t="s">
        <v>68</v>
      </c>
      <c r="M1572" t="s">
        <v>106</v>
      </c>
      <c r="N1572" t="s">
        <v>40</v>
      </c>
      <c r="O1572" s="4">
        <v>2</v>
      </c>
      <c r="P1572" s="4">
        <v>3</v>
      </c>
      <c r="Q1572" t="s">
        <v>41</v>
      </c>
      <c r="R1572" s="2">
        <v>46192</v>
      </c>
      <c r="S1572" s="4">
        <v>11</v>
      </c>
      <c r="T1572" s="3">
        <v>298000000</v>
      </c>
      <c r="U1572" t="s">
        <v>42</v>
      </c>
      <c r="V1572" t="s">
        <v>43</v>
      </c>
      <c r="W1572" t="s">
        <v>44</v>
      </c>
      <c r="Y1572" t="s">
        <v>45</v>
      </c>
      <c r="Z1572" t="s">
        <v>3176</v>
      </c>
      <c r="AA1572" t="s">
        <v>46</v>
      </c>
      <c r="AB1572" t="s">
        <v>47</v>
      </c>
      <c r="AC1572" t="s">
        <v>46</v>
      </c>
    </row>
    <row r="1573" spans="1:29">
      <c r="A1573" t="s">
        <v>1990</v>
      </c>
      <c r="B1573" s="2">
        <v>46181</v>
      </c>
      <c r="C1573" t="s">
        <v>30</v>
      </c>
      <c r="D1573" t="s">
        <v>99</v>
      </c>
      <c r="E1573" t="s">
        <v>111</v>
      </c>
      <c r="F1573" t="s">
        <v>112</v>
      </c>
      <c r="G1573" t="s">
        <v>113</v>
      </c>
      <c r="H1573" t="s">
        <v>114</v>
      </c>
      <c r="I1573" t="s">
        <v>1078</v>
      </c>
      <c r="J1573" t="s">
        <v>3172</v>
      </c>
      <c r="K1573" t="s">
        <v>37</v>
      </c>
      <c r="L1573" t="s">
        <v>187</v>
      </c>
      <c r="M1573" t="s">
        <v>164</v>
      </c>
      <c r="N1573" t="s">
        <v>130</v>
      </c>
      <c r="O1573" s="4">
        <v>5</v>
      </c>
      <c r="P1573" s="4">
        <v>11</v>
      </c>
      <c r="Q1573" t="s">
        <v>58</v>
      </c>
      <c r="R1573" s="2">
        <v>46176</v>
      </c>
      <c r="S1573" s="4">
        <v>27</v>
      </c>
      <c r="T1573" s="3">
        <v>191000000</v>
      </c>
      <c r="U1573" t="s">
        <v>260</v>
      </c>
      <c r="V1573" t="s">
        <v>143</v>
      </c>
      <c r="W1573" t="s">
        <v>131</v>
      </c>
      <c r="X1573" t="s">
        <v>261</v>
      </c>
      <c r="Y1573" t="s">
        <v>334</v>
      </c>
      <c r="Z1573" t="s">
        <v>3179</v>
      </c>
      <c r="AA1573" t="s">
        <v>118</v>
      </c>
      <c r="AB1573" t="s">
        <v>97</v>
      </c>
      <c r="AC1573" t="s">
        <v>118</v>
      </c>
    </row>
    <row r="1574" spans="1:29">
      <c r="A1574" t="s">
        <v>1991</v>
      </c>
      <c r="B1574" s="2">
        <v>46193</v>
      </c>
      <c r="C1574" t="s">
        <v>30</v>
      </c>
      <c r="D1574" t="s">
        <v>74</v>
      </c>
      <c r="E1574" t="s">
        <v>75</v>
      </c>
      <c r="F1574" t="s">
        <v>161</v>
      </c>
      <c r="G1574" t="s">
        <v>162</v>
      </c>
      <c r="H1574" t="s">
        <v>78</v>
      </c>
      <c r="I1574" t="s">
        <v>810</v>
      </c>
      <c r="J1574" t="s">
        <v>3157</v>
      </c>
      <c r="K1574" t="s">
        <v>105</v>
      </c>
      <c r="L1574" t="s">
        <v>68</v>
      </c>
      <c r="M1574" t="s">
        <v>106</v>
      </c>
      <c r="N1574" t="s">
        <v>213</v>
      </c>
      <c r="O1574" s="4">
        <v>6</v>
      </c>
      <c r="P1574" s="4">
        <v>8</v>
      </c>
      <c r="Q1574" t="s">
        <v>69</v>
      </c>
      <c r="R1574" s="2">
        <v>46184</v>
      </c>
      <c r="S1574" s="4">
        <v>19</v>
      </c>
      <c r="T1574" s="3">
        <v>317000000</v>
      </c>
      <c r="U1574" t="s">
        <v>214</v>
      </c>
      <c r="V1574" t="s">
        <v>70</v>
      </c>
      <c r="W1574" t="s">
        <v>390</v>
      </c>
      <c r="Y1574" t="s">
        <v>424</v>
      </c>
      <c r="Z1574" t="s">
        <v>3179</v>
      </c>
      <c r="AA1574" t="s">
        <v>86</v>
      </c>
      <c r="AB1574" t="s">
        <v>97</v>
      </c>
      <c r="AC1574" t="s">
        <v>86</v>
      </c>
    </row>
    <row r="1575" spans="1:29">
      <c r="A1575" t="s">
        <v>1992</v>
      </c>
      <c r="B1575" s="2">
        <v>46180</v>
      </c>
      <c r="C1575" t="s">
        <v>30</v>
      </c>
      <c r="D1575" t="s">
        <v>134</v>
      </c>
      <c r="E1575" t="s">
        <v>32</v>
      </c>
      <c r="F1575" t="s">
        <v>273</v>
      </c>
      <c r="G1575" t="s">
        <v>257</v>
      </c>
      <c r="H1575" t="s">
        <v>258</v>
      </c>
      <c r="I1575" t="s">
        <v>297</v>
      </c>
      <c r="J1575" t="s">
        <v>3044</v>
      </c>
      <c r="K1575" t="s">
        <v>105</v>
      </c>
      <c r="L1575" t="s">
        <v>38</v>
      </c>
      <c r="M1575" t="s">
        <v>81</v>
      </c>
      <c r="N1575" t="s">
        <v>40</v>
      </c>
      <c r="O1575" s="4">
        <v>2</v>
      </c>
      <c r="P1575" s="4">
        <v>4</v>
      </c>
      <c r="Q1575" t="s">
        <v>69</v>
      </c>
      <c r="R1575" s="2">
        <v>46174</v>
      </c>
      <c r="S1575" s="4">
        <v>29</v>
      </c>
      <c r="T1575" s="3">
        <v>78000000</v>
      </c>
      <c r="U1575" t="s">
        <v>42</v>
      </c>
      <c r="V1575" t="s">
        <v>43</v>
      </c>
      <c r="W1575" t="s">
        <v>178</v>
      </c>
      <c r="Y1575" t="s">
        <v>45</v>
      </c>
      <c r="Z1575" t="s">
        <v>3176</v>
      </c>
      <c r="AA1575" t="s">
        <v>46</v>
      </c>
      <c r="AB1575" t="s">
        <v>47</v>
      </c>
      <c r="AC1575" t="s">
        <v>46</v>
      </c>
    </row>
    <row r="1576" spans="1:29">
      <c r="A1576" t="s">
        <v>1993</v>
      </c>
      <c r="B1576" s="2">
        <v>46177</v>
      </c>
      <c r="C1576" t="s">
        <v>30</v>
      </c>
      <c r="D1576" t="s">
        <v>134</v>
      </c>
      <c r="E1576" t="s">
        <v>100</v>
      </c>
      <c r="F1576" t="s">
        <v>146</v>
      </c>
      <c r="G1576" t="s">
        <v>147</v>
      </c>
      <c r="H1576" t="s">
        <v>201</v>
      </c>
      <c r="I1576" t="s">
        <v>554</v>
      </c>
      <c r="J1576" t="s">
        <v>3117</v>
      </c>
      <c r="K1576" t="s">
        <v>92</v>
      </c>
      <c r="L1576" t="s">
        <v>80</v>
      </c>
      <c r="M1576" t="s">
        <v>129</v>
      </c>
      <c r="N1576" t="s">
        <v>57</v>
      </c>
      <c r="O1576" s="4">
        <v>3</v>
      </c>
      <c r="P1576" s="4">
        <v>7</v>
      </c>
      <c r="Q1576" t="s">
        <v>41</v>
      </c>
      <c r="R1576" s="2">
        <v>46172</v>
      </c>
      <c r="S1576" s="4">
        <v>31</v>
      </c>
      <c r="T1576" s="3">
        <v>221000000</v>
      </c>
      <c r="U1576" t="s">
        <v>42</v>
      </c>
      <c r="V1576" t="s">
        <v>43</v>
      </c>
      <c r="W1576" t="s">
        <v>157</v>
      </c>
      <c r="Y1576" t="s">
        <v>165</v>
      </c>
      <c r="Z1576" t="s">
        <v>3177</v>
      </c>
      <c r="AA1576" t="s">
        <v>109</v>
      </c>
      <c r="AB1576" t="s">
        <v>63</v>
      </c>
      <c r="AC1576" t="s">
        <v>109</v>
      </c>
    </row>
    <row r="1577" spans="1:29">
      <c r="A1577" t="s">
        <v>1994</v>
      </c>
      <c r="B1577" s="2">
        <v>46175</v>
      </c>
      <c r="C1577" t="s">
        <v>30</v>
      </c>
      <c r="D1577" t="s">
        <v>134</v>
      </c>
      <c r="E1577" t="s">
        <v>152</v>
      </c>
      <c r="F1577" t="s">
        <v>205</v>
      </c>
      <c r="G1577" t="s">
        <v>294</v>
      </c>
      <c r="H1577" t="s">
        <v>155</v>
      </c>
      <c r="I1577" t="s">
        <v>443</v>
      </c>
      <c r="J1577" t="s">
        <v>3086</v>
      </c>
      <c r="K1577" t="s">
        <v>105</v>
      </c>
      <c r="L1577" t="s">
        <v>169</v>
      </c>
      <c r="M1577" t="s">
        <v>106</v>
      </c>
      <c r="N1577" t="s">
        <v>40</v>
      </c>
      <c r="O1577" s="4">
        <v>2</v>
      </c>
      <c r="P1577" s="4">
        <v>8</v>
      </c>
      <c r="Q1577" t="s">
        <v>69</v>
      </c>
      <c r="R1577" s="2">
        <v>46167</v>
      </c>
      <c r="S1577" s="4">
        <v>36</v>
      </c>
      <c r="T1577" s="3">
        <v>124000000</v>
      </c>
      <c r="U1577" t="s">
        <v>42</v>
      </c>
      <c r="V1577" t="s">
        <v>43</v>
      </c>
      <c r="W1577" t="s">
        <v>239</v>
      </c>
      <c r="Y1577" t="s">
        <v>45</v>
      </c>
      <c r="Z1577" t="s">
        <v>3178</v>
      </c>
      <c r="AA1577" t="s">
        <v>159</v>
      </c>
      <c r="AB1577" t="s">
        <v>87</v>
      </c>
      <c r="AC1577" t="s">
        <v>159</v>
      </c>
    </row>
    <row r="1578" spans="1:29">
      <c r="A1578" t="s">
        <v>1995</v>
      </c>
      <c r="B1578" s="2">
        <v>46190</v>
      </c>
      <c r="C1578" t="s">
        <v>30</v>
      </c>
      <c r="D1578" t="s">
        <v>74</v>
      </c>
      <c r="E1578" t="s">
        <v>100</v>
      </c>
      <c r="F1578" t="s">
        <v>140</v>
      </c>
      <c r="G1578" t="s">
        <v>237</v>
      </c>
      <c r="H1578" t="s">
        <v>201</v>
      </c>
      <c r="I1578" t="s">
        <v>608</v>
      </c>
      <c r="J1578" t="s">
        <v>3132</v>
      </c>
      <c r="K1578" t="s">
        <v>92</v>
      </c>
      <c r="L1578" t="s">
        <v>169</v>
      </c>
      <c r="M1578" t="s">
        <v>106</v>
      </c>
      <c r="N1578" t="s">
        <v>40</v>
      </c>
      <c r="O1578" s="4">
        <v>2</v>
      </c>
      <c r="P1578" s="4">
        <v>9</v>
      </c>
      <c r="Q1578" t="s">
        <v>69</v>
      </c>
      <c r="R1578" s="2">
        <v>46186</v>
      </c>
      <c r="S1578" s="4">
        <v>17</v>
      </c>
      <c r="T1578" s="3">
        <v>136000000</v>
      </c>
      <c r="U1578" t="s">
        <v>42</v>
      </c>
      <c r="V1578" t="s">
        <v>43</v>
      </c>
      <c r="W1578" t="s">
        <v>44</v>
      </c>
      <c r="Y1578" t="s">
        <v>281</v>
      </c>
      <c r="Z1578" t="s">
        <v>3178</v>
      </c>
      <c r="AA1578" t="s">
        <v>109</v>
      </c>
      <c r="AB1578" t="s">
        <v>87</v>
      </c>
      <c r="AC1578" t="s">
        <v>109</v>
      </c>
    </row>
    <row r="1579" spans="1:29">
      <c r="A1579" t="s">
        <v>1996</v>
      </c>
      <c r="B1579" s="2">
        <v>46199</v>
      </c>
      <c r="C1579" t="s">
        <v>30</v>
      </c>
      <c r="D1579" t="s">
        <v>49</v>
      </c>
      <c r="E1579" t="s">
        <v>50</v>
      </c>
      <c r="F1579" t="s">
        <v>89</v>
      </c>
      <c r="G1579" t="s">
        <v>343</v>
      </c>
      <c r="H1579" t="s">
        <v>66</v>
      </c>
      <c r="I1579" t="s">
        <v>280</v>
      </c>
      <c r="J1579" t="s">
        <v>3040</v>
      </c>
      <c r="K1579" t="s">
        <v>56</v>
      </c>
      <c r="L1579" t="s">
        <v>38</v>
      </c>
      <c r="M1579" t="s">
        <v>56</v>
      </c>
      <c r="N1579" t="s">
        <v>57</v>
      </c>
      <c r="O1579" s="4">
        <v>3</v>
      </c>
      <c r="P1579" s="4">
        <v>13</v>
      </c>
      <c r="Q1579" t="s">
        <v>107</v>
      </c>
      <c r="R1579" s="2">
        <v>46196</v>
      </c>
      <c r="S1579" s="4">
        <v>7</v>
      </c>
      <c r="T1579" s="3">
        <v>91000000</v>
      </c>
      <c r="U1579" t="s">
        <v>42</v>
      </c>
      <c r="V1579" t="s">
        <v>43</v>
      </c>
      <c r="W1579" t="s">
        <v>157</v>
      </c>
      <c r="Y1579" t="s">
        <v>61</v>
      </c>
      <c r="Z1579" t="s">
        <v>3180</v>
      </c>
      <c r="AA1579" t="s">
        <v>62</v>
      </c>
      <c r="AB1579" t="s">
        <v>193</v>
      </c>
      <c r="AC1579" t="s">
        <v>62</v>
      </c>
    </row>
    <row r="1580" spans="1:29">
      <c r="A1580" t="s">
        <v>1997</v>
      </c>
      <c r="B1580" s="2">
        <v>46188</v>
      </c>
      <c r="C1580" t="s">
        <v>30</v>
      </c>
      <c r="D1580" t="s">
        <v>74</v>
      </c>
      <c r="E1580" t="s">
        <v>152</v>
      </c>
      <c r="F1580" t="s">
        <v>153</v>
      </c>
      <c r="G1580" t="s">
        <v>286</v>
      </c>
      <c r="H1580" t="s">
        <v>283</v>
      </c>
      <c r="I1580" t="s">
        <v>472</v>
      </c>
      <c r="J1580" t="s">
        <v>3097</v>
      </c>
      <c r="K1580" t="s">
        <v>56</v>
      </c>
      <c r="L1580" t="s">
        <v>187</v>
      </c>
      <c r="M1580" t="s">
        <v>56</v>
      </c>
      <c r="N1580" t="s">
        <v>57</v>
      </c>
      <c r="O1580" s="4">
        <v>3</v>
      </c>
      <c r="P1580" s="4">
        <v>13</v>
      </c>
      <c r="Q1580" t="s">
        <v>58</v>
      </c>
      <c r="R1580" s="2">
        <v>46183</v>
      </c>
      <c r="S1580" s="4">
        <v>20</v>
      </c>
      <c r="T1580" s="3">
        <v>274000000</v>
      </c>
      <c r="U1580" t="s">
        <v>42</v>
      </c>
      <c r="V1580" t="s">
        <v>59</v>
      </c>
      <c r="W1580" t="s">
        <v>203</v>
      </c>
      <c r="Y1580" t="s">
        <v>158</v>
      </c>
      <c r="Z1580" t="s">
        <v>3180</v>
      </c>
      <c r="AA1580" t="s">
        <v>159</v>
      </c>
      <c r="AB1580" t="s">
        <v>193</v>
      </c>
      <c r="AC1580" t="s">
        <v>159</v>
      </c>
    </row>
    <row r="1581" spans="1:29">
      <c r="A1581" t="s">
        <v>1998</v>
      </c>
      <c r="B1581" s="2">
        <v>46175</v>
      </c>
      <c r="C1581" t="s">
        <v>30</v>
      </c>
      <c r="D1581" t="s">
        <v>134</v>
      </c>
      <c r="E1581" t="s">
        <v>100</v>
      </c>
      <c r="F1581" t="s">
        <v>101</v>
      </c>
      <c r="G1581" t="s">
        <v>212</v>
      </c>
      <c r="H1581" t="s">
        <v>148</v>
      </c>
      <c r="I1581" t="s">
        <v>315</v>
      </c>
      <c r="J1581" t="s">
        <v>3049</v>
      </c>
      <c r="K1581" t="s">
        <v>56</v>
      </c>
      <c r="L1581" t="s">
        <v>55</v>
      </c>
      <c r="M1581" t="s">
        <v>164</v>
      </c>
      <c r="N1581" t="s">
        <v>57</v>
      </c>
      <c r="O1581" s="4">
        <v>3</v>
      </c>
      <c r="P1581" s="4">
        <v>7</v>
      </c>
      <c r="Q1581" t="s">
        <v>142</v>
      </c>
      <c r="R1581" s="2">
        <v>46173</v>
      </c>
      <c r="S1581" s="4">
        <v>30</v>
      </c>
      <c r="T1581" s="3">
        <v>446000000</v>
      </c>
      <c r="U1581" t="s">
        <v>42</v>
      </c>
      <c r="V1581" t="s">
        <v>43</v>
      </c>
      <c r="W1581" t="s">
        <v>71</v>
      </c>
      <c r="Y1581" t="s">
        <v>165</v>
      </c>
      <c r="Z1581" t="s">
        <v>3177</v>
      </c>
      <c r="AA1581" t="s">
        <v>109</v>
      </c>
      <c r="AB1581" t="s">
        <v>63</v>
      </c>
      <c r="AC1581" t="s">
        <v>109</v>
      </c>
    </row>
    <row r="1582" spans="1:29">
      <c r="A1582" t="s">
        <v>1999</v>
      </c>
      <c r="B1582" s="2">
        <v>46193</v>
      </c>
      <c r="C1582" t="s">
        <v>30</v>
      </c>
      <c r="D1582" t="s">
        <v>74</v>
      </c>
      <c r="E1582" t="s">
        <v>172</v>
      </c>
      <c r="F1582" t="s">
        <v>195</v>
      </c>
      <c r="G1582" t="s">
        <v>278</v>
      </c>
      <c r="H1582" t="s">
        <v>175</v>
      </c>
      <c r="I1582" t="s">
        <v>358</v>
      </c>
      <c r="J1582" t="s">
        <v>3062</v>
      </c>
      <c r="K1582" t="s">
        <v>105</v>
      </c>
      <c r="L1582" t="s">
        <v>55</v>
      </c>
      <c r="M1582" t="s">
        <v>39</v>
      </c>
      <c r="N1582" t="s">
        <v>130</v>
      </c>
      <c r="O1582" s="4">
        <v>5</v>
      </c>
      <c r="P1582" s="4">
        <v>8</v>
      </c>
      <c r="Q1582" t="s">
        <v>142</v>
      </c>
      <c r="R1582" s="2">
        <v>46193</v>
      </c>
      <c r="S1582" s="4">
        <v>10</v>
      </c>
      <c r="T1582" s="3">
        <v>121000000</v>
      </c>
      <c r="U1582" t="s">
        <v>42</v>
      </c>
      <c r="V1582" t="s">
        <v>70</v>
      </c>
      <c r="W1582" t="s">
        <v>355</v>
      </c>
      <c r="Y1582" t="s">
        <v>132</v>
      </c>
      <c r="Z1582" t="s">
        <v>3179</v>
      </c>
      <c r="AA1582" t="s">
        <v>181</v>
      </c>
      <c r="AB1582" t="s">
        <v>97</v>
      </c>
      <c r="AC1582" t="s">
        <v>181</v>
      </c>
    </row>
    <row r="1583" spans="1:29">
      <c r="A1583" t="s">
        <v>2000</v>
      </c>
      <c r="B1583" s="2">
        <v>46203</v>
      </c>
      <c r="C1583" t="s">
        <v>30</v>
      </c>
      <c r="D1583" t="s">
        <v>31</v>
      </c>
      <c r="E1583" t="s">
        <v>100</v>
      </c>
      <c r="F1583" t="s">
        <v>146</v>
      </c>
      <c r="G1583" t="s">
        <v>237</v>
      </c>
      <c r="H1583" t="s">
        <v>201</v>
      </c>
      <c r="I1583" t="s">
        <v>202</v>
      </c>
      <c r="J1583" t="s">
        <v>3026</v>
      </c>
      <c r="K1583" t="s">
        <v>37</v>
      </c>
      <c r="L1583" t="s">
        <v>55</v>
      </c>
      <c r="M1583" t="s">
        <v>164</v>
      </c>
      <c r="N1583" t="s">
        <v>196</v>
      </c>
      <c r="O1583" s="4">
        <v>7</v>
      </c>
      <c r="P1583" s="4">
        <v>24</v>
      </c>
      <c r="Q1583" t="s">
        <v>142</v>
      </c>
      <c r="R1583" s="2">
        <v>46197</v>
      </c>
      <c r="S1583" s="4">
        <v>6</v>
      </c>
      <c r="T1583" s="3">
        <v>154000000</v>
      </c>
      <c r="U1583" t="s">
        <v>564</v>
      </c>
      <c r="V1583" t="s">
        <v>70</v>
      </c>
      <c r="W1583" t="s">
        <v>209</v>
      </c>
      <c r="Y1583" t="s">
        <v>244</v>
      </c>
      <c r="Z1583" t="s">
        <v>3181</v>
      </c>
      <c r="AA1583" t="s">
        <v>109</v>
      </c>
      <c r="AB1583" t="s">
        <v>199</v>
      </c>
      <c r="AC1583" t="s">
        <v>109</v>
      </c>
    </row>
    <row r="1584" spans="1:29">
      <c r="A1584" t="s">
        <v>2001</v>
      </c>
      <c r="B1584" s="2">
        <v>46176</v>
      </c>
      <c r="C1584" t="s">
        <v>30</v>
      </c>
      <c r="D1584" t="s">
        <v>134</v>
      </c>
      <c r="E1584" t="s">
        <v>32</v>
      </c>
      <c r="F1584" t="s">
        <v>256</v>
      </c>
      <c r="G1584" t="s">
        <v>34</v>
      </c>
      <c r="H1584" t="s">
        <v>258</v>
      </c>
      <c r="I1584" t="s">
        <v>1756</v>
      </c>
      <c r="J1584" t="s">
        <v>3175</v>
      </c>
      <c r="K1584" t="s">
        <v>56</v>
      </c>
      <c r="L1584" t="s">
        <v>38</v>
      </c>
      <c r="M1584" t="s">
        <v>164</v>
      </c>
      <c r="N1584" t="s">
        <v>94</v>
      </c>
      <c r="O1584" s="4">
        <v>4</v>
      </c>
      <c r="P1584" s="4">
        <v>3</v>
      </c>
      <c r="Q1584" t="s">
        <v>69</v>
      </c>
      <c r="R1584" s="2">
        <v>46172</v>
      </c>
      <c r="S1584" s="4">
        <v>31</v>
      </c>
      <c r="T1584" s="3">
        <v>90000000</v>
      </c>
      <c r="U1584" t="s">
        <v>42</v>
      </c>
      <c r="V1584" t="s">
        <v>143</v>
      </c>
      <c r="W1584" t="s">
        <v>188</v>
      </c>
      <c r="Y1584" t="s">
        <v>228</v>
      </c>
      <c r="Z1584" t="s">
        <v>3179</v>
      </c>
      <c r="AA1584" t="s">
        <v>46</v>
      </c>
      <c r="AB1584" t="s">
        <v>97</v>
      </c>
      <c r="AC1584" t="s">
        <v>46</v>
      </c>
    </row>
    <row r="1585" spans="1:29">
      <c r="A1585" t="s">
        <v>2002</v>
      </c>
      <c r="B1585" s="2">
        <v>46180</v>
      </c>
      <c r="C1585" t="s">
        <v>30</v>
      </c>
      <c r="D1585" t="s">
        <v>134</v>
      </c>
      <c r="E1585" t="s">
        <v>111</v>
      </c>
      <c r="F1585" t="s">
        <v>190</v>
      </c>
      <c r="G1585" t="s">
        <v>126</v>
      </c>
      <c r="H1585" t="s">
        <v>127</v>
      </c>
      <c r="I1585" t="s">
        <v>461</v>
      </c>
      <c r="J1585" t="s">
        <v>3094</v>
      </c>
      <c r="K1585" t="s">
        <v>92</v>
      </c>
      <c r="L1585" t="s">
        <v>68</v>
      </c>
      <c r="M1585" t="s">
        <v>129</v>
      </c>
      <c r="N1585" t="s">
        <v>82</v>
      </c>
      <c r="O1585" s="4">
        <v>1</v>
      </c>
      <c r="P1585" s="4">
        <v>9</v>
      </c>
      <c r="Q1585" t="s">
        <v>107</v>
      </c>
      <c r="R1585" s="2">
        <v>46172</v>
      </c>
      <c r="S1585" s="4">
        <v>31</v>
      </c>
      <c r="T1585" s="3">
        <v>44000000</v>
      </c>
      <c r="U1585" t="s">
        <v>42</v>
      </c>
      <c r="V1585" t="s">
        <v>43</v>
      </c>
      <c r="W1585" t="s">
        <v>359</v>
      </c>
      <c r="Y1585" t="s">
        <v>85</v>
      </c>
      <c r="Z1585" t="s">
        <v>3178</v>
      </c>
      <c r="AA1585" t="s">
        <v>118</v>
      </c>
      <c r="AB1585" t="s">
        <v>87</v>
      </c>
      <c r="AC1585" t="s">
        <v>118</v>
      </c>
    </row>
    <row r="1586" spans="1:29">
      <c r="A1586" t="s">
        <v>2003</v>
      </c>
      <c r="B1586" s="2">
        <v>46188</v>
      </c>
      <c r="C1586" t="s">
        <v>30</v>
      </c>
      <c r="D1586" t="s">
        <v>74</v>
      </c>
      <c r="E1586" t="s">
        <v>152</v>
      </c>
      <c r="F1586" t="s">
        <v>205</v>
      </c>
      <c r="G1586" t="s">
        <v>286</v>
      </c>
      <c r="H1586" t="s">
        <v>207</v>
      </c>
      <c r="I1586" t="s">
        <v>208</v>
      </c>
      <c r="J1586" t="s">
        <v>3027</v>
      </c>
      <c r="K1586" t="s">
        <v>105</v>
      </c>
      <c r="L1586" t="s">
        <v>55</v>
      </c>
      <c r="M1586" t="s">
        <v>129</v>
      </c>
      <c r="N1586" t="s">
        <v>82</v>
      </c>
      <c r="O1586" s="4">
        <v>1</v>
      </c>
      <c r="P1586" s="4">
        <v>6</v>
      </c>
      <c r="Q1586" t="s">
        <v>69</v>
      </c>
      <c r="R1586" s="2">
        <v>46178</v>
      </c>
      <c r="S1586" s="4">
        <v>25</v>
      </c>
      <c r="T1586" s="3">
        <v>197000000</v>
      </c>
      <c r="U1586" t="s">
        <v>42</v>
      </c>
      <c r="V1586" t="s">
        <v>43</v>
      </c>
      <c r="W1586" t="s">
        <v>359</v>
      </c>
      <c r="Y1586" t="s">
        <v>291</v>
      </c>
      <c r="Z1586" t="s">
        <v>3178</v>
      </c>
      <c r="AA1586" t="s">
        <v>159</v>
      </c>
      <c r="AB1586" t="s">
        <v>87</v>
      </c>
      <c r="AC1586" t="s">
        <v>159</v>
      </c>
    </row>
    <row r="1587" spans="1:29">
      <c r="A1587" t="s">
        <v>2004</v>
      </c>
      <c r="B1587" s="2">
        <v>46180</v>
      </c>
      <c r="C1587" t="s">
        <v>30</v>
      </c>
      <c r="D1587" t="s">
        <v>134</v>
      </c>
      <c r="E1587" t="s">
        <v>32</v>
      </c>
      <c r="F1587" t="s">
        <v>256</v>
      </c>
      <c r="G1587" t="s">
        <v>463</v>
      </c>
      <c r="H1587" t="s">
        <v>258</v>
      </c>
      <c r="I1587" t="s">
        <v>593</v>
      </c>
      <c r="J1587" t="s">
        <v>3127</v>
      </c>
      <c r="K1587" t="s">
        <v>56</v>
      </c>
      <c r="L1587" t="s">
        <v>55</v>
      </c>
      <c r="M1587" t="s">
        <v>39</v>
      </c>
      <c r="N1587" t="s">
        <v>82</v>
      </c>
      <c r="O1587" s="4">
        <v>1</v>
      </c>
      <c r="P1587" s="4">
        <v>1</v>
      </c>
      <c r="Q1587" t="s">
        <v>142</v>
      </c>
      <c r="R1587" s="2">
        <v>46175</v>
      </c>
      <c r="S1587" s="4">
        <v>28</v>
      </c>
      <c r="T1587" s="3">
        <v>356000000</v>
      </c>
      <c r="U1587" t="s">
        <v>42</v>
      </c>
      <c r="V1587" t="s">
        <v>43</v>
      </c>
      <c r="W1587" t="s">
        <v>404</v>
      </c>
      <c r="Y1587" t="s">
        <v>85</v>
      </c>
      <c r="Z1587" t="s">
        <v>3176</v>
      </c>
      <c r="AA1587" t="s">
        <v>46</v>
      </c>
      <c r="AB1587" t="s">
        <v>47</v>
      </c>
      <c r="AC1587" t="s">
        <v>46</v>
      </c>
    </row>
    <row r="1588" spans="1:29">
      <c r="A1588" t="s">
        <v>2005</v>
      </c>
      <c r="B1588" s="2">
        <v>46179</v>
      </c>
      <c r="C1588" t="s">
        <v>30</v>
      </c>
      <c r="D1588" t="s">
        <v>134</v>
      </c>
      <c r="E1588" t="s">
        <v>120</v>
      </c>
      <c r="F1588" t="s">
        <v>246</v>
      </c>
      <c r="G1588" t="s">
        <v>420</v>
      </c>
      <c r="H1588" t="s">
        <v>300</v>
      </c>
      <c r="I1588" t="s">
        <v>830</v>
      </c>
      <c r="J1588" t="s">
        <v>3159</v>
      </c>
      <c r="K1588" t="s">
        <v>56</v>
      </c>
      <c r="L1588" t="s">
        <v>38</v>
      </c>
      <c r="M1588" t="s">
        <v>93</v>
      </c>
      <c r="N1588" t="s">
        <v>94</v>
      </c>
      <c r="O1588" s="4">
        <v>4</v>
      </c>
      <c r="P1588" s="4">
        <v>11</v>
      </c>
      <c r="Q1588" t="s">
        <v>138</v>
      </c>
      <c r="R1588" s="2">
        <v>46170</v>
      </c>
      <c r="S1588" s="4">
        <v>33</v>
      </c>
      <c r="T1588" s="3">
        <v>384000000</v>
      </c>
      <c r="U1588" t="s">
        <v>42</v>
      </c>
      <c r="V1588" t="s">
        <v>143</v>
      </c>
      <c r="W1588" t="s">
        <v>188</v>
      </c>
      <c r="Y1588" t="s">
        <v>108</v>
      </c>
      <c r="Z1588" t="s">
        <v>3179</v>
      </c>
      <c r="AA1588" t="s">
        <v>97</v>
      </c>
      <c r="AB1588" t="s">
        <v>97</v>
      </c>
      <c r="AC1588" t="s">
        <v>97</v>
      </c>
    </row>
    <row r="1589" spans="1:29">
      <c r="A1589" t="s">
        <v>2006</v>
      </c>
      <c r="B1589" s="2">
        <v>46182</v>
      </c>
      <c r="C1589" t="s">
        <v>30</v>
      </c>
      <c r="D1589" t="s">
        <v>99</v>
      </c>
      <c r="E1589" t="s">
        <v>75</v>
      </c>
      <c r="F1589" t="s">
        <v>76</v>
      </c>
      <c r="G1589" t="s">
        <v>77</v>
      </c>
      <c r="H1589" t="s">
        <v>388</v>
      </c>
      <c r="I1589" t="s">
        <v>661</v>
      </c>
      <c r="J1589" t="s">
        <v>3144</v>
      </c>
      <c r="K1589" t="s">
        <v>56</v>
      </c>
      <c r="L1589" t="s">
        <v>80</v>
      </c>
      <c r="M1589" t="s">
        <v>93</v>
      </c>
      <c r="N1589" t="s">
        <v>57</v>
      </c>
      <c r="O1589" s="4">
        <v>3</v>
      </c>
      <c r="P1589" s="4">
        <v>8</v>
      </c>
      <c r="Q1589" t="s">
        <v>41</v>
      </c>
      <c r="R1589" s="2">
        <v>46181</v>
      </c>
      <c r="S1589" s="4">
        <v>22</v>
      </c>
      <c r="T1589" s="3">
        <v>326000000</v>
      </c>
      <c r="U1589" t="s">
        <v>42</v>
      </c>
      <c r="V1589" t="s">
        <v>59</v>
      </c>
      <c r="W1589" t="s">
        <v>157</v>
      </c>
      <c r="Y1589" t="s">
        <v>165</v>
      </c>
      <c r="Z1589" t="s">
        <v>3177</v>
      </c>
      <c r="AA1589" t="s">
        <v>86</v>
      </c>
      <c r="AB1589" t="s">
        <v>63</v>
      </c>
      <c r="AC1589" t="s">
        <v>86</v>
      </c>
    </row>
    <row r="1590" spans="1:29">
      <c r="A1590" t="s">
        <v>2007</v>
      </c>
      <c r="B1590" s="2">
        <v>46193</v>
      </c>
      <c r="C1590" t="s">
        <v>30</v>
      </c>
      <c r="D1590" t="s">
        <v>74</v>
      </c>
      <c r="E1590" t="s">
        <v>172</v>
      </c>
      <c r="F1590" t="s">
        <v>277</v>
      </c>
      <c r="G1590" t="s">
        <v>289</v>
      </c>
      <c r="H1590" t="s">
        <v>175</v>
      </c>
      <c r="I1590" t="s">
        <v>358</v>
      </c>
      <c r="J1590" t="s">
        <v>3062</v>
      </c>
      <c r="K1590" t="s">
        <v>105</v>
      </c>
      <c r="L1590" t="s">
        <v>55</v>
      </c>
      <c r="M1590" t="s">
        <v>81</v>
      </c>
      <c r="N1590" t="s">
        <v>213</v>
      </c>
      <c r="O1590" s="4">
        <v>6</v>
      </c>
      <c r="P1590" s="4">
        <v>8</v>
      </c>
      <c r="Q1590" t="s">
        <v>107</v>
      </c>
      <c r="R1590" s="2">
        <v>46191</v>
      </c>
      <c r="S1590" s="4">
        <v>12</v>
      </c>
      <c r="T1590" s="3">
        <v>279000000</v>
      </c>
      <c r="U1590" t="s">
        <v>214</v>
      </c>
      <c r="V1590" t="s">
        <v>70</v>
      </c>
      <c r="W1590" t="s">
        <v>215</v>
      </c>
      <c r="Y1590" t="s">
        <v>432</v>
      </c>
      <c r="Z1590" t="s">
        <v>3179</v>
      </c>
      <c r="AA1590" t="s">
        <v>181</v>
      </c>
      <c r="AB1590" t="s">
        <v>97</v>
      </c>
      <c r="AC1590" t="s">
        <v>181</v>
      </c>
    </row>
    <row r="1591" spans="1:29">
      <c r="A1591" t="s">
        <v>2008</v>
      </c>
      <c r="B1591" s="2">
        <v>46188</v>
      </c>
      <c r="C1591" t="s">
        <v>30</v>
      </c>
      <c r="D1591" t="s">
        <v>74</v>
      </c>
      <c r="E1591" t="s">
        <v>75</v>
      </c>
      <c r="F1591" t="s">
        <v>183</v>
      </c>
      <c r="G1591" t="s">
        <v>77</v>
      </c>
      <c r="H1591" t="s">
        <v>185</v>
      </c>
      <c r="I1591" t="s">
        <v>186</v>
      </c>
      <c r="J1591" t="s">
        <v>3024</v>
      </c>
      <c r="K1591" t="s">
        <v>116</v>
      </c>
      <c r="L1591" t="s">
        <v>169</v>
      </c>
      <c r="M1591" t="s">
        <v>81</v>
      </c>
      <c r="N1591" t="s">
        <v>94</v>
      </c>
      <c r="O1591" s="4">
        <v>4</v>
      </c>
      <c r="P1591" s="4">
        <v>8</v>
      </c>
      <c r="Q1591" t="s">
        <v>107</v>
      </c>
      <c r="R1591" s="2">
        <v>46180</v>
      </c>
      <c r="S1591" s="4">
        <v>23</v>
      </c>
      <c r="T1591" s="3">
        <v>117000000</v>
      </c>
      <c r="U1591" t="s">
        <v>42</v>
      </c>
      <c r="V1591" t="s">
        <v>143</v>
      </c>
      <c r="W1591" t="s">
        <v>188</v>
      </c>
      <c r="Y1591" t="s">
        <v>108</v>
      </c>
      <c r="Z1591" t="s">
        <v>3179</v>
      </c>
      <c r="AA1591" t="s">
        <v>86</v>
      </c>
      <c r="AB1591" t="s">
        <v>97</v>
      </c>
      <c r="AC1591" t="s">
        <v>86</v>
      </c>
    </row>
    <row r="1592" spans="1:29">
      <c r="A1592" t="s">
        <v>2009</v>
      </c>
      <c r="B1592" s="2">
        <v>46187</v>
      </c>
      <c r="C1592" t="s">
        <v>30</v>
      </c>
      <c r="D1592" t="s">
        <v>99</v>
      </c>
      <c r="E1592" t="s">
        <v>50</v>
      </c>
      <c r="F1592" t="s">
        <v>89</v>
      </c>
      <c r="G1592" t="s">
        <v>270</v>
      </c>
      <c r="H1592" t="s">
        <v>66</v>
      </c>
      <c r="I1592" t="s">
        <v>344</v>
      </c>
      <c r="J1592" t="s">
        <v>3057</v>
      </c>
      <c r="K1592" t="s">
        <v>37</v>
      </c>
      <c r="L1592" t="s">
        <v>169</v>
      </c>
      <c r="M1592" t="s">
        <v>93</v>
      </c>
      <c r="N1592" t="s">
        <v>130</v>
      </c>
      <c r="O1592" s="4">
        <v>5</v>
      </c>
      <c r="P1592" s="4">
        <v>9</v>
      </c>
      <c r="Q1592" t="s">
        <v>107</v>
      </c>
      <c r="R1592" s="2">
        <v>46179</v>
      </c>
      <c r="S1592" s="4">
        <v>24</v>
      </c>
      <c r="T1592" s="3">
        <v>286000000</v>
      </c>
      <c r="U1592" t="s">
        <v>42</v>
      </c>
      <c r="V1592" t="s">
        <v>143</v>
      </c>
      <c r="W1592" t="s">
        <v>355</v>
      </c>
      <c r="X1592" t="s">
        <v>117</v>
      </c>
      <c r="Y1592" t="s">
        <v>334</v>
      </c>
      <c r="Z1592" t="s">
        <v>3179</v>
      </c>
      <c r="AA1592" t="s">
        <v>62</v>
      </c>
      <c r="AB1592" t="s">
        <v>97</v>
      </c>
      <c r="AC1592" t="s">
        <v>62</v>
      </c>
    </row>
    <row r="1593" spans="1:29">
      <c r="A1593" t="s">
        <v>2010</v>
      </c>
      <c r="B1593" s="2">
        <v>46183</v>
      </c>
      <c r="C1593" t="s">
        <v>30</v>
      </c>
      <c r="D1593" t="s">
        <v>99</v>
      </c>
      <c r="E1593" t="s">
        <v>172</v>
      </c>
      <c r="F1593" t="s">
        <v>173</v>
      </c>
      <c r="G1593" t="s">
        <v>476</v>
      </c>
      <c r="H1593" t="s">
        <v>241</v>
      </c>
      <c r="I1593" t="s">
        <v>457</v>
      </c>
      <c r="J1593" t="s">
        <v>3092</v>
      </c>
      <c r="K1593" t="s">
        <v>105</v>
      </c>
      <c r="L1593" t="s">
        <v>80</v>
      </c>
      <c r="M1593" t="s">
        <v>129</v>
      </c>
      <c r="N1593" t="s">
        <v>57</v>
      </c>
      <c r="O1593" s="4">
        <v>3</v>
      </c>
      <c r="P1593" s="4">
        <v>5</v>
      </c>
      <c r="Q1593" t="s">
        <v>107</v>
      </c>
      <c r="R1593" s="2">
        <v>46177</v>
      </c>
      <c r="S1593" s="4">
        <v>26</v>
      </c>
      <c r="T1593" s="3">
        <v>83000000</v>
      </c>
      <c r="U1593" t="s">
        <v>42</v>
      </c>
      <c r="V1593" t="s">
        <v>59</v>
      </c>
      <c r="W1593" t="s">
        <v>60</v>
      </c>
      <c r="Y1593" t="s">
        <v>61</v>
      </c>
      <c r="Z1593" t="s">
        <v>3177</v>
      </c>
      <c r="AA1593" t="s">
        <v>181</v>
      </c>
      <c r="AB1593" t="s">
        <v>63</v>
      </c>
      <c r="AC1593" t="s">
        <v>181</v>
      </c>
    </row>
    <row r="1594" spans="1:29">
      <c r="A1594" t="s">
        <v>2011</v>
      </c>
      <c r="B1594" s="2">
        <v>46186</v>
      </c>
      <c r="C1594" t="s">
        <v>30</v>
      </c>
      <c r="D1594" t="s">
        <v>99</v>
      </c>
      <c r="E1594" t="s">
        <v>120</v>
      </c>
      <c r="F1594" t="s">
        <v>121</v>
      </c>
      <c r="G1594" t="s">
        <v>135</v>
      </c>
      <c r="H1594" t="s">
        <v>123</v>
      </c>
      <c r="I1594" t="s">
        <v>124</v>
      </c>
      <c r="J1594" t="s">
        <v>3015</v>
      </c>
      <c r="K1594" t="s">
        <v>37</v>
      </c>
      <c r="L1594" t="s">
        <v>68</v>
      </c>
      <c r="M1594" t="s">
        <v>129</v>
      </c>
      <c r="N1594" t="s">
        <v>82</v>
      </c>
      <c r="O1594" s="4">
        <v>1</v>
      </c>
      <c r="P1594" s="4">
        <v>10</v>
      </c>
      <c r="Q1594" t="s">
        <v>138</v>
      </c>
      <c r="R1594" s="2">
        <v>46178</v>
      </c>
      <c r="S1594" s="4">
        <v>25</v>
      </c>
      <c r="T1594" s="3">
        <v>207000000</v>
      </c>
      <c r="U1594" t="s">
        <v>42</v>
      </c>
      <c r="V1594" t="s">
        <v>43</v>
      </c>
      <c r="W1594" t="s">
        <v>404</v>
      </c>
      <c r="Y1594" t="s">
        <v>291</v>
      </c>
      <c r="Z1594" t="s">
        <v>3178</v>
      </c>
      <c r="AA1594" t="s">
        <v>97</v>
      </c>
      <c r="AB1594" t="s">
        <v>87</v>
      </c>
      <c r="AC1594" t="s">
        <v>97</v>
      </c>
    </row>
    <row r="1595" spans="1:29">
      <c r="A1595" t="s">
        <v>2012</v>
      </c>
      <c r="B1595" s="2">
        <v>46187</v>
      </c>
      <c r="C1595" t="s">
        <v>30</v>
      </c>
      <c r="D1595" t="s">
        <v>99</v>
      </c>
      <c r="E1595" t="s">
        <v>111</v>
      </c>
      <c r="F1595" t="s">
        <v>112</v>
      </c>
      <c r="G1595" t="s">
        <v>251</v>
      </c>
      <c r="H1595" t="s">
        <v>114</v>
      </c>
      <c r="I1595" t="s">
        <v>1078</v>
      </c>
      <c r="J1595" t="s">
        <v>3172</v>
      </c>
      <c r="K1595" t="s">
        <v>105</v>
      </c>
      <c r="L1595" t="s">
        <v>80</v>
      </c>
      <c r="M1595" t="s">
        <v>164</v>
      </c>
      <c r="N1595" t="s">
        <v>57</v>
      </c>
      <c r="O1595" s="4">
        <v>3</v>
      </c>
      <c r="P1595" s="4">
        <v>9</v>
      </c>
      <c r="Q1595" t="s">
        <v>138</v>
      </c>
      <c r="R1595" s="2">
        <v>46178</v>
      </c>
      <c r="S1595" s="4">
        <v>25</v>
      </c>
      <c r="T1595" s="3">
        <v>101000000</v>
      </c>
      <c r="U1595" t="s">
        <v>42</v>
      </c>
      <c r="V1595" t="s">
        <v>59</v>
      </c>
      <c r="W1595" t="s">
        <v>203</v>
      </c>
      <c r="Y1595" t="s">
        <v>165</v>
      </c>
      <c r="Z1595" t="s">
        <v>3177</v>
      </c>
      <c r="AA1595" t="s">
        <v>118</v>
      </c>
      <c r="AB1595" t="s">
        <v>63</v>
      </c>
      <c r="AC1595" t="s">
        <v>118</v>
      </c>
    </row>
    <row r="1596" spans="1:29">
      <c r="A1596" t="s">
        <v>2013</v>
      </c>
      <c r="B1596" s="2">
        <v>46194</v>
      </c>
      <c r="C1596" t="s">
        <v>30</v>
      </c>
      <c r="D1596" t="s">
        <v>74</v>
      </c>
      <c r="E1596" t="s">
        <v>50</v>
      </c>
      <c r="F1596" t="s">
        <v>351</v>
      </c>
      <c r="G1596" t="s">
        <v>234</v>
      </c>
      <c r="H1596" t="s">
        <v>90</v>
      </c>
      <c r="I1596" t="s">
        <v>352</v>
      </c>
      <c r="J1596" t="s">
        <v>3060</v>
      </c>
      <c r="K1596" t="s">
        <v>92</v>
      </c>
      <c r="L1596" t="s">
        <v>187</v>
      </c>
      <c r="M1596" t="s">
        <v>39</v>
      </c>
      <c r="N1596" t="s">
        <v>94</v>
      </c>
      <c r="O1596" s="4">
        <v>4</v>
      </c>
      <c r="P1596" s="4">
        <v>13</v>
      </c>
      <c r="Q1596" t="s">
        <v>41</v>
      </c>
      <c r="R1596" s="2">
        <v>46191</v>
      </c>
      <c r="S1596" s="4">
        <v>12</v>
      </c>
      <c r="T1596" s="3">
        <v>217000000</v>
      </c>
      <c r="U1596" t="s">
        <v>426</v>
      </c>
      <c r="V1596" t="s">
        <v>59</v>
      </c>
      <c r="W1596" t="s">
        <v>170</v>
      </c>
      <c r="X1596" t="s">
        <v>308</v>
      </c>
      <c r="Y1596" t="s">
        <v>228</v>
      </c>
      <c r="Z1596" t="s">
        <v>3179</v>
      </c>
      <c r="AA1596" t="s">
        <v>62</v>
      </c>
      <c r="AB1596" t="s">
        <v>97</v>
      </c>
      <c r="AC1596" t="s">
        <v>62</v>
      </c>
    </row>
    <row r="1597" spans="1:29">
      <c r="A1597" t="s">
        <v>2014</v>
      </c>
      <c r="B1597" s="2">
        <v>46177</v>
      </c>
      <c r="C1597" t="s">
        <v>30</v>
      </c>
      <c r="D1597" t="s">
        <v>134</v>
      </c>
      <c r="E1597" t="s">
        <v>50</v>
      </c>
      <c r="F1597" t="s">
        <v>89</v>
      </c>
      <c r="G1597" t="s">
        <v>65</v>
      </c>
      <c r="H1597" t="s">
        <v>66</v>
      </c>
      <c r="I1597" t="s">
        <v>346</v>
      </c>
      <c r="J1597" t="s">
        <v>3058</v>
      </c>
      <c r="K1597" t="s">
        <v>37</v>
      </c>
      <c r="L1597" t="s">
        <v>80</v>
      </c>
      <c r="M1597" t="s">
        <v>39</v>
      </c>
      <c r="N1597" t="s">
        <v>130</v>
      </c>
      <c r="O1597" s="4">
        <v>5</v>
      </c>
      <c r="P1597" s="4">
        <v>9</v>
      </c>
      <c r="Q1597" t="s">
        <v>41</v>
      </c>
      <c r="R1597" s="2">
        <v>46172</v>
      </c>
      <c r="S1597" s="4">
        <v>31</v>
      </c>
      <c r="T1597" s="3">
        <v>124000000</v>
      </c>
      <c r="U1597" t="s">
        <v>42</v>
      </c>
      <c r="V1597" t="s">
        <v>70</v>
      </c>
      <c r="W1597" t="s">
        <v>144</v>
      </c>
      <c r="Y1597" t="s">
        <v>334</v>
      </c>
      <c r="Z1597" t="s">
        <v>3179</v>
      </c>
      <c r="AA1597" t="s">
        <v>62</v>
      </c>
      <c r="AB1597" t="s">
        <v>97</v>
      </c>
      <c r="AC1597" t="s">
        <v>62</v>
      </c>
    </row>
    <row r="1598" spans="1:29">
      <c r="A1598" t="s">
        <v>2015</v>
      </c>
      <c r="B1598" s="2">
        <v>46185</v>
      </c>
      <c r="C1598" t="s">
        <v>30</v>
      </c>
      <c r="D1598" t="s">
        <v>99</v>
      </c>
      <c r="E1598" t="s">
        <v>50</v>
      </c>
      <c r="F1598" t="s">
        <v>89</v>
      </c>
      <c r="G1598" t="s">
        <v>65</v>
      </c>
      <c r="H1598" t="s">
        <v>66</v>
      </c>
      <c r="I1598" t="s">
        <v>67</v>
      </c>
      <c r="J1598" t="s">
        <v>3010</v>
      </c>
      <c r="K1598" t="s">
        <v>37</v>
      </c>
      <c r="L1598" t="s">
        <v>169</v>
      </c>
      <c r="M1598" t="s">
        <v>93</v>
      </c>
      <c r="N1598" t="s">
        <v>213</v>
      </c>
      <c r="O1598" s="4">
        <v>6</v>
      </c>
      <c r="P1598" s="4">
        <v>8</v>
      </c>
      <c r="Q1598" t="s">
        <v>58</v>
      </c>
      <c r="R1598" s="2">
        <v>46176</v>
      </c>
      <c r="S1598" s="4">
        <v>27</v>
      </c>
      <c r="T1598" s="3">
        <v>141000000</v>
      </c>
      <c r="U1598" t="s">
        <v>214</v>
      </c>
      <c r="V1598" t="s">
        <v>70</v>
      </c>
      <c r="W1598" t="s">
        <v>248</v>
      </c>
      <c r="Y1598" t="s">
        <v>432</v>
      </c>
      <c r="Z1598" t="s">
        <v>3179</v>
      </c>
      <c r="AA1598" t="s">
        <v>62</v>
      </c>
      <c r="AB1598" t="s">
        <v>97</v>
      </c>
      <c r="AC1598" t="s">
        <v>62</v>
      </c>
    </row>
    <row r="1599" spans="1:29">
      <c r="A1599" t="s">
        <v>2016</v>
      </c>
      <c r="B1599" s="2">
        <v>46183</v>
      </c>
      <c r="C1599" t="s">
        <v>30</v>
      </c>
      <c r="D1599" t="s">
        <v>99</v>
      </c>
      <c r="E1599" t="s">
        <v>75</v>
      </c>
      <c r="F1599" t="s">
        <v>183</v>
      </c>
      <c r="G1599" t="s">
        <v>77</v>
      </c>
      <c r="H1599" t="s">
        <v>388</v>
      </c>
      <c r="I1599" t="s">
        <v>409</v>
      </c>
      <c r="J1599" t="s">
        <v>3076</v>
      </c>
      <c r="K1599" t="s">
        <v>37</v>
      </c>
      <c r="L1599" t="s">
        <v>150</v>
      </c>
      <c r="M1599" t="s">
        <v>81</v>
      </c>
      <c r="N1599" t="s">
        <v>130</v>
      </c>
      <c r="O1599" s="4">
        <v>5</v>
      </c>
      <c r="P1599" s="4">
        <v>9</v>
      </c>
      <c r="Q1599" t="s">
        <v>41</v>
      </c>
      <c r="R1599" s="2">
        <v>46179</v>
      </c>
      <c r="S1599" s="4">
        <v>24</v>
      </c>
      <c r="T1599" s="3">
        <v>131000000</v>
      </c>
      <c r="U1599" t="s">
        <v>42</v>
      </c>
      <c r="V1599" t="s">
        <v>70</v>
      </c>
      <c r="W1599" t="s">
        <v>131</v>
      </c>
      <c r="Y1599" t="s">
        <v>132</v>
      </c>
      <c r="Z1599" t="s">
        <v>3179</v>
      </c>
      <c r="AA1599" t="s">
        <v>86</v>
      </c>
      <c r="AB1599" t="s">
        <v>97</v>
      </c>
      <c r="AC1599" t="s">
        <v>86</v>
      </c>
    </row>
    <row r="1600" spans="1:29">
      <c r="A1600" t="s">
        <v>2017</v>
      </c>
      <c r="B1600" s="2">
        <v>46191</v>
      </c>
      <c r="C1600" t="s">
        <v>30</v>
      </c>
      <c r="D1600" t="s">
        <v>74</v>
      </c>
      <c r="E1600" t="s">
        <v>120</v>
      </c>
      <c r="F1600" t="s">
        <v>121</v>
      </c>
      <c r="G1600" t="s">
        <v>135</v>
      </c>
      <c r="H1600" t="s">
        <v>300</v>
      </c>
      <c r="I1600" t="s">
        <v>301</v>
      </c>
      <c r="J1600" t="s">
        <v>3045</v>
      </c>
      <c r="K1600" t="s">
        <v>56</v>
      </c>
      <c r="L1600" t="s">
        <v>38</v>
      </c>
      <c r="M1600" t="s">
        <v>81</v>
      </c>
      <c r="N1600" t="s">
        <v>82</v>
      </c>
      <c r="O1600" s="4">
        <v>1</v>
      </c>
      <c r="P1600" s="4">
        <v>4</v>
      </c>
      <c r="Q1600" t="s">
        <v>58</v>
      </c>
      <c r="R1600" s="2">
        <v>46189</v>
      </c>
      <c r="S1600" s="4">
        <v>14</v>
      </c>
      <c r="T1600" s="3">
        <v>109000000</v>
      </c>
      <c r="U1600" t="s">
        <v>42</v>
      </c>
      <c r="V1600" t="s">
        <v>43</v>
      </c>
      <c r="W1600" t="s">
        <v>290</v>
      </c>
      <c r="Y1600" t="s">
        <v>291</v>
      </c>
      <c r="Z1600" t="s">
        <v>3176</v>
      </c>
      <c r="AA1600" t="s">
        <v>97</v>
      </c>
      <c r="AB1600" t="s">
        <v>47</v>
      </c>
      <c r="AC1600" t="s">
        <v>97</v>
      </c>
    </row>
    <row r="1601" spans="1:29">
      <c r="A1601" t="s">
        <v>2018</v>
      </c>
      <c r="B1601" s="2">
        <v>46185</v>
      </c>
      <c r="C1601" t="s">
        <v>30</v>
      </c>
      <c r="D1601" t="s">
        <v>99</v>
      </c>
      <c r="E1601" t="s">
        <v>120</v>
      </c>
      <c r="F1601" t="s">
        <v>246</v>
      </c>
      <c r="G1601" t="s">
        <v>135</v>
      </c>
      <c r="H1601" t="s">
        <v>136</v>
      </c>
      <c r="I1601" t="s">
        <v>627</v>
      </c>
      <c r="J1601" t="s">
        <v>3134</v>
      </c>
      <c r="K1601" t="s">
        <v>37</v>
      </c>
      <c r="L1601" t="s">
        <v>80</v>
      </c>
      <c r="M1601" t="s">
        <v>39</v>
      </c>
      <c r="N1601" t="s">
        <v>94</v>
      </c>
      <c r="O1601" s="4">
        <v>4</v>
      </c>
      <c r="P1601" s="4">
        <v>8</v>
      </c>
      <c r="Q1601" t="s">
        <v>83</v>
      </c>
      <c r="R1601" s="2">
        <v>46176</v>
      </c>
      <c r="S1601" s="4">
        <v>27</v>
      </c>
      <c r="T1601" s="3">
        <v>266000000</v>
      </c>
      <c r="U1601" t="s">
        <v>42</v>
      </c>
      <c r="V1601" t="s">
        <v>59</v>
      </c>
      <c r="W1601" t="s">
        <v>170</v>
      </c>
      <c r="Y1601" t="s">
        <v>228</v>
      </c>
      <c r="Z1601" t="s">
        <v>3179</v>
      </c>
      <c r="AA1601" t="s">
        <v>97</v>
      </c>
      <c r="AB1601" t="s">
        <v>97</v>
      </c>
      <c r="AC1601" t="s">
        <v>97</v>
      </c>
    </row>
    <row r="1602" spans="1:29">
      <c r="A1602" t="s">
        <v>2019</v>
      </c>
      <c r="B1602" s="2">
        <v>46197</v>
      </c>
      <c r="C1602" t="s">
        <v>30</v>
      </c>
      <c r="D1602" t="s">
        <v>49</v>
      </c>
      <c r="E1602" t="s">
        <v>120</v>
      </c>
      <c r="F1602" t="s">
        <v>167</v>
      </c>
      <c r="G1602" t="s">
        <v>227</v>
      </c>
      <c r="H1602" t="s">
        <v>123</v>
      </c>
      <c r="I1602" t="s">
        <v>124</v>
      </c>
      <c r="J1602" t="s">
        <v>3015</v>
      </c>
      <c r="K1602" t="s">
        <v>116</v>
      </c>
      <c r="L1602" t="s">
        <v>80</v>
      </c>
      <c r="M1602" t="s">
        <v>106</v>
      </c>
      <c r="N1602" t="s">
        <v>40</v>
      </c>
      <c r="O1602" s="4">
        <v>2</v>
      </c>
      <c r="P1602" s="4">
        <v>6</v>
      </c>
      <c r="Q1602" t="s">
        <v>58</v>
      </c>
      <c r="R1602" s="2">
        <v>46194</v>
      </c>
      <c r="S1602" s="4">
        <v>9</v>
      </c>
      <c r="T1602" s="3">
        <v>167000000</v>
      </c>
      <c r="U1602" t="s">
        <v>42</v>
      </c>
      <c r="V1602" t="s">
        <v>59</v>
      </c>
      <c r="W1602" t="s">
        <v>298</v>
      </c>
      <c r="Y1602" t="s">
        <v>180</v>
      </c>
      <c r="Z1602" t="s">
        <v>3178</v>
      </c>
      <c r="AA1602" t="s">
        <v>97</v>
      </c>
      <c r="AB1602" t="s">
        <v>87</v>
      </c>
      <c r="AC1602" t="s">
        <v>97</v>
      </c>
    </row>
    <row r="1603" spans="1:29">
      <c r="A1603" t="s">
        <v>2020</v>
      </c>
      <c r="B1603" s="2">
        <v>46198</v>
      </c>
      <c r="C1603" t="s">
        <v>30</v>
      </c>
      <c r="D1603" t="s">
        <v>49</v>
      </c>
      <c r="E1603" t="s">
        <v>120</v>
      </c>
      <c r="F1603" t="s">
        <v>167</v>
      </c>
      <c r="G1603" t="s">
        <v>420</v>
      </c>
      <c r="H1603" t="s">
        <v>123</v>
      </c>
      <c r="I1603" t="s">
        <v>459</v>
      </c>
      <c r="J1603" t="s">
        <v>3093</v>
      </c>
      <c r="K1603" t="s">
        <v>92</v>
      </c>
      <c r="L1603" t="s">
        <v>55</v>
      </c>
      <c r="M1603" t="s">
        <v>39</v>
      </c>
      <c r="N1603" t="s">
        <v>94</v>
      </c>
      <c r="O1603" s="4">
        <v>4</v>
      </c>
      <c r="P1603" s="4">
        <v>11</v>
      </c>
      <c r="Q1603" t="s">
        <v>142</v>
      </c>
      <c r="R1603" s="2">
        <v>46196</v>
      </c>
      <c r="S1603" s="4">
        <v>7</v>
      </c>
      <c r="T1603" s="3">
        <v>48000000</v>
      </c>
      <c r="U1603" t="s">
        <v>42</v>
      </c>
      <c r="V1603" t="s">
        <v>59</v>
      </c>
      <c r="W1603" t="s">
        <v>267</v>
      </c>
      <c r="Y1603" t="s">
        <v>228</v>
      </c>
      <c r="Z1603" t="s">
        <v>3179</v>
      </c>
      <c r="AA1603" t="s">
        <v>97</v>
      </c>
      <c r="AB1603" t="s">
        <v>97</v>
      </c>
      <c r="AC1603" t="s">
        <v>97</v>
      </c>
    </row>
    <row r="1604" spans="1:29">
      <c r="A1604" t="s">
        <v>2021</v>
      </c>
      <c r="B1604" s="2">
        <v>46184</v>
      </c>
      <c r="C1604" t="s">
        <v>30</v>
      </c>
      <c r="D1604" t="s">
        <v>99</v>
      </c>
      <c r="E1604" t="s">
        <v>50</v>
      </c>
      <c r="F1604" t="s">
        <v>89</v>
      </c>
      <c r="G1604" t="s">
        <v>65</v>
      </c>
      <c r="H1604" t="s">
        <v>66</v>
      </c>
      <c r="I1604" t="s">
        <v>341</v>
      </c>
      <c r="J1604" t="s">
        <v>3056</v>
      </c>
      <c r="K1604" t="s">
        <v>37</v>
      </c>
      <c r="L1604" t="s">
        <v>38</v>
      </c>
      <c r="M1604" t="s">
        <v>106</v>
      </c>
      <c r="N1604" t="s">
        <v>130</v>
      </c>
      <c r="O1604" s="4">
        <v>5</v>
      </c>
      <c r="P1604" s="4">
        <v>7</v>
      </c>
      <c r="Q1604" t="s">
        <v>41</v>
      </c>
      <c r="R1604" s="2">
        <v>46179</v>
      </c>
      <c r="S1604" s="4">
        <v>24</v>
      </c>
      <c r="T1604" s="3">
        <v>214000000</v>
      </c>
      <c r="U1604" t="s">
        <v>42</v>
      </c>
      <c r="V1604" t="s">
        <v>143</v>
      </c>
      <c r="W1604" t="s">
        <v>355</v>
      </c>
      <c r="Y1604" t="s">
        <v>334</v>
      </c>
      <c r="Z1604" t="s">
        <v>3179</v>
      </c>
      <c r="AA1604" t="s">
        <v>62</v>
      </c>
      <c r="AB1604" t="s">
        <v>97</v>
      </c>
      <c r="AC1604" t="s">
        <v>62</v>
      </c>
    </row>
    <row r="1605" spans="1:29">
      <c r="A1605" t="s">
        <v>2022</v>
      </c>
      <c r="B1605" s="2">
        <v>46200</v>
      </c>
      <c r="C1605" t="s">
        <v>30</v>
      </c>
      <c r="D1605" t="s">
        <v>49</v>
      </c>
      <c r="E1605" t="s">
        <v>75</v>
      </c>
      <c r="F1605" t="s">
        <v>161</v>
      </c>
      <c r="G1605" t="s">
        <v>162</v>
      </c>
      <c r="H1605" t="s">
        <v>78</v>
      </c>
      <c r="I1605" t="s">
        <v>231</v>
      </c>
      <c r="J1605" t="s">
        <v>3031</v>
      </c>
      <c r="K1605" t="s">
        <v>105</v>
      </c>
      <c r="L1605" t="s">
        <v>80</v>
      </c>
      <c r="M1605" t="s">
        <v>56</v>
      </c>
      <c r="N1605" t="s">
        <v>57</v>
      </c>
      <c r="O1605" s="4">
        <v>3</v>
      </c>
      <c r="P1605" s="4">
        <v>9</v>
      </c>
      <c r="Q1605" t="s">
        <v>58</v>
      </c>
      <c r="R1605" s="2">
        <v>46200</v>
      </c>
      <c r="S1605" s="4">
        <v>3</v>
      </c>
      <c r="T1605" s="3">
        <v>183000000</v>
      </c>
      <c r="U1605" t="s">
        <v>42</v>
      </c>
      <c r="V1605" t="s">
        <v>59</v>
      </c>
      <c r="W1605" t="s">
        <v>60</v>
      </c>
      <c r="Y1605" t="s">
        <v>165</v>
      </c>
      <c r="Z1605" t="s">
        <v>3177</v>
      </c>
      <c r="AA1605" t="s">
        <v>86</v>
      </c>
      <c r="AB1605" t="s">
        <v>63</v>
      </c>
      <c r="AC1605" t="s">
        <v>86</v>
      </c>
    </row>
    <row r="1606" spans="1:29">
      <c r="A1606" t="s">
        <v>2023</v>
      </c>
      <c r="B1606" s="2">
        <v>46185</v>
      </c>
      <c r="C1606" t="s">
        <v>30</v>
      </c>
      <c r="D1606" t="s">
        <v>99</v>
      </c>
      <c r="E1606" t="s">
        <v>50</v>
      </c>
      <c r="F1606" t="s">
        <v>51</v>
      </c>
      <c r="G1606" t="s">
        <v>270</v>
      </c>
      <c r="H1606" t="s">
        <v>90</v>
      </c>
      <c r="I1606" t="s">
        <v>497</v>
      </c>
      <c r="J1606" t="s">
        <v>3105</v>
      </c>
      <c r="K1606" t="s">
        <v>37</v>
      </c>
      <c r="L1606" t="s">
        <v>68</v>
      </c>
      <c r="M1606" t="s">
        <v>93</v>
      </c>
      <c r="N1606" t="s">
        <v>196</v>
      </c>
      <c r="O1606" s="4">
        <v>7</v>
      </c>
      <c r="P1606" s="4">
        <v>10</v>
      </c>
      <c r="Q1606" t="s">
        <v>107</v>
      </c>
      <c r="R1606" s="2">
        <v>46184</v>
      </c>
      <c r="S1606" s="4">
        <v>19</v>
      </c>
      <c r="T1606" s="3">
        <v>89000000</v>
      </c>
      <c r="U1606" t="s">
        <v>564</v>
      </c>
      <c r="V1606" t="s">
        <v>70</v>
      </c>
      <c r="W1606" t="s">
        <v>243</v>
      </c>
      <c r="Y1606" t="s">
        <v>210</v>
      </c>
      <c r="Z1606" t="s">
        <v>3181</v>
      </c>
      <c r="AA1606" t="s">
        <v>62</v>
      </c>
      <c r="AB1606" t="s">
        <v>199</v>
      </c>
      <c r="AC1606" t="s">
        <v>62</v>
      </c>
    </row>
    <row r="1607" spans="1:29">
      <c r="A1607" t="s">
        <v>2024</v>
      </c>
      <c r="B1607" s="2">
        <v>46183</v>
      </c>
      <c r="C1607" t="s">
        <v>30</v>
      </c>
      <c r="D1607" t="s">
        <v>99</v>
      </c>
      <c r="E1607" t="s">
        <v>152</v>
      </c>
      <c r="F1607" t="s">
        <v>221</v>
      </c>
      <c r="G1607" t="s">
        <v>294</v>
      </c>
      <c r="H1607" t="s">
        <v>155</v>
      </c>
      <c r="I1607" t="s">
        <v>156</v>
      </c>
      <c r="J1607" t="s">
        <v>3020</v>
      </c>
      <c r="K1607" t="s">
        <v>37</v>
      </c>
      <c r="L1607" t="s">
        <v>169</v>
      </c>
      <c r="M1607" t="s">
        <v>93</v>
      </c>
      <c r="N1607" t="s">
        <v>82</v>
      </c>
      <c r="O1607" s="4">
        <v>1</v>
      </c>
      <c r="P1607" s="4">
        <v>12</v>
      </c>
      <c r="Q1607" t="s">
        <v>142</v>
      </c>
      <c r="R1607" s="2">
        <v>46183</v>
      </c>
      <c r="S1607" s="4">
        <v>20</v>
      </c>
      <c r="T1607" s="3">
        <v>78000000</v>
      </c>
      <c r="U1607" t="s">
        <v>42</v>
      </c>
      <c r="V1607" t="s">
        <v>43</v>
      </c>
      <c r="W1607" t="s">
        <v>84</v>
      </c>
      <c r="Y1607" t="s">
        <v>85</v>
      </c>
      <c r="Z1607" t="s">
        <v>3180</v>
      </c>
      <c r="AA1607" t="s">
        <v>159</v>
      </c>
      <c r="AB1607" t="s">
        <v>193</v>
      </c>
      <c r="AC1607" t="s">
        <v>159</v>
      </c>
    </row>
    <row r="1608" spans="1:29">
      <c r="A1608" t="s">
        <v>2025</v>
      </c>
      <c r="B1608" s="2">
        <v>46195</v>
      </c>
      <c r="C1608" t="s">
        <v>30</v>
      </c>
      <c r="D1608" t="s">
        <v>49</v>
      </c>
      <c r="E1608" t="s">
        <v>100</v>
      </c>
      <c r="F1608" t="s">
        <v>146</v>
      </c>
      <c r="G1608" t="s">
        <v>212</v>
      </c>
      <c r="H1608" t="s">
        <v>148</v>
      </c>
      <c r="I1608" t="s">
        <v>724</v>
      </c>
      <c r="J1608" t="s">
        <v>3148</v>
      </c>
      <c r="K1608" t="s">
        <v>37</v>
      </c>
      <c r="L1608" t="s">
        <v>68</v>
      </c>
      <c r="M1608" t="s">
        <v>93</v>
      </c>
      <c r="N1608" t="s">
        <v>94</v>
      </c>
      <c r="O1608" s="4">
        <v>4</v>
      </c>
      <c r="P1608" s="4">
        <v>12</v>
      </c>
      <c r="Q1608" t="s">
        <v>41</v>
      </c>
      <c r="R1608" s="2">
        <v>46194</v>
      </c>
      <c r="S1608" s="4">
        <v>9</v>
      </c>
      <c r="T1608" s="3">
        <v>194000000</v>
      </c>
      <c r="U1608" t="s">
        <v>42</v>
      </c>
      <c r="V1608" t="s">
        <v>59</v>
      </c>
      <c r="W1608" t="s">
        <v>267</v>
      </c>
      <c r="Y1608" t="s">
        <v>228</v>
      </c>
      <c r="Z1608" t="s">
        <v>3179</v>
      </c>
      <c r="AA1608" t="s">
        <v>109</v>
      </c>
      <c r="AB1608" t="s">
        <v>97</v>
      </c>
      <c r="AC1608" t="s">
        <v>109</v>
      </c>
    </row>
    <row r="1609" spans="1:29">
      <c r="A1609" t="s">
        <v>2026</v>
      </c>
      <c r="B1609" s="2">
        <v>46188</v>
      </c>
      <c r="C1609" t="s">
        <v>30</v>
      </c>
      <c r="D1609" t="s">
        <v>74</v>
      </c>
      <c r="E1609" t="s">
        <v>32</v>
      </c>
      <c r="F1609" t="s">
        <v>273</v>
      </c>
      <c r="G1609" t="s">
        <v>218</v>
      </c>
      <c r="H1609" t="s">
        <v>258</v>
      </c>
      <c r="I1609" t="s">
        <v>593</v>
      </c>
      <c r="J1609" t="s">
        <v>3127</v>
      </c>
      <c r="K1609" t="s">
        <v>56</v>
      </c>
      <c r="L1609" t="s">
        <v>55</v>
      </c>
      <c r="M1609" t="s">
        <v>164</v>
      </c>
      <c r="N1609" t="s">
        <v>94</v>
      </c>
      <c r="O1609" s="4">
        <v>4</v>
      </c>
      <c r="P1609" s="4">
        <v>2</v>
      </c>
      <c r="Q1609" t="s">
        <v>107</v>
      </c>
      <c r="R1609" s="2">
        <v>46182</v>
      </c>
      <c r="S1609" s="4">
        <v>21</v>
      </c>
      <c r="T1609" s="3">
        <v>281000000</v>
      </c>
      <c r="U1609" t="s">
        <v>42</v>
      </c>
      <c r="V1609" t="s">
        <v>59</v>
      </c>
      <c r="W1609" t="s">
        <v>95</v>
      </c>
      <c r="Y1609" t="s">
        <v>228</v>
      </c>
      <c r="Z1609" t="s">
        <v>3179</v>
      </c>
      <c r="AA1609" t="s">
        <v>46</v>
      </c>
      <c r="AB1609" t="s">
        <v>97</v>
      </c>
      <c r="AC1609" t="s">
        <v>46</v>
      </c>
    </row>
    <row r="1610" spans="1:29">
      <c r="A1610" t="s">
        <v>2027</v>
      </c>
      <c r="B1610" s="2">
        <v>46185</v>
      </c>
      <c r="C1610" t="s">
        <v>30</v>
      </c>
      <c r="D1610" t="s">
        <v>99</v>
      </c>
      <c r="E1610" t="s">
        <v>100</v>
      </c>
      <c r="F1610" t="s">
        <v>101</v>
      </c>
      <c r="G1610" t="s">
        <v>237</v>
      </c>
      <c r="H1610" t="s">
        <v>201</v>
      </c>
      <c r="I1610" t="s">
        <v>554</v>
      </c>
      <c r="J1610" t="s">
        <v>3117</v>
      </c>
      <c r="K1610" t="s">
        <v>37</v>
      </c>
      <c r="L1610" t="s">
        <v>187</v>
      </c>
      <c r="M1610" t="s">
        <v>81</v>
      </c>
      <c r="N1610" t="s">
        <v>130</v>
      </c>
      <c r="O1610" s="4">
        <v>5</v>
      </c>
      <c r="P1610" s="4">
        <v>16</v>
      </c>
      <c r="Q1610" t="s">
        <v>69</v>
      </c>
      <c r="R1610" s="2">
        <v>46182</v>
      </c>
      <c r="S1610" s="4">
        <v>21</v>
      </c>
      <c r="T1610" s="3">
        <v>114000000</v>
      </c>
      <c r="U1610" t="s">
        <v>42</v>
      </c>
      <c r="V1610" t="s">
        <v>70</v>
      </c>
      <c r="W1610" t="s">
        <v>144</v>
      </c>
      <c r="Y1610" t="s">
        <v>334</v>
      </c>
      <c r="Z1610" t="s">
        <v>3179</v>
      </c>
      <c r="AA1610" t="s">
        <v>109</v>
      </c>
      <c r="AB1610" t="s">
        <v>97</v>
      </c>
      <c r="AC1610" t="s">
        <v>109</v>
      </c>
    </row>
    <row r="1611" spans="1:29">
      <c r="A1611" t="s">
        <v>2028</v>
      </c>
      <c r="B1611" s="2">
        <v>46180</v>
      </c>
      <c r="C1611" t="s">
        <v>30</v>
      </c>
      <c r="D1611" t="s">
        <v>134</v>
      </c>
      <c r="E1611" t="s">
        <v>50</v>
      </c>
      <c r="F1611" t="s">
        <v>89</v>
      </c>
      <c r="G1611" t="s">
        <v>270</v>
      </c>
      <c r="H1611" t="s">
        <v>90</v>
      </c>
      <c r="I1611" t="s">
        <v>740</v>
      </c>
      <c r="J1611" t="s">
        <v>3151</v>
      </c>
      <c r="K1611" t="s">
        <v>116</v>
      </c>
      <c r="L1611" t="s">
        <v>187</v>
      </c>
      <c r="M1611" t="s">
        <v>106</v>
      </c>
      <c r="N1611" t="s">
        <v>94</v>
      </c>
      <c r="O1611" s="4">
        <v>4</v>
      </c>
      <c r="P1611" s="4">
        <v>11</v>
      </c>
      <c r="Q1611" t="s">
        <v>69</v>
      </c>
      <c r="R1611" s="2">
        <v>46170</v>
      </c>
      <c r="S1611" s="4">
        <v>33</v>
      </c>
      <c r="T1611" s="3">
        <v>37000000</v>
      </c>
      <c r="U1611" t="s">
        <v>42</v>
      </c>
      <c r="V1611" t="s">
        <v>59</v>
      </c>
      <c r="W1611" t="s">
        <v>170</v>
      </c>
      <c r="X1611" t="s">
        <v>117</v>
      </c>
      <c r="Y1611" t="s">
        <v>268</v>
      </c>
      <c r="Z1611" t="s">
        <v>3179</v>
      </c>
      <c r="AA1611" t="s">
        <v>62</v>
      </c>
      <c r="AB1611" t="s">
        <v>97</v>
      </c>
      <c r="AC1611" t="s">
        <v>62</v>
      </c>
    </row>
    <row r="1612" spans="1:29">
      <c r="A1612" t="s">
        <v>2029</v>
      </c>
      <c r="B1612" s="2">
        <v>46197</v>
      </c>
      <c r="C1612" t="s">
        <v>30</v>
      </c>
      <c r="D1612" t="s">
        <v>49</v>
      </c>
      <c r="E1612" t="s">
        <v>32</v>
      </c>
      <c r="F1612" t="s">
        <v>273</v>
      </c>
      <c r="G1612" t="s">
        <v>361</v>
      </c>
      <c r="H1612" t="s">
        <v>303</v>
      </c>
      <c r="I1612" t="s">
        <v>304</v>
      </c>
      <c r="J1612" t="s">
        <v>3046</v>
      </c>
      <c r="K1612" t="s">
        <v>37</v>
      </c>
      <c r="L1612" t="s">
        <v>187</v>
      </c>
      <c r="M1612" t="s">
        <v>56</v>
      </c>
      <c r="N1612" t="s">
        <v>40</v>
      </c>
      <c r="O1612" s="4">
        <v>2</v>
      </c>
      <c r="P1612" s="4">
        <v>3</v>
      </c>
      <c r="Q1612" t="s">
        <v>69</v>
      </c>
      <c r="R1612" s="2">
        <v>46191</v>
      </c>
      <c r="S1612" s="4">
        <v>12</v>
      </c>
      <c r="T1612" s="3">
        <v>127000000</v>
      </c>
      <c r="U1612" t="s">
        <v>42</v>
      </c>
      <c r="V1612" t="s">
        <v>43</v>
      </c>
      <c r="W1612" t="s">
        <v>44</v>
      </c>
      <c r="Y1612" t="s">
        <v>45</v>
      </c>
      <c r="Z1612" t="s">
        <v>3176</v>
      </c>
      <c r="AA1612" t="s">
        <v>46</v>
      </c>
      <c r="AB1612" t="s">
        <v>47</v>
      </c>
      <c r="AC1612" t="s">
        <v>46</v>
      </c>
    </row>
    <row r="1613" spans="1:29">
      <c r="A1613" t="s">
        <v>2030</v>
      </c>
      <c r="B1613" s="2">
        <v>46187</v>
      </c>
      <c r="C1613" t="s">
        <v>30</v>
      </c>
      <c r="D1613" t="s">
        <v>99</v>
      </c>
      <c r="E1613" t="s">
        <v>100</v>
      </c>
      <c r="F1613" t="s">
        <v>146</v>
      </c>
      <c r="G1613" t="s">
        <v>237</v>
      </c>
      <c r="H1613" t="s">
        <v>201</v>
      </c>
      <c r="I1613" t="s">
        <v>202</v>
      </c>
      <c r="J1613" t="s">
        <v>3026</v>
      </c>
      <c r="K1613" t="s">
        <v>37</v>
      </c>
      <c r="L1613" t="s">
        <v>187</v>
      </c>
      <c r="M1613" t="s">
        <v>164</v>
      </c>
      <c r="N1613" t="s">
        <v>40</v>
      </c>
      <c r="O1613" s="4">
        <v>2</v>
      </c>
      <c r="P1613" s="4">
        <v>9</v>
      </c>
      <c r="Q1613" t="s">
        <v>69</v>
      </c>
      <c r="R1613" s="2">
        <v>46184</v>
      </c>
      <c r="S1613" s="4">
        <v>19</v>
      </c>
      <c r="T1613" s="3">
        <v>78000000</v>
      </c>
      <c r="U1613" t="s">
        <v>42</v>
      </c>
      <c r="V1613" t="s">
        <v>43</v>
      </c>
      <c r="W1613" t="s">
        <v>239</v>
      </c>
      <c r="Y1613" t="s">
        <v>309</v>
      </c>
      <c r="Z1613" t="s">
        <v>3178</v>
      </c>
      <c r="AA1613" t="s">
        <v>109</v>
      </c>
      <c r="AB1613" t="s">
        <v>87</v>
      </c>
      <c r="AC1613" t="s">
        <v>109</v>
      </c>
    </row>
    <row r="1614" spans="1:29">
      <c r="A1614" t="s">
        <v>2031</v>
      </c>
      <c r="B1614" s="2">
        <v>46188</v>
      </c>
      <c r="C1614" t="s">
        <v>30</v>
      </c>
      <c r="D1614" t="s">
        <v>74</v>
      </c>
      <c r="E1614" t="s">
        <v>172</v>
      </c>
      <c r="F1614" t="s">
        <v>173</v>
      </c>
      <c r="G1614" t="s">
        <v>476</v>
      </c>
      <c r="H1614" t="s">
        <v>175</v>
      </c>
      <c r="I1614" t="s">
        <v>956</v>
      </c>
      <c r="J1614" t="s">
        <v>3166</v>
      </c>
      <c r="K1614" t="s">
        <v>37</v>
      </c>
      <c r="L1614" t="s">
        <v>80</v>
      </c>
      <c r="M1614" t="s">
        <v>129</v>
      </c>
      <c r="N1614" t="s">
        <v>213</v>
      </c>
      <c r="O1614" s="4">
        <v>6</v>
      </c>
      <c r="P1614" s="4">
        <v>10</v>
      </c>
      <c r="Q1614" t="s">
        <v>41</v>
      </c>
      <c r="R1614" s="2">
        <v>46188</v>
      </c>
      <c r="S1614" s="4">
        <v>15</v>
      </c>
      <c r="T1614" s="3">
        <v>177000000</v>
      </c>
      <c r="U1614" t="s">
        <v>214</v>
      </c>
      <c r="V1614" t="s">
        <v>143</v>
      </c>
      <c r="W1614" t="s">
        <v>390</v>
      </c>
      <c r="Y1614" t="s">
        <v>432</v>
      </c>
      <c r="Z1614" t="s">
        <v>3179</v>
      </c>
      <c r="AA1614" t="s">
        <v>181</v>
      </c>
      <c r="AB1614" t="s">
        <v>97</v>
      </c>
      <c r="AC1614" t="s">
        <v>181</v>
      </c>
    </row>
    <row r="1615" spans="1:29">
      <c r="A1615" t="s">
        <v>2032</v>
      </c>
      <c r="B1615" s="2">
        <v>46179</v>
      </c>
      <c r="C1615" t="s">
        <v>30</v>
      </c>
      <c r="D1615" t="s">
        <v>134</v>
      </c>
      <c r="E1615" t="s">
        <v>32</v>
      </c>
      <c r="F1615" t="s">
        <v>273</v>
      </c>
      <c r="G1615" t="s">
        <v>34</v>
      </c>
      <c r="H1615" t="s">
        <v>35</v>
      </c>
      <c r="I1615" t="s">
        <v>323</v>
      </c>
      <c r="J1615" t="s">
        <v>3052</v>
      </c>
      <c r="K1615" t="s">
        <v>105</v>
      </c>
      <c r="L1615" t="s">
        <v>187</v>
      </c>
      <c r="M1615" t="s">
        <v>164</v>
      </c>
      <c r="N1615" t="s">
        <v>40</v>
      </c>
      <c r="O1615" s="4">
        <v>2</v>
      </c>
      <c r="P1615" s="4">
        <v>5</v>
      </c>
      <c r="Q1615" t="s">
        <v>107</v>
      </c>
      <c r="R1615" s="2">
        <v>46178</v>
      </c>
      <c r="S1615" s="4">
        <v>25</v>
      </c>
      <c r="T1615" s="3">
        <v>216000000</v>
      </c>
      <c r="U1615" t="s">
        <v>42</v>
      </c>
      <c r="V1615" t="s">
        <v>43</v>
      </c>
      <c r="W1615" t="s">
        <v>178</v>
      </c>
      <c r="Y1615" t="s">
        <v>281</v>
      </c>
      <c r="Z1615" t="s">
        <v>3178</v>
      </c>
      <c r="AA1615" t="s">
        <v>46</v>
      </c>
      <c r="AB1615" t="s">
        <v>87</v>
      </c>
      <c r="AC1615" t="s">
        <v>46</v>
      </c>
    </row>
    <row r="1616" spans="1:29">
      <c r="A1616" t="s">
        <v>2033</v>
      </c>
      <c r="B1616" s="2">
        <v>46202</v>
      </c>
      <c r="C1616" t="s">
        <v>30</v>
      </c>
      <c r="D1616" t="s">
        <v>31</v>
      </c>
      <c r="E1616" t="s">
        <v>75</v>
      </c>
      <c r="F1616" t="s">
        <v>161</v>
      </c>
      <c r="G1616" t="s">
        <v>162</v>
      </c>
      <c r="H1616" t="s">
        <v>78</v>
      </c>
      <c r="I1616" t="s">
        <v>810</v>
      </c>
      <c r="J1616" t="s">
        <v>3157</v>
      </c>
      <c r="K1616" t="s">
        <v>105</v>
      </c>
      <c r="L1616" t="s">
        <v>55</v>
      </c>
      <c r="M1616" t="s">
        <v>39</v>
      </c>
      <c r="N1616" t="s">
        <v>57</v>
      </c>
      <c r="O1616" s="4">
        <v>3</v>
      </c>
      <c r="P1616" s="4">
        <v>11</v>
      </c>
      <c r="Q1616" t="s">
        <v>83</v>
      </c>
      <c r="R1616" s="2">
        <v>46194</v>
      </c>
      <c r="S1616" s="4">
        <v>9</v>
      </c>
      <c r="T1616" s="3">
        <v>301000000</v>
      </c>
      <c r="U1616" t="s">
        <v>42</v>
      </c>
      <c r="V1616" t="s">
        <v>59</v>
      </c>
      <c r="W1616" t="s">
        <v>203</v>
      </c>
      <c r="Y1616" t="s">
        <v>158</v>
      </c>
      <c r="Z1616" t="s">
        <v>3177</v>
      </c>
      <c r="AA1616" t="s">
        <v>86</v>
      </c>
      <c r="AB1616" t="s">
        <v>63</v>
      </c>
      <c r="AC1616" t="s">
        <v>86</v>
      </c>
    </row>
    <row r="1617" spans="1:29">
      <c r="A1617" t="s">
        <v>2034</v>
      </c>
      <c r="B1617" s="2">
        <v>46182</v>
      </c>
      <c r="C1617" t="s">
        <v>30</v>
      </c>
      <c r="D1617" t="s">
        <v>99</v>
      </c>
      <c r="E1617" t="s">
        <v>152</v>
      </c>
      <c r="F1617" t="s">
        <v>153</v>
      </c>
      <c r="G1617" t="s">
        <v>206</v>
      </c>
      <c r="H1617" t="s">
        <v>155</v>
      </c>
      <c r="I1617" t="s">
        <v>375</v>
      </c>
      <c r="J1617" t="s">
        <v>3067</v>
      </c>
      <c r="K1617" t="s">
        <v>37</v>
      </c>
      <c r="L1617" t="s">
        <v>187</v>
      </c>
      <c r="M1617" t="s">
        <v>129</v>
      </c>
      <c r="N1617" t="s">
        <v>94</v>
      </c>
      <c r="O1617" s="4">
        <v>4</v>
      </c>
      <c r="P1617" s="4">
        <v>16</v>
      </c>
      <c r="Q1617" t="s">
        <v>83</v>
      </c>
      <c r="R1617" s="2">
        <v>46175</v>
      </c>
      <c r="S1617" s="4">
        <v>28</v>
      </c>
      <c r="T1617" s="3">
        <v>263000000</v>
      </c>
      <c r="U1617" t="s">
        <v>260</v>
      </c>
      <c r="V1617" t="s">
        <v>59</v>
      </c>
      <c r="W1617" t="s">
        <v>267</v>
      </c>
      <c r="X1617" t="s">
        <v>381</v>
      </c>
      <c r="Y1617" t="s">
        <v>228</v>
      </c>
      <c r="Z1617" t="s">
        <v>3179</v>
      </c>
      <c r="AA1617" t="s">
        <v>159</v>
      </c>
      <c r="AB1617" t="s">
        <v>97</v>
      </c>
      <c r="AC1617" t="s">
        <v>159</v>
      </c>
    </row>
    <row r="1618" spans="1:29">
      <c r="A1618" t="s">
        <v>2035</v>
      </c>
      <c r="B1618" s="2">
        <v>46186</v>
      </c>
      <c r="C1618" t="s">
        <v>30</v>
      </c>
      <c r="D1618" t="s">
        <v>99</v>
      </c>
      <c r="E1618" t="s">
        <v>111</v>
      </c>
      <c r="F1618" t="s">
        <v>190</v>
      </c>
      <c r="G1618" t="s">
        <v>251</v>
      </c>
      <c r="H1618" t="s">
        <v>114</v>
      </c>
      <c r="I1618" t="s">
        <v>1078</v>
      </c>
      <c r="J1618" t="s">
        <v>3172</v>
      </c>
      <c r="K1618" t="s">
        <v>92</v>
      </c>
      <c r="L1618" t="s">
        <v>55</v>
      </c>
      <c r="M1618" t="s">
        <v>106</v>
      </c>
      <c r="N1618" t="s">
        <v>130</v>
      </c>
      <c r="O1618" s="4">
        <v>5</v>
      </c>
      <c r="P1618" s="4">
        <v>10</v>
      </c>
      <c r="Q1618" t="s">
        <v>107</v>
      </c>
      <c r="R1618" s="2">
        <v>46184</v>
      </c>
      <c r="S1618" s="4">
        <v>19</v>
      </c>
      <c r="T1618" s="3">
        <v>58000000</v>
      </c>
      <c r="U1618" t="s">
        <v>260</v>
      </c>
      <c r="V1618" t="s">
        <v>70</v>
      </c>
      <c r="W1618" t="s">
        <v>355</v>
      </c>
      <c r="X1618" t="s">
        <v>381</v>
      </c>
      <c r="Y1618" t="s">
        <v>132</v>
      </c>
      <c r="Z1618" t="s">
        <v>3179</v>
      </c>
      <c r="AA1618" t="s">
        <v>118</v>
      </c>
      <c r="AB1618" t="s">
        <v>97</v>
      </c>
      <c r="AC1618" t="s">
        <v>118</v>
      </c>
    </row>
    <row r="1619" spans="1:29">
      <c r="A1619" t="s">
        <v>2036</v>
      </c>
      <c r="B1619" s="2">
        <v>46178</v>
      </c>
      <c r="C1619" t="s">
        <v>30</v>
      </c>
      <c r="D1619" t="s">
        <v>134</v>
      </c>
      <c r="E1619" t="s">
        <v>75</v>
      </c>
      <c r="F1619" t="s">
        <v>183</v>
      </c>
      <c r="G1619" t="s">
        <v>230</v>
      </c>
      <c r="H1619" t="s">
        <v>78</v>
      </c>
      <c r="I1619" t="s">
        <v>501</v>
      </c>
      <c r="J1619" t="s">
        <v>3106</v>
      </c>
      <c r="K1619" t="s">
        <v>92</v>
      </c>
      <c r="L1619" t="s">
        <v>80</v>
      </c>
      <c r="M1619" t="s">
        <v>81</v>
      </c>
      <c r="N1619" t="s">
        <v>94</v>
      </c>
      <c r="O1619" s="4">
        <v>4</v>
      </c>
      <c r="P1619" s="4">
        <v>12</v>
      </c>
      <c r="Q1619" t="s">
        <v>142</v>
      </c>
      <c r="R1619" s="2">
        <v>46177</v>
      </c>
      <c r="S1619" s="4">
        <v>26</v>
      </c>
      <c r="T1619" s="3">
        <v>224000000</v>
      </c>
      <c r="U1619" t="s">
        <v>42</v>
      </c>
      <c r="V1619" t="s">
        <v>59</v>
      </c>
      <c r="W1619" t="s">
        <v>267</v>
      </c>
      <c r="Y1619" t="s">
        <v>96</v>
      </c>
      <c r="Z1619" t="s">
        <v>3179</v>
      </c>
      <c r="AA1619" t="s">
        <v>86</v>
      </c>
      <c r="AB1619" t="s">
        <v>97</v>
      </c>
      <c r="AC1619" t="s">
        <v>86</v>
      </c>
    </row>
    <row r="1620" spans="1:29">
      <c r="A1620" t="s">
        <v>2037</v>
      </c>
      <c r="B1620" s="2">
        <v>46179</v>
      </c>
      <c r="C1620" t="s">
        <v>30</v>
      </c>
      <c r="D1620" t="s">
        <v>134</v>
      </c>
      <c r="E1620" t="s">
        <v>111</v>
      </c>
      <c r="F1620" t="s">
        <v>264</v>
      </c>
      <c r="G1620" t="s">
        <v>126</v>
      </c>
      <c r="H1620" t="s">
        <v>114</v>
      </c>
      <c r="I1620" t="s">
        <v>645</v>
      </c>
      <c r="J1620" t="s">
        <v>3139</v>
      </c>
      <c r="K1620" t="s">
        <v>92</v>
      </c>
      <c r="L1620" t="s">
        <v>68</v>
      </c>
      <c r="M1620" t="s">
        <v>39</v>
      </c>
      <c r="N1620" t="s">
        <v>196</v>
      </c>
      <c r="O1620" s="4">
        <v>7</v>
      </c>
      <c r="P1620" s="4">
        <v>10</v>
      </c>
      <c r="Q1620" t="s">
        <v>41</v>
      </c>
      <c r="R1620" s="2">
        <v>46172</v>
      </c>
      <c r="S1620" s="4">
        <v>31</v>
      </c>
      <c r="T1620" s="3">
        <v>238000000</v>
      </c>
      <c r="U1620" t="s">
        <v>196</v>
      </c>
      <c r="V1620" t="s">
        <v>70</v>
      </c>
      <c r="W1620" t="s">
        <v>209</v>
      </c>
      <c r="Y1620" t="s">
        <v>369</v>
      </c>
      <c r="Z1620" t="s">
        <v>3181</v>
      </c>
      <c r="AA1620" t="s">
        <v>118</v>
      </c>
      <c r="AB1620" t="s">
        <v>199</v>
      </c>
      <c r="AC1620" t="s">
        <v>118</v>
      </c>
    </row>
    <row r="1621" spans="1:29">
      <c r="A1621" t="s">
        <v>2038</v>
      </c>
      <c r="B1621" s="2">
        <v>46175</v>
      </c>
      <c r="C1621" t="s">
        <v>30</v>
      </c>
      <c r="D1621" t="s">
        <v>134</v>
      </c>
      <c r="E1621" t="s">
        <v>50</v>
      </c>
      <c r="F1621" t="s">
        <v>51</v>
      </c>
      <c r="G1621" t="s">
        <v>270</v>
      </c>
      <c r="H1621" t="s">
        <v>90</v>
      </c>
      <c r="I1621" t="s">
        <v>352</v>
      </c>
      <c r="J1621" t="s">
        <v>3060</v>
      </c>
      <c r="K1621" t="s">
        <v>37</v>
      </c>
      <c r="L1621" t="s">
        <v>187</v>
      </c>
      <c r="M1621" t="s">
        <v>129</v>
      </c>
      <c r="N1621" t="s">
        <v>94</v>
      </c>
      <c r="O1621" s="4">
        <v>4</v>
      </c>
      <c r="P1621" s="4">
        <v>12</v>
      </c>
      <c r="Q1621" t="s">
        <v>69</v>
      </c>
      <c r="R1621" s="2">
        <v>46168</v>
      </c>
      <c r="S1621" s="4">
        <v>35</v>
      </c>
      <c r="T1621" s="3">
        <v>243000000</v>
      </c>
      <c r="U1621" t="s">
        <v>42</v>
      </c>
      <c r="V1621" t="s">
        <v>59</v>
      </c>
      <c r="W1621" t="s">
        <v>267</v>
      </c>
      <c r="Y1621" t="s">
        <v>268</v>
      </c>
      <c r="Z1621" t="s">
        <v>3179</v>
      </c>
      <c r="AA1621" t="s">
        <v>62</v>
      </c>
      <c r="AB1621" t="s">
        <v>97</v>
      </c>
      <c r="AC1621" t="s">
        <v>62</v>
      </c>
    </row>
    <row r="1622" spans="1:29">
      <c r="A1622" t="s">
        <v>2039</v>
      </c>
      <c r="B1622" s="2">
        <v>46191</v>
      </c>
      <c r="C1622" t="s">
        <v>30</v>
      </c>
      <c r="D1622" t="s">
        <v>74</v>
      </c>
      <c r="E1622" t="s">
        <v>152</v>
      </c>
      <c r="F1622" t="s">
        <v>205</v>
      </c>
      <c r="G1622" t="s">
        <v>286</v>
      </c>
      <c r="H1622" t="s">
        <v>207</v>
      </c>
      <c r="I1622" t="s">
        <v>208</v>
      </c>
      <c r="J1622" t="s">
        <v>3027</v>
      </c>
      <c r="K1622" t="s">
        <v>105</v>
      </c>
      <c r="L1622" t="s">
        <v>150</v>
      </c>
      <c r="M1622" t="s">
        <v>164</v>
      </c>
      <c r="N1622" t="s">
        <v>82</v>
      </c>
      <c r="O1622" s="4">
        <v>1</v>
      </c>
      <c r="P1622" s="4">
        <v>7</v>
      </c>
      <c r="Q1622" t="s">
        <v>58</v>
      </c>
      <c r="R1622" s="2">
        <v>46185</v>
      </c>
      <c r="S1622" s="4">
        <v>18</v>
      </c>
      <c r="T1622" s="3">
        <v>240000000</v>
      </c>
      <c r="U1622" t="s">
        <v>42</v>
      </c>
      <c r="V1622" t="s">
        <v>43</v>
      </c>
      <c r="W1622" t="s">
        <v>359</v>
      </c>
      <c r="Y1622" t="s">
        <v>291</v>
      </c>
      <c r="Z1622" t="s">
        <v>3178</v>
      </c>
      <c r="AA1622" t="s">
        <v>159</v>
      </c>
      <c r="AB1622" t="s">
        <v>87</v>
      </c>
      <c r="AC1622" t="s">
        <v>159</v>
      </c>
    </row>
    <row r="1623" spans="1:29">
      <c r="A1623" t="s">
        <v>2040</v>
      </c>
      <c r="B1623" s="2">
        <v>46184</v>
      </c>
      <c r="C1623" t="s">
        <v>30</v>
      </c>
      <c r="D1623" t="s">
        <v>99</v>
      </c>
      <c r="E1623" t="s">
        <v>172</v>
      </c>
      <c r="F1623" t="s">
        <v>195</v>
      </c>
      <c r="G1623" t="s">
        <v>338</v>
      </c>
      <c r="H1623" t="s">
        <v>317</v>
      </c>
      <c r="I1623" t="s">
        <v>478</v>
      </c>
      <c r="J1623" t="s">
        <v>3099</v>
      </c>
      <c r="K1623" t="s">
        <v>37</v>
      </c>
      <c r="L1623" t="s">
        <v>169</v>
      </c>
      <c r="M1623" t="s">
        <v>106</v>
      </c>
      <c r="N1623" t="s">
        <v>40</v>
      </c>
      <c r="O1623" s="4">
        <v>2</v>
      </c>
      <c r="P1623" s="4">
        <v>10</v>
      </c>
      <c r="Q1623" t="s">
        <v>142</v>
      </c>
      <c r="R1623" s="2">
        <v>46179</v>
      </c>
      <c r="S1623" s="4">
        <v>24</v>
      </c>
      <c r="T1623" s="3">
        <v>191000000</v>
      </c>
      <c r="U1623" t="s">
        <v>42</v>
      </c>
      <c r="V1623" t="s">
        <v>43</v>
      </c>
      <c r="W1623" t="s">
        <v>178</v>
      </c>
      <c r="Y1623" t="s">
        <v>281</v>
      </c>
      <c r="Z1623" t="s">
        <v>3178</v>
      </c>
      <c r="AA1623" t="s">
        <v>181</v>
      </c>
      <c r="AB1623" t="s">
        <v>87</v>
      </c>
      <c r="AC1623" t="s">
        <v>181</v>
      </c>
    </row>
    <row r="1624" spans="1:29">
      <c r="A1624" t="s">
        <v>2041</v>
      </c>
      <c r="B1624" s="2">
        <v>46201</v>
      </c>
      <c r="C1624" t="s">
        <v>30</v>
      </c>
      <c r="D1624" t="s">
        <v>49</v>
      </c>
      <c r="E1624" t="s">
        <v>32</v>
      </c>
      <c r="F1624" t="s">
        <v>256</v>
      </c>
      <c r="G1624" t="s">
        <v>463</v>
      </c>
      <c r="H1624" t="s">
        <v>35</v>
      </c>
      <c r="I1624" t="s">
        <v>219</v>
      </c>
      <c r="J1624" t="s">
        <v>3028</v>
      </c>
      <c r="K1624" t="s">
        <v>37</v>
      </c>
      <c r="L1624" t="s">
        <v>80</v>
      </c>
      <c r="M1624" t="s">
        <v>106</v>
      </c>
      <c r="N1624" t="s">
        <v>82</v>
      </c>
      <c r="O1624" s="4">
        <v>1</v>
      </c>
      <c r="P1624" s="4">
        <v>5</v>
      </c>
      <c r="Q1624" t="s">
        <v>58</v>
      </c>
      <c r="R1624" s="2">
        <v>46198</v>
      </c>
      <c r="S1624" s="4">
        <v>5</v>
      </c>
      <c r="T1624" s="3">
        <v>123000000</v>
      </c>
      <c r="U1624" t="s">
        <v>42</v>
      </c>
      <c r="V1624" t="s">
        <v>43</v>
      </c>
      <c r="W1624" t="s">
        <v>359</v>
      </c>
      <c r="Y1624" t="s">
        <v>85</v>
      </c>
      <c r="Z1624" t="s">
        <v>3178</v>
      </c>
      <c r="AA1624" t="s">
        <v>46</v>
      </c>
      <c r="AB1624" t="s">
        <v>87</v>
      </c>
      <c r="AC1624" t="s">
        <v>46</v>
      </c>
    </row>
    <row r="1625" spans="1:29">
      <c r="A1625" t="s">
        <v>2042</v>
      </c>
      <c r="B1625" s="2">
        <v>46203</v>
      </c>
      <c r="C1625" t="s">
        <v>30</v>
      </c>
      <c r="D1625" t="s">
        <v>31</v>
      </c>
      <c r="E1625" t="s">
        <v>152</v>
      </c>
      <c r="F1625" t="s">
        <v>221</v>
      </c>
      <c r="G1625" t="s">
        <v>286</v>
      </c>
      <c r="H1625" t="s">
        <v>283</v>
      </c>
      <c r="I1625" t="s">
        <v>472</v>
      </c>
      <c r="J1625" t="s">
        <v>3097</v>
      </c>
      <c r="K1625" t="s">
        <v>56</v>
      </c>
      <c r="L1625" t="s">
        <v>80</v>
      </c>
      <c r="M1625" t="s">
        <v>129</v>
      </c>
      <c r="N1625" t="s">
        <v>130</v>
      </c>
      <c r="O1625" s="4">
        <v>5</v>
      </c>
      <c r="P1625" s="4">
        <v>13</v>
      </c>
      <c r="Q1625" t="s">
        <v>69</v>
      </c>
      <c r="R1625" s="2">
        <v>46196</v>
      </c>
      <c r="S1625" s="4">
        <v>7</v>
      </c>
      <c r="T1625" s="3">
        <v>189000000</v>
      </c>
      <c r="U1625" t="s">
        <v>42</v>
      </c>
      <c r="V1625" t="s">
        <v>70</v>
      </c>
      <c r="W1625" t="s">
        <v>131</v>
      </c>
      <c r="X1625" t="s">
        <v>253</v>
      </c>
      <c r="Y1625" t="s">
        <v>132</v>
      </c>
      <c r="Z1625" t="s">
        <v>3179</v>
      </c>
      <c r="AA1625" t="s">
        <v>159</v>
      </c>
      <c r="AB1625" t="s">
        <v>97</v>
      </c>
      <c r="AC1625" t="s">
        <v>159</v>
      </c>
    </row>
    <row r="1626" spans="1:29">
      <c r="A1626" t="s">
        <v>2043</v>
      </c>
      <c r="B1626" s="2">
        <v>46181</v>
      </c>
      <c r="C1626" t="s">
        <v>30</v>
      </c>
      <c r="D1626" t="s">
        <v>99</v>
      </c>
      <c r="E1626" t="s">
        <v>32</v>
      </c>
      <c r="F1626" t="s">
        <v>33</v>
      </c>
      <c r="G1626" t="s">
        <v>463</v>
      </c>
      <c r="H1626" t="s">
        <v>258</v>
      </c>
      <c r="I1626" t="s">
        <v>651</v>
      </c>
      <c r="J1626" t="s">
        <v>3141</v>
      </c>
      <c r="K1626" t="s">
        <v>105</v>
      </c>
      <c r="L1626" t="s">
        <v>55</v>
      </c>
      <c r="M1626" t="s">
        <v>93</v>
      </c>
      <c r="N1626" t="s">
        <v>196</v>
      </c>
      <c r="O1626" s="4">
        <v>7</v>
      </c>
      <c r="P1626" s="4">
        <v>8</v>
      </c>
      <c r="Q1626" t="s">
        <v>107</v>
      </c>
      <c r="R1626" s="2">
        <v>46176</v>
      </c>
      <c r="S1626" s="4">
        <v>27</v>
      </c>
      <c r="T1626" s="3">
        <v>265000000</v>
      </c>
      <c r="U1626" t="s">
        <v>196</v>
      </c>
      <c r="V1626" t="s">
        <v>70</v>
      </c>
      <c r="W1626" t="s">
        <v>243</v>
      </c>
      <c r="Y1626" t="s">
        <v>369</v>
      </c>
      <c r="Z1626" t="s">
        <v>3181</v>
      </c>
      <c r="AA1626" t="s">
        <v>46</v>
      </c>
      <c r="AB1626" t="s">
        <v>199</v>
      </c>
      <c r="AC1626" t="s">
        <v>46</v>
      </c>
    </row>
    <row r="1627" spans="1:29">
      <c r="A1627" t="s">
        <v>2044</v>
      </c>
      <c r="B1627" s="2">
        <v>46195</v>
      </c>
      <c r="C1627" t="s">
        <v>30</v>
      </c>
      <c r="D1627" t="s">
        <v>49</v>
      </c>
      <c r="E1627" t="s">
        <v>75</v>
      </c>
      <c r="F1627" t="s">
        <v>76</v>
      </c>
      <c r="G1627" t="s">
        <v>162</v>
      </c>
      <c r="H1627" t="s">
        <v>185</v>
      </c>
      <c r="I1627" t="s">
        <v>795</v>
      </c>
      <c r="J1627" t="s">
        <v>3155</v>
      </c>
      <c r="K1627" t="s">
        <v>56</v>
      </c>
      <c r="L1627" t="s">
        <v>68</v>
      </c>
      <c r="M1627" t="s">
        <v>81</v>
      </c>
      <c r="N1627" t="s">
        <v>94</v>
      </c>
      <c r="O1627" s="4">
        <v>4</v>
      </c>
      <c r="P1627" s="4">
        <v>10</v>
      </c>
      <c r="Q1627" t="s">
        <v>142</v>
      </c>
      <c r="R1627" s="2">
        <v>46190</v>
      </c>
      <c r="S1627" s="4">
        <v>13</v>
      </c>
      <c r="T1627" s="3">
        <v>215000000</v>
      </c>
      <c r="U1627" t="s">
        <v>42</v>
      </c>
      <c r="V1627" t="s">
        <v>70</v>
      </c>
      <c r="W1627" t="s">
        <v>188</v>
      </c>
      <c r="Y1627" t="s">
        <v>96</v>
      </c>
      <c r="Z1627" t="s">
        <v>3179</v>
      </c>
      <c r="AA1627" t="s">
        <v>86</v>
      </c>
      <c r="AB1627" t="s">
        <v>97</v>
      </c>
      <c r="AC1627" t="s">
        <v>86</v>
      </c>
    </row>
    <row r="1628" spans="1:29">
      <c r="A1628" t="s">
        <v>2045</v>
      </c>
      <c r="B1628" s="2">
        <v>46195</v>
      </c>
      <c r="C1628" t="s">
        <v>30</v>
      </c>
      <c r="D1628" t="s">
        <v>49</v>
      </c>
      <c r="E1628" t="s">
        <v>50</v>
      </c>
      <c r="F1628" t="s">
        <v>351</v>
      </c>
      <c r="G1628" t="s">
        <v>270</v>
      </c>
      <c r="H1628" t="s">
        <v>66</v>
      </c>
      <c r="I1628" t="s">
        <v>67</v>
      </c>
      <c r="J1628" t="s">
        <v>3010</v>
      </c>
      <c r="K1628" t="s">
        <v>37</v>
      </c>
      <c r="L1628" t="s">
        <v>55</v>
      </c>
      <c r="M1628" t="s">
        <v>164</v>
      </c>
      <c r="N1628" t="s">
        <v>213</v>
      </c>
      <c r="O1628" s="4">
        <v>6</v>
      </c>
      <c r="P1628" s="4">
        <v>13</v>
      </c>
      <c r="Q1628" t="s">
        <v>83</v>
      </c>
      <c r="R1628" s="2">
        <v>46188</v>
      </c>
      <c r="S1628" s="4">
        <v>15</v>
      </c>
      <c r="T1628" s="3">
        <v>115000000</v>
      </c>
      <c r="U1628" t="s">
        <v>42</v>
      </c>
      <c r="V1628" t="s">
        <v>143</v>
      </c>
      <c r="W1628" t="s">
        <v>438</v>
      </c>
      <c r="Y1628" t="s">
        <v>249</v>
      </c>
      <c r="Z1628" t="s">
        <v>3179</v>
      </c>
      <c r="AA1628" t="s">
        <v>62</v>
      </c>
      <c r="AB1628" t="s">
        <v>97</v>
      </c>
      <c r="AC1628" t="s">
        <v>62</v>
      </c>
    </row>
    <row r="1629" spans="1:29">
      <c r="A1629" t="s">
        <v>2046</v>
      </c>
      <c r="B1629" s="2">
        <v>46200</v>
      </c>
      <c r="C1629" t="s">
        <v>30</v>
      </c>
      <c r="D1629" t="s">
        <v>49</v>
      </c>
      <c r="E1629" t="s">
        <v>152</v>
      </c>
      <c r="F1629" t="s">
        <v>221</v>
      </c>
      <c r="G1629" t="s">
        <v>294</v>
      </c>
      <c r="H1629" t="s">
        <v>207</v>
      </c>
      <c r="I1629" t="s">
        <v>222</v>
      </c>
      <c r="J1629" t="s">
        <v>3029</v>
      </c>
      <c r="K1629" t="s">
        <v>37</v>
      </c>
      <c r="L1629" t="s">
        <v>68</v>
      </c>
      <c r="M1629" t="s">
        <v>56</v>
      </c>
      <c r="N1629" t="s">
        <v>94</v>
      </c>
      <c r="O1629" s="4">
        <v>4</v>
      </c>
      <c r="P1629" s="4">
        <v>17</v>
      </c>
      <c r="Q1629" t="s">
        <v>107</v>
      </c>
      <c r="R1629" s="2">
        <v>46197</v>
      </c>
      <c r="S1629" s="4">
        <v>6</v>
      </c>
      <c r="T1629" s="3">
        <v>142000000</v>
      </c>
      <c r="U1629" t="s">
        <v>42</v>
      </c>
      <c r="V1629" t="s">
        <v>59</v>
      </c>
      <c r="W1629" t="s">
        <v>188</v>
      </c>
      <c r="Y1629" t="s">
        <v>268</v>
      </c>
      <c r="Z1629" t="s">
        <v>3179</v>
      </c>
      <c r="AA1629" t="s">
        <v>159</v>
      </c>
      <c r="AB1629" t="s">
        <v>97</v>
      </c>
      <c r="AC1629" t="s">
        <v>159</v>
      </c>
    </row>
    <row r="1630" spans="1:29">
      <c r="A1630" t="s">
        <v>2047</v>
      </c>
      <c r="B1630" s="2">
        <v>46189</v>
      </c>
      <c r="C1630" t="s">
        <v>30</v>
      </c>
      <c r="D1630" t="s">
        <v>74</v>
      </c>
      <c r="E1630" t="s">
        <v>100</v>
      </c>
      <c r="F1630" t="s">
        <v>101</v>
      </c>
      <c r="G1630" t="s">
        <v>237</v>
      </c>
      <c r="H1630" t="s">
        <v>148</v>
      </c>
      <c r="I1630" t="s">
        <v>532</v>
      </c>
      <c r="J1630" t="s">
        <v>3111</v>
      </c>
      <c r="K1630" t="s">
        <v>105</v>
      </c>
      <c r="L1630" t="s">
        <v>187</v>
      </c>
      <c r="M1630" t="s">
        <v>129</v>
      </c>
      <c r="N1630" t="s">
        <v>213</v>
      </c>
      <c r="O1630" s="4">
        <v>6</v>
      </c>
      <c r="P1630" s="4">
        <v>15</v>
      </c>
      <c r="Q1630" t="s">
        <v>69</v>
      </c>
      <c r="R1630" s="2">
        <v>46183</v>
      </c>
      <c r="S1630" s="4">
        <v>20</v>
      </c>
      <c r="T1630" s="3">
        <v>228000000</v>
      </c>
      <c r="U1630" t="s">
        <v>214</v>
      </c>
      <c r="V1630" t="s">
        <v>70</v>
      </c>
      <c r="W1630" t="s">
        <v>248</v>
      </c>
      <c r="Y1630" t="s">
        <v>424</v>
      </c>
      <c r="Z1630" t="s">
        <v>3179</v>
      </c>
      <c r="AA1630" t="s">
        <v>109</v>
      </c>
      <c r="AB1630" t="s">
        <v>97</v>
      </c>
      <c r="AC1630" t="s">
        <v>109</v>
      </c>
    </row>
    <row r="1631" spans="1:29">
      <c r="A1631" t="s">
        <v>2048</v>
      </c>
      <c r="B1631" s="2">
        <v>46188</v>
      </c>
      <c r="C1631" t="s">
        <v>30</v>
      </c>
      <c r="D1631" t="s">
        <v>74</v>
      </c>
      <c r="E1631" t="s">
        <v>111</v>
      </c>
      <c r="F1631" t="s">
        <v>112</v>
      </c>
      <c r="G1631" t="s">
        <v>251</v>
      </c>
      <c r="H1631" t="s">
        <v>114</v>
      </c>
      <c r="I1631" t="s">
        <v>988</v>
      </c>
      <c r="J1631" t="s">
        <v>3168</v>
      </c>
      <c r="K1631" t="s">
        <v>56</v>
      </c>
      <c r="L1631" t="s">
        <v>68</v>
      </c>
      <c r="M1631" t="s">
        <v>56</v>
      </c>
      <c r="N1631" t="s">
        <v>94</v>
      </c>
      <c r="O1631" s="4">
        <v>4</v>
      </c>
      <c r="P1631" s="4">
        <v>13</v>
      </c>
      <c r="Q1631" t="s">
        <v>41</v>
      </c>
      <c r="R1631" s="2">
        <v>46186</v>
      </c>
      <c r="S1631" s="4">
        <v>17</v>
      </c>
      <c r="T1631" s="3">
        <v>307000000</v>
      </c>
      <c r="U1631" t="s">
        <v>426</v>
      </c>
      <c r="V1631" t="s">
        <v>59</v>
      </c>
      <c r="W1631" t="s">
        <v>267</v>
      </c>
      <c r="X1631" t="s">
        <v>179</v>
      </c>
      <c r="Y1631" t="s">
        <v>108</v>
      </c>
      <c r="Z1631" t="s">
        <v>3179</v>
      </c>
      <c r="AA1631" t="s">
        <v>118</v>
      </c>
      <c r="AB1631" t="s">
        <v>97</v>
      </c>
      <c r="AC1631" t="s">
        <v>118</v>
      </c>
    </row>
    <row r="1632" spans="1:29">
      <c r="A1632" t="s">
        <v>2049</v>
      </c>
      <c r="B1632" s="2">
        <v>46183</v>
      </c>
      <c r="C1632" t="s">
        <v>30</v>
      </c>
      <c r="D1632" t="s">
        <v>99</v>
      </c>
      <c r="E1632" t="s">
        <v>111</v>
      </c>
      <c r="F1632" t="s">
        <v>112</v>
      </c>
      <c r="G1632" t="s">
        <v>265</v>
      </c>
      <c r="H1632" t="s">
        <v>191</v>
      </c>
      <c r="I1632" t="s">
        <v>606</v>
      </c>
      <c r="J1632" t="s">
        <v>3131</v>
      </c>
      <c r="K1632" t="s">
        <v>92</v>
      </c>
      <c r="L1632" t="s">
        <v>150</v>
      </c>
      <c r="M1632" t="s">
        <v>106</v>
      </c>
      <c r="N1632" t="s">
        <v>82</v>
      </c>
      <c r="O1632" s="4">
        <v>1</v>
      </c>
      <c r="P1632" s="4">
        <v>5</v>
      </c>
      <c r="Q1632" t="s">
        <v>83</v>
      </c>
      <c r="R1632" s="2">
        <v>46179</v>
      </c>
      <c r="S1632" s="4">
        <v>24</v>
      </c>
      <c r="T1632" s="3">
        <v>121000000</v>
      </c>
      <c r="U1632" t="s">
        <v>42</v>
      </c>
      <c r="V1632" t="s">
        <v>43</v>
      </c>
      <c r="W1632" t="s">
        <v>290</v>
      </c>
      <c r="Y1632" t="s">
        <v>305</v>
      </c>
      <c r="Z1632" t="s">
        <v>3178</v>
      </c>
      <c r="AA1632" t="s">
        <v>118</v>
      </c>
      <c r="AB1632" t="s">
        <v>87</v>
      </c>
      <c r="AC1632" t="s">
        <v>118</v>
      </c>
    </row>
    <row r="1633" spans="1:29">
      <c r="A1633" t="s">
        <v>2050</v>
      </c>
      <c r="B1633" s="2">
        <v>46187</v>
      </c>
      <c r="C1633" t="s">
        <v>30</v>
      </c>
      <c r="D1633" t="s">
        <v>99</v>
      </c>
      <c r="E1633" t="s">
        <v>50</v>
      </c>
      <c r="F1633" t="s">
        <v>51</v>
      </c>
      <c r="G1633" t="s">
        <v>65</v>
      </c>
      <c r="H1633" t="s">
        <v>53</v>
      </c>
      <c r="I1633" t="s">
        <v>368</v>
      </c>
      <c r="J1633" t="s">
        <v>3064</v>
      </c>
      <c r="K1633" t="s">
        <v>37</v>
      </c>
      <c r="L1633" t="s">
        <v>68</v>
      </c>
      <c r="M1633" t="s">
        <v>56</v>
      </c>
      <c r="N1633" t="s">
        <v>82</v>
      </c>
      <c r="O1633" s="4">
        <v>1</v>
      </c>
      <c r="P1633" s="4">
        <v>11</v>
      </c>
      <c r="Q1633" t="s">
        <v>138</v>
      </c>
      <c r="R1633" s="2">
        <v>46180</v>
      </c>
      <c r="S1633" s="4">
        <v>23</v>
      </c>
      <c r="T1633" s="3">
        <v>183000000</v>
      </c>
      <c r="U1633" t="s">
        <v>42</v>
      </c>
      <c r="V1633" t="s">
        <v>43</v>
      </c>
      <c r="W1633" t="s">
        <v>404</v>
      </c>
      <c r="Y1633" t="s">
        <v>291</v>
      </c>
      <c r="Z1633" t="s">
        <v>3178</v>
      </c>
      <c r="AA1633" t="s">
        <v>62</v>
      </c>
      <c r="AB1633" t="s">
        <v>87</v>
      </c>
      <c r="AC1633" t="s">
        <v>62</v>
      </c>
    </row>
    <row r="1634" spans="1:29">
      <c r="A1634" t="s">
        <v>2051</v>
      </c>
      <c r="B1634" s="2">
        <v>46180</v>
      </c>
      <c r="C1634" t="s">
        <v>30</v>
      </c>
      <c r="D1634" t="s">
        <v>134</v>
      </c>
      <c r="E1634" t="s">
        <v>32</v>
      </c>
      <c r="F1634" t="s">
        <v>33</v>
      </c>
      <c r="G1634" t="s">
        <v>463</v>
      </c>
      <c r="H1634" t="s">
        <v>35</v>
      </c>
      <c r="I1634" t="s">
        <v>604</v>
      </c>
      <c r="J1634" t="s">
        <v>3130</v>
      </c>
      <c r="K1634" t="s">
        <v>105</v>
      </c>
      <c r="L1634" t="s">
        <v>38</v>
      </c>
      <c r="M1634" t="s">
        <v>39</v>
      </c>
      <c r="N1634" t="s">
        <v>94</v>
      </c>
      <c r="O1634" s="4">
        <v>4</v>
      </c>
      <c r="P1634" s="4">
        <v>2</v>
      </c>
      <c r="Q1634" t="s">
        <v>83</v>
      </c>
      <c r="R1634" s="2">
        <v>46175</v>
      </c>
      <c r="S1634" s="4">
        <v>28</v>
      </c>
      <c r="T1634" s="3">
        <v>83000000</v>
      </c>
      <c r="U1634" t="s">
        <v>42</v>
      </c>
      <c r="V1634" t="s">
        <v>59</v>
      </c>
      <c r="W1634" t="s">
        <v>170</v>
      </c>
      <c r="Y1634" t="s">
        <v>96</v>
      </c>
      <c r="Z1634" t="s">
        <v>3179</v>
      </c>
      <c r="AA1634" t="s">
        <v>46</v>
      </c>
      <c r="AB1634" t="s">
        <v>97</v>
      </c>
      <c r="AC1634" t="s">
        <v>46</v>
      </c>
    </row>
    <row r="1635" spans="1:29">
      <c r="A1635" t="s">
        <v>2052</v>
      </c>
      <c r="B1635" s="2">
        <v>46184</v>
      </c>
      <c r="C1635" t="s">
        <v>30</v>
      </c>
      <c r="D1635" t="s">
        <v>99</v>
      </c>
      <c r="E1635" t="s">
        <v>172</v>
      </c>
      <c r="F1635" t="s">
        <v>277</v>
      </c>
      <c r="G1635" t="s">
        <v>289</v>
      </c>
      <c r="H1635" t="s">
        <v>175</v>
      </c>
      <c r="I1635" t="s">
        <v>333</v>
      </c>
      <c r="J1635" t="s">
        <v>3054</v>
      </c>
      <c r="K1635" t="s">
        <v>105</v>
      </c>
      <c r="L1635" t="s">
        <v>187</v>
      </c>
      <c r="M1635" t="s">
        <v>129</v>
      </c>
      <c r="N1635" t="s">
        <v>196</v>
      </c>
      <c r="O1635" s="4">
        <v>7</v>
      </c>
      <c r="P1635" s="4">
        <v>20</v>
      </c>
      <c r="Q1635" t="s">
        <v>41</v>
      </c>
      <c r="R1635" s="2">
        <v>46184</v>
      </c>
      <c r="S1635" s="4">
        <v>19</v>
      </c>
      <c r="T1635" s="3">
        <v>212000000</v>
      </c>
      <c r="U1635" t="s">
        <v>196</v>
      </c>
      <c r="V1635" t="s">
        <v>70</v>
      </c>
      <c r="W1635" t="s">
        <v>209</v>
      </c>
      <c r="Y1635" t="s">
        <v>244</v>
      </c>
      <c r="Z1635" t="s">
        <v>3181</v>
      </c>
      <c r="AA1635" t="s">
        <v>181</v>
      </c>
      <c r="AB1635" t="s">
        <v>199</v>
      </c>
      <c r="AC1635" t="s">
        <v>181</v>
      </c>
    </row>
    <row r="1636" spans="1:29">
      <c r="A1636" t="s">
        <v>2053</v>
      </c>
      <c r="B1636" s="2">
        <v>46187</v>
      </c>
      <c r="C1636" t="s">
        <v>30</v>
      </c>
      <c r="D1636" t="s">
        <v>99</v>
      </c>
      <c r="E1636" t="s">
        <v>75</v>
      </c>
      <c r="F1636" t="s">
        <v>76</v>
      </c>
      <c r="G1636" t="s">
        <v>230</v>
      </c>
      <c r="H1636" t="s">
        <v>388</v>
      </c>
      <c r="I1636" t="s">
        <v>661</v>
      </c>
      <c r="J1636" t="s">
        <v>3144</v>
      </c>
      <c r="K1636" t="s">
        <v>56</v>
      </c>
      <c r="L1636" t="s">
        <v>187</v>
      </c>
      <c r="M1636" t="s">
        <v>164</v>
      </c>
      <c r="N1636" t="s">
        <v>57</v>
      </c>
      <c r="O1636" s="4">
        <v>3</v>
      </c>
      <c r="P1636" s="4">
        <v>5</v>
      </c>
      <c r="Q1636" t="s">
        <v>138</v>
      </c>
      <c r="R1636" s="2">
        <v>46185</v>
      </c>
      <c r="S1636" s="4">
        <v>18</v>
      </c>
      <c r="T1636" s="3">
        <v>321000000</v>
      </c>
      <c r="U1636" t="s">
        <v>260</v>
      </c>
      <c r="V1636" t="s">
        <v>70</v>
      </c>
      <c r="W1636" t="s">
        <v>60</v>
      </c>
      <c r="X1636" t="s">
        <v>520</v>
      </c>
      <c r="Y1636" t="s">
        <v>165</v>
      </c>
      <c r="Z1636" t="s">
        <v>3177</v>
      </c>
      <c r="AA1636" t="s">
        <v>86</v>
      </c>
      <c r="AB1636" t="s">
        <v>63</v>
      </c>
      <c r="AC1636" t="s">
        <v>86</v>
      </c>
    </row>
    <row r="1637" spans="1:29">
      <c r="A1637" t="s">
        <v>2054</v>
      </c>
      <c r="B1637" s="2">
        <v>46197</v>
      </c>
      <c r="C1637" t="s">
        <v>30</v>
      </c>
      <c r="D1637" t="s">
        <v>49</v>
      </c>
      <c r="E1637" t="s">
        <v>50</v>
      </c>
      <c r="F1637" t="s">
        <v>351</v>
      </c>
      <c r="G1637" t="s">
        <v>52</v>
      </c>
      <c r="H1637" t="s">
        <v>66</v>
      </c>
      <c r="I1637" t="s">
        <v>346</v>
      </c>
      <c r="J1637" t="s">
        <v>3058</v>
      </c>
      <c r="K1637" t="s">
        <v>37</v>
      </c>
      <c r="L1637" t="s">
        <v>169</v>
      </c>
      <c r="M1637" t="s">
        <v>39</v>
      </c>
      <c r="N1637" t="s">
        <v>130</v>
      </c>
      <c r="O1637" s="4">
        <v>5</v>
      </c>
      <c r="P1637" s="4">
        <v>15</v>
      </c>
      <c r="Q1637" t="s">
        <v>69</v>
      </c>
      <c r="R1637" s="2">
        <v>46192</v>
      </c>
      <c r="S1637" s="4">
        <v>11</v>
      </c>
      <c r="T1637" s="3">
        <v>200000000</v>
      </c>
      <c r="U1637" t="s">
        <v>42</v>
      </c>
      <c r="V1637" t="s">
        <v>143</v>
      </c>
      <c r="W1637" t="s">
        <v>252</v>
      </c>
      <c r="Y1637" t="s">
        <v>254</v>
      </c>
      <c r="Z1637" t="s">
        <v>3179</v>
      </c>
      <c r="AA1637" t="s">
        <v>62</v>
      </c>
      <c r="AB1637" t="s">
        <v>97</v>
      </c>
      <c r="AC1637" t="s">
        <v>62</v>
      </c>
    </row>
    <row r="1638" spans="1:29">
      <c r="A1638" t="s">
        <v>2055</v>
      </c>
      <c r="B1638" s="2">
        <v>46192</v>
      </c>
      <c r="C1638" t="s">
        <v>30</v>
      </c>
      <c r="D1638" t="s">
        <v>74</v>
      </c>
      <c r="E1638" t="s">
        <v>152</v>
      </c>
      <c r="F1638" t="s">
        <v>221</v>
      </c>
      <c r="G1638" t="s">
        <v>294</v>
      </c>
      <c r="H1638" t="s">
        <v>207</v>
      </c>
      <c r="I1638" t="s">
        <v>547</v>
      </c>
      <c r="J1638" t="s">
        <v>3116</v>
      </c>
      <c r="K1638" t="s">
        <v>105</v>
      </c>
      <c r="L1638" t="s">
        <v>68</v>
      </c>
      <c r="M1638" t="s">
        <v>56</v>
      </c>
      <c r="N1638" t="s">
        <v>82</v>
      </c>
      <c r="O1638" s="4">
        <v>1</v>
      </c>
      <c r="P1638" s="4">
        <v>11</v>
      </c>
      <c r="Q1638" t="s">
        <v>41</v>
      </c>
      <c r="R1638" s="2">
        <v>46188</v>
      </c>
      <c r="S1638" s="4">
        <v>15</v>
      </c>
      <c r="T1638" s="3">
        <v>261000000</v>
      </c>
      <c r="U1638" t="s">
        <v>42</v>
      </c>
      <c r="V1638" t="s">
        <v>43</v>
      </c>
      <c r="W1638" t="s">
        <v>84</v>
      </c>
      <c r="Y1638" t="s">
        <v>291</v>
      </c>
      <c r="Z1638" t="s">
        <v>3178</v>
      </c>
      <c r="AA1638" t="s">
        <v>159</v>
      </c>
      <c r="AB1638" t="s">
        <v>87</v>
      </c>
      <c r="AC1638" t="s">
        <v>159</v>
      </c>
    </row>
    <row r="1639" spans="1:29">
      <c r="A1639" t="s">
        <v>2056</v>
      </c>
      <c r="B1639" s="2">
        <v>46184</v>
      </c>
      <c r="C1639" t="s">
        <v>30</v>
      </c>
      <c r="D1639" t="s">
        <v>99</v>
      </c>
      <c r="E1639" t="s">
        <v>32</v>
      </c>
      <c r="F1639" t="s">
        <v>33</v>
      </c>
      <c r="G1639" t="s">
        <v>34</v>
      </c>
      <c r="H1639" t="s">
        <v>303</v>
      </c>
      <c r="I1639" t="s">
        <v>964</v>
      </c>
      <c r="J1639" t="s">
        <v>3167</v>
      </c>
      <c r="K1639" t="s">
        <v>105</v>
      </c>
      <c r="L1639" t="s">
        <v>55</v>
      </c>
      <c r="M1639" t="s">
        <v>106</v>
      </c>
      <c r="N1639" t="s">
        <v>40</v>
      </c>
      <c r="O1639" s="4">
        <v>2</v>
      </c>
      <c r="P1639" s="4">
        <v>4</v>
      </c>
      <c r="Q1639" t="s">
        <v>41</v>
      </c>
      <c r="R1639" s="2">
        <v>46180</v>
      </c>
      <c r="S1639" s="4">
        <v>23</v>
      </c>
      <c r="T1639" s="3">
        <v>89000000</v>
      </c>
      <c r="U1639" t="s">
        <v>42</v>
      </c>
      <c r="V1639" t="s">
        <v>43</v>
      </c>
      <c r="W1639" t="s">
        <v>298</v>
      </c>
      <c r="Y1639" t="s">
        <v>180</v>
      </c>
      <c r="Z1639" t="s">
        <v>3176</v>
      </c>
      <c r="AA1639" t="s">
        <v>46</v>
      </c>
      <c r="AB1639" t="s">
        <v>47</v>
      </c>
      <c r="AC1639" t="s">
        <v>46</v>
      </c>
    </row>
    <row r="1640" spans="1:29">
      <c r="A1640" t="s">
        <v>2057</v>
      </c>
      <c r="B1640" s="2">
        <v>46202</v>
      </c>
      <c r="C1640" t="s">
        <v>30</v>
      </c>
      <c r="D1640" t="s">
        <v>31</v>
      </c>
      <c r="E1640" t="s">
        <v>75</v>
      </c>
      <c r="F1640" t="s">
        <v>183</v>
      </c>
      <c r="G1640" t="s">
        <v>77</v>
      </c>
      <c r="H1640" t="s">
        <v>78</v>
      </c>
      <c r="I1640" t="s">
        <v>494</v>
      </c>
      <c r="J1640" t="s">
        <v>3104</v>
      </c>
      <c r="K1640" t="s">
        <v>116</v>
      </c>
      <c r="L1640" t="s">
        <v>38</v>
      </c>
      <c r="M1640" t="s">
        <v>39</v>
      </c>
      <c r="N1640" t="s">
        <v>130</v>
      </c>
      <c r="O1640" s="4">
        <v>5</v>
      </c>
      <c r="P1640" s="4">
        <v>8</v>
      </c>
      <c r="Q1640" t="s">
        <v>41</v>
      </c>
      <c r="R1640" s="2">
        <v>46202</v>
      </c>
      <c r="S1640" s="4">
        <v>1</v>
      </c>
      <c r="T1640" s="3">
        <v>41000000</v>
      </c>
      <c r="U1640" t="s">
        <v>42</v>
      </c>
      <c r="V1640" t="s">
        <v>59</v>
      </c>
      <c r="W1640" t="s">
        <v>144</v>
      </c>
      <c r="Y1640" t="s">
        <v>334</v>
      </c>
      <c r="Z1640" t="s">
        <v>3179</v>
      </c>
      <c r="AA1640" t="s">
        <v>86</v>
      </c>
      <c r="AB1640" t="s">
        <v>97</v>
      </c>
      <c r="AC1640" t="s">
        <v>86</v>
      </c>
    </row>
    <row r="1641" spans="1:29">
      <c r="A1641" t="s">
        <v>2058</v>
      </c>
      <c r="B1641" s="2">
        <v>46178</v>
      </c>
      <c r="C1641" t="s">
        <v>30</v>
      </c>
      <c r="D1641" t="s">
        <v>134</v>
      </c>
      <c r="E1641" t="s">
        <v>152</v>
      </c>
      <c r="F1641" t="s">
        <v>153</v>
      </c>
      <c r="G1641" t="s">
        <v>206</v>
      </c>
      <c r="H1641" t="s">
        <v>155</v>
      </c>
      <c r="I1641" t="s">
        <v>443</v>
      </c>
      <c r="J1641" t="s">
        <v>3086</v>
      </c>
      <c r="K1641" t="s">
        <v>105</v>
      </c>
      <c r="L1641" t="s">
        <v>38</v>
      </c>
      <c r="M1641" t="s">
        <v>106</v>
      </c>
      <c r="N1641" t="s">
        <v>94</v>
      </c>
      <c r="O1641" s="4">
        <v>4</v>
      </c>
      <c r="P1641" s="4">
        <v>8</v>
      </c>
      <c r="Q1641" t="s">
        <v>107</v>
      </c>
      <c r="R1641" s="2">
        <v>46168</v>
      </c>
      <c r="S1641" s="4">
        <v>35</v>
      </c>
      <c r="T1641" s="3">
        <v>209000000</v>
      </c>
      <c r="U1641" t="s">
        <v>42</v>
      </c>
      <c r="V1641" t="s">
        <v>59</v>
      </c>
      <c r="W1641" t="s">
        <v>170</v>
      </c>
      <c r="X1641" t="s">
        <v>117</v>
      </c>
      <c r="Y1641" t="s">
        <v>108</v>
      </c>
      <c r="Z1641" t="s">
        <v>3179</v>
      </c>
      <c r="AA1641" t="s">
        <v>159</v>
      </c>
      <c r="AB1641" t="s">
        <v>97</v>
      </c>
      <c r="AC1641" t="s">
        <v>159</v>
      </c>
    </row>
    <row r="1642" spans="1:29">
      <c r="A1642" t="s">
        <v>2059</v>
      </c>
      <c r="B1642" s="2">
        <v>46190</v>
      </c>
      <c r="C1642" t="s">
        <v>30</v>
      </c>
      <c r="D1642" t="s">
        <v>74</v>
      </c>
      <c r="E1642" t="s">
        <v>32</v>
      </c>
      <c r="F1642" t="s">
        <v>33</v>
      </c>
      <c r="G1642" t="s">
        <v>257</v>
      </c>
      <c r="H1642" t="s">
        <v>303</v>
      </c>
      <c r="I1642" t="s">
        <v>1021</v>
      </c>
      <c r="J1642" t="s">
        <v>3171</v>
      </c>
      <c r="K1642" t="s">
        <v>92</v>
      </c>
      <c r="L1642" t="s">
        <v>187</v>
      </c>
      <c r="M1642" t="s">
        <v>81</v>
      </c>
      <c r="N1642" t="s">
        <v>40</v>
      </c>
      <c r="O1642" s="4">
        <v>2</v>
      </c>
      <c r="P1642" s="4">
        <v>1</v>
      </c>
      <c r="Q1642" t="s">
        <v>138</v>
      </c>
      <c r="R1642" s="2">
        <v>46182</v>
      </c>
      <c r="S1642" s="4">
        <v>21</v>
      </c>
      <c r="T1642" s="3">
        <v>170000000</v>
      </c>
      <c r="U1642" t="s">
        <v>42</v>
      </c>
      <c r="V1642" t="s">
        <v>59</v>
      </c>
      <c r="W1642" t="s">
        <v>239</v>
      </c>
      <c r="Y1642" t="s">
        <v>281</v>
      </c>
      <c r="Z1642" t="s">
        <v>3176</v>
      </c>
      <c r="AA1642" t="s">
        <v>46</v>
      </c>
      <c r="AB1642" t="s">
        <v>47</v>
      </c>
      <c r="AC1642" t="s">
        <v>46</v>
      </c>
    </row>
    <row r="1643" spans="1:29">
      <c r="A1643" t="s">
        <v>2060</v>
      </c>
      <c r="B1643" s="2">
        <v>46184</v>
      </c>
      <c r="C1643" t="s">
        <v>30</v>
      </c>
      <c r="D1643" t="s">
        <v>99</v>
      </c>
      <c r="E1643" t="s">
        <v>172</v>
      </c>
      <c r="F1643" t="s">
        <v>195</v>
      </c>
      <c r="G1643" t="s">
        <v>278</v>
      </c>
      <c r="H1643" t="s">
        <v>317</v>
      </c>
      <c r="I1643" t="s">
        <v>407</v>
      </c>
      <c r="J1643" t="s">
        <v>3075</v>
      </c>
      <c r="K1643" t="s">
        <v>92</v>
      </c>
      <c r="L1643" t="s">
        <v>169</v>
      </c>
      <c r="M1643" t="s">
        <v>39</v>
      </c>
      <c r="N1643" t="s">
        <v>57</v>
      </c>
      <c r="O1643" s="4">
        <v>3</v>
      </c>
      <c r="P1643" s="4">
        <v>9</v>
      </c>
      <c r="Q1643" t="s">
        <v>107</v>
      </c>
      <c r="R1643" s="2">
        <v>46183</v>
      </c>
      <c r="S1643" s="4">
        <v>20</v>
      </c>
      <c r="T1643" s="3">
        <v>62000000</v>
      </c>
      <c r="U1643" t="s">
        <v>42</v>
      </c>
      <c r="V1643" t="s">
        <v>43</v>
      </c>
      <c r="W1643" t="s">
        <v>157</v>
      </c>
      <c r="Y1643" t="s">
        <v>158</v>
      </c>
      <c r="Z1643" t="s">
        <v>3177</v>
      </c>
      <c r="AA1643" t="s">
        <v>181</v>
      </c>
      <c r="AB1643" t="s">
        <v>63</v>
      </c>
      <c r="AC1643" t="s">
        <v>181</v>
      </c>
    </row>
    <row r="1644" spans="1:29">
      <c r="A1644" t="s">
        <v>2061</v>
      </c>
      <c r="B1644" s="2">
        <v>46197</v>
      </c>
      <c r="C1644" t="s">
        <v>30</v>
      </c>
      <c r="D1644" t="s">
        <v>49</v>
      </c>
      <c r="E1644" t="s">
        <v>50</v>
      </c>
      <c r="F1644" t="s">
        <v>51</v>
      </c>
      <c r="G1644" t="s">
        <v>234</v>
      </c>
      <c r="H1644" t="s">
        <v>90</v>
      </c>
      <c r="I1644" t="s">
        <v>842</v>
      </c>
      <c r="J1644" t="s">
        <v>3161</v>
      </c>
      <c r="K1644" t="s">
        <v>56</v>
      </c>
      <c r="L1644" t="s">
        <v>55</v>
      </c>
      <c r="M1644" t="s">
        <v>106</v>
      </c>
      <c r="N1644" t="s">
        <v>196</v>
      </c>
      <c r="O1644" s="4">
        <v>7</v>
      </c>
      <c r="P1644" s="4">
        <v>17</v>
      </c>
      <c r="Q1644" t="s">
        <v>138</v>
      </c>
      <c r="R1644" s="2">
        <v>46193</v>
      </c>
      <c r="S1644" s="4">
        <v>10</v>
      </c>
      <c r="T1644" s="3">
        <v>331000000</v>
      </c>
      <c r="U1644" t="s">
        <v>196</v>
      </c>
      <c r="V1644" t="s">
        <v>70</v>
      </c>
      <c r="W1644" t="s">
        <v>243</v>
      </c>
      <c r="Y1644" t="s">
        <v>244</v>
      </c>
      <c r="Z1644" t="s">
        <v>3181</v>
      </c>
      <c r="AA1644" t="s">
        <v>62</v>
      </c>
      <c r="AB1644" t="s">
        <v>199</v>
      </c>
      <c r="AC1644" t="s">
        <v>62</v>
      </c>
    </row>
    <row r="1645" spans="1:29">
      <c r="A1645" t="s">
        <v>2062</v>
      </c>
      <c r="B1645" s="2">
        <v>46175</v>
      </c>
      <c r="C1645" t="s">
        <v>30</v>
      </c>
      <c r="D1645" t="s">
        <v>134</v>
      </c>
      <c r="E1645" t="s">
        <v>75</v>
      </c>
      <c r="F1645" t="s">
        <v>76</v>
      </c>
      <c r="G1645" t="s">
        <v>184</v>
      </c>
      <c r="H1645" t="s">
        <v>388</v>
      </c>
      <c r="I1645" t="s">
        <v>661</v>
      </c>
      <c r="J1645" t="s">
        <v>3144</v>
      </c>
      <c r="K1645" t="s">
        <v>116</v>
      </c>
      <c r="L1645" t="s">
        <v>80</v>
      </c>
      <c r="M1645" t="s">
        <v>39</v>
      </c>
      <c r="N1645" t="s">
        <v>94</v>
      </c>
      <c r="O1645" s="4">
        <v>4</v>
      </c>
      <c r="P1645" s="4">
        <v>7</v>
      </c>
      <c r="Q1645" t="s">
        <v>83</v>
      </c>
      <c r="R1645" s="2">
        <v>46170</v>
      </c>
      <c r="S1645" s="4">
        <v>33</v>
      </c>
      <c r="T1645" s="3">
        <v>47000000</v>
      </c>
      <c r="U1645" t="s">
        <v>42</v>
      </c>
      <c r="V1645" t="s">
        <v>59</v>
      </c>
      <c r="W1645" t="s">
        <v>267</v>
      </c>
      <c r="Y1645" t="s">
        <v>96</v>
      </c>
      <c r="Z1645" t="s">
        <v>3179</v>
      </c>
      <c r="AA1645" t="s">
        <v>86</v>
      </c>
      <c r="AB1645" t="s">
        <v>97</v>
      </c>
      <c r="AC1645" t="s">
        <v>86</v>
      </c>
    </row>
    <row r="1646" spans="1:29">
      <c r="A1646" t="s">
        <v>2063</v>
      </c>
      <c r="B1646" s="2">
        <v>46177</v>
      </c>
      <c r="C1646" t="s">
        <v>30</v>
      </c>
      <c r="D1646" t="s">
        <v>134</v>
      </c>
      <c r="E1646" t="s">
        <v>172</v>
      </c>
      <c r="F1646" t="s">
        <v>195</v>
      </c>
      <c r="G1646" t="s">
        <v>278</v>
      </c>
      <c r="H1646" t="s">
        <v>317</v>
      </c>
      <c r="I1646" t="s">
        <v>407</v>
      </c>
      <c r="J1646" t="s">
        <v>3075</v>
      </c>
      <c r="K1646" t="s">
        <v>56</v>
      </c>
      <c r="L1646" t="s">
        <v>55</v>
      </c>
      <c r="M1646" t="s">
        <v>56</v>
      </c>
      <c r="N1646" t="s">
        <v>82</v>
      </c>
      <c r="O1646" s="4">
        <v>1</v>
      </c>
      <c r="P1646" s="4">
        <v>4</v>
      </c>
      <c r="Q1646" t="s">
        <v>107</v>
      </c>
      <c r="R1646" s="2">
        <v>46168</v>
      </c>
      <c r="S1646" s="4">
        <v>35</v>
      </c>
      <c r="T1646" s="3">
        <v>350000000</v>
      </c>
      <c r="U1646" t="s">
        <v>42</v>
      </c>
      <c r="V1646" t="s">
        <v>43</v>
      </c>
      <c r="W1646" t="s">
        <v>359</v>
      </c>
      <c r="Y1646" t="s">
        <v>305</v>
      </c>
      <c r="Z1646" t="s">
        <v>3176</v>
      </c>
      <c r="AA1646" t="s">
        <v>181</v>
      </c>
      <c r="AB1646" t="s">
        <v>47</v>
      </c>
      <c r="AC1646" t="s">
        <v>181</v>
      </c>
    </row>
    <row r="1647" spans="1:29">
      <c r="A1647" t="s">
        <v>2064</v>
      </c>
      <c r="B1647" s="2">
        <v>46185</v>
      </c>
      <c r="C1647" t="s">
        <v>30</v>
      </c>
      <c r="D1647" t="s">
        <v>99</v>
      </c>
      <c r="E1647" t="s">
        <v>172</v>
      </c>
      <c r="F1647" t="s">
        <v>173</v>
      </c>
      <c r="G1647" t="s">
        <v>174</v>
      </c>
      <c r="H1647" t="s">
        <v>317</v>
      </c>
      <c r="I1647" t="s">
        <v>318</v>
      </c>
      <c r="J1647" t="s">
        <v>3050</v>
      </c>
      <c r="K1647" t="s">
        <v>105</v>
      </c>
      <c r="L1647" t="s">
        <v>55</v>
      </c>
      <c r="M1647" t="s">
        <v>164</v>
      </c>
      <c r="N1647" t="s">
        <v>57</v>
      </c>
      <c r="O1647" s="4">
        <v>3</v>
      </c>
      <c r="P1647" s="4">
        <v>10</v>
      </c>
      <c r="Q1647" t="s">
        <v>69</v>
      </c>
      <c r="R1647" s="2">
        <v>46178</v>
      </c>
      <c r="S1647" s="4">
        <v>25</v>
      </c>
      <c r="T1647" s="3">
        <v>216000000</v>
      </c>
      <c r="U1647" t="s">
        <v>42</v>
      </c>
      <c r="V1647" t="s">
        <v>43</v>
      </c>
      <c r="W1647" t="s">
        <v>203</v>
      </c>
      <c r="Y1647" t="s">
        <v>165</v>
      </c>
      <c r="Z1647" t="s">
        <v>3177</v>
      </c>
      <c r="AA1647" t="s">
        <v>181</v>
      </c>
      <c r="AB1647" t="s">
        <v>63</v>
      </c>
      <c r="AC1647" t="s">
        <v>181</v>
      </c>
    </row>
    <row r="1648" spans="1:29">
      <c r="A1648" t="s">
        <v>2065</v>
      </c>
      <c r="B1648" s="2">
        <v>46188</v>
      </c>
      <c r="C1648" t="s">
        <v>30</v>
      </c>
      <c r="D1648" t="s">
        <v>74</v>
      </c>
      <c r="E1648" t="s">
        <v>172</v>
      </c>
      <c r="F1648" t="s">
        <v>277</v>
      </c>
      <c r="G1648" t="s">
        <v>289</v>
      </c>
      <c r="H1648" t="s">
        <v>241</v>
      </c>
      <c r="I1648" t="s">
        <v>242</v>
      </c>
      <c r="J1648" t="s">
        <v>3034</v>
      </c>
      <c r="K1648" t="s">
        <v>37</v>
      </c>
      <c r="L1648" t="s">
        <v>68</v>
      </c>
      <c r="M1648" t="s">
        <v>39</v>
      </c>
      <c r="N1648" t="s">
        <v>130</v>
      </c>
      <c r="O1648" s="4">
        <v>5</v>
      </c>
      <c r="P1648" s="4">
        <v>11</v>
      </c>
      <c r="Q1648" t="s">
        <v>69</v>
      </c>
      <c r="R1648" s="2">
        <v>46184</v>
      </c>
      <c r="S1648" s="4">
        <v>19</v>
      </c>
      <c r="T1648" s="3">
        <v>162000000</v>
      </c>
      <c r="U1648" t="s">
        <v>42</v>
      </c>
      <c r="V1648" t="s">
        <v>70</v>
      </c>
      <c r="W1648" t="s">
        <v>144</v>
      </c>
      <c r="Y1648" t="s">
        <v>262</v>
      </c>
      <c r="Z1648" t="s">
        <v>3179</v>
      </c>
      <c r="AA1648" t="s">
        <v>181</v>
      </c>
      <c r="AB1648" t="s">
        <v>97</v>
      </c>
      <c r="AC1648" t="s">
        <v>181</v>
      </c>
    </row>
    <row r="1649" spans="1:29">
      <c r="A1649" t="s">
        <v>2066</v>
      </c>
      <c r="B1649" s="2">
        <v>46187</v>
      </c>
      <c r="C1649" t="s">
        <v>30</v>
      </c>
      <c r="D1649" t="s">
        <v>99</v>
      </c>
      <c r="E1649" t="s">
        <v>75</v>
      </c>
      <c r="F1649" t="s">
        <v>161</v>
      </c>
      <c r="G1649" t="s">
        <v>387</v>
      </c>
      <c r="H1649" t="s">
        <v>388</v>
      </c>
      <c r="I1649" t="s">
        <v>576</v>
      </c>
      <c r="J1649" t="s">
        <v>3123</v>
      </c>
      <c r="K1649" t="s">
        <v>105</v>
      </c>
      <c r="L1649" t="s">
        <v>68</v>
      </c>
      <c r="M1649" t="s">
        <v>81</v>
      </c>
      <c r="N1649" t="s">
        <v>57</v>
      </c>
      <c r="O1649" s="4">
        <v>3</v>
      </c>
      <c r="P1649" s="4">
        <v>5</v>
      </c>
      <c r="Q1649" t="s">
        <v>69</v>
      </c>
      <c r="R1649" s="2">
        <v>46185</v>
      </c>
      <c r="S1649" s="4">
        <v>18</v>
      </c>
      <c r="T1649" s="3">
        <v>165000000</v>
      </c>
      <c r="U1649" t="s">
        <v>177</v>
      </c>
      <c r="V1649" t="s">
        <v>59</v>
      </c>
      <c r="W1649" t="s">
        <v>203</v>
      </c>
      <c r="X1649" t="s">
        <v>179</v>
      </c>
      <c r="Y1649" t="s">
        <v>72</v>
      </c>
      <c r="Z1649" t="s">
        <v>3177</v>
      </c>
      <c r="AA1649" t="s">
        <v>86</v>
      </c>
      <c r="AB1649" t="s">
        <v>63</v>
      </c>
      <c r="AC1649" t="s">
        <v>86</v>
      </c>
    </row>
    <row r="1650" spans="1:29">
      <c r="A1650" t="s">
        <v>2067</v>
      </c>
      <c r="B1650" s="2">
        <v>46183</v>
      </c>
      <c r="C1650" t="s">
        <v>30</v>
      </c>
      <c r="D1650" t="s">
        <v>99</v>
      </c>
      <c r="E1650" t="s">
        <v>152</v>
      </c>
      <c r="F1650" t="s">
        <v>205</v>
      </c>
      <c r="G1650" t="s">
        <v>286</v>
      </c>
      <c r="H1650" t="s">
        <v>283</v>
      </c>
      <c r="I1650" t="s">
        <v>284</v>
      </c>
      <c r="J1650" t="s">
        <v>3041</v>
      </c>
      <c r="K1650" t="s">
        <v>116</v>
      </c>
      <c r="L1650" t="s">
        <v>38</v>
      </c>
      <c r="M1650" t="s">
        <v>129</v>
      </c>
      <c r="N1650" t="s">
        <v>94</v>
      </c>
      <c r="O1650" s="4">
        <v>4</v>
      </c>
      <c r="P1650" s="4">
        <v>9</v>
      </c>
      <c r="Q1650" t="s">
        <v>58</v>
      </c>
      <c r="R1650" s="2">
        <v>46176</v>
      </c>
      <c r="S1650" s="4">
        <v>27</v>
      </c>
      <c r="T1650" s="3">
        <v>103000000</v>
      </c>
      <c r="U1650" t="s">
        <v>42</v>
      </c>
      <c r="V1650" t="s">
        <v>59</v>
      </c>
      <c r="W1650" t="s">
        <v>95</v>
      </c>
      <c r="Y1650" t="s">
        <v>96</v>
      </c>
      <c r="Z1650" t="s">
        <v>3179</v>
      </c>
      <c r="AA1650" t="s">
        <v>159</v>
      </c>
      <c r="AB1650" t="s">
        <v>97</v>
      </c>
      <c r="AC1650" t="s">
        <v>159</v>
      </c>
    </row>
    <row r="1651" spans="1:29">
      <c r="A1651" t="s">
        <v>2068</v>
      </c>
      <c r="B1651" s="2">
        <v>46196</v>
      </c>
      <c r="C1651" t="s">
        <v>30</v>
      </c>
      <c r="D1651" t="s">
        <v>49</v>
      </c>
      <c r="E1651" t="s">
        <v>111</v>
      </c>
      <c r="F1651" t="s">
        <v>264</v>
      </c>
      <c r="G1651" t="s">
        <v>113</v>
      </c>
      <c r="H1651" t="s">
        <v>114</v>
      </c>
      <c r="I1651" t="s">
        <v>115</v>
      </c>
      <c r="J1651" t="s">
        <v>3014</v>
      </c>
      <c r="K1651" t="s">
        <v>56</v>
      </c>
      <c r="L1651" t="s">
        <v>55</v>
      </c>
      <c r="M1651" t="s">
        <v>93</v>
      </c>
      <c r="N1651" t="s">
        <v>57</v>
      </c>
      <c r="O1651" s="4">
        <v>3</v>
      </c>
      <c r="P1651" s="4">
        <v>5</v>
      </c>
      <c r="Q1651" t="s">
        <v>41</v>
      </c>
      <c r="R1651" s="2">
        <v>46193</v>
      </c>
      <c r="S1651" s="4">
        <v>10</v>
      </c>
      <c r="T1651" s="3">
        <v>172000000</v>
      </c>
      <c r="U1651" t="s">
        <v>42</v>
      </c>
      <c r="V1651" t="s">
        <v>59</v>
      </c>
      <c r="W1651" t="s">
        <v>203</v>
      </c>
      <c r="Y1651" t="s">
        <v>158</v>
      </c>
      <c r="Z1651" t="s">
        <v>3177</v>
      </c>
      <c r="AA1651" t="s">
        <v>118</v>
      </c>
      <c r="AB1651" t="s">
        <v>63</v>
      </c>
      <c r="AC1651" t="s">
        <v>118</v>
      </c>
    </row>
    <row r="1652" spans="1:29">
      <c r="A1652" t="s">
        <v>2069</v>
      </c>
      <c r="B1652" s="2">
        <v>46188</v>
      </c>
      <c r="C1652" t="s">
        <v>30</v>
      </c>
      <c r="D1652" t="s">
        <v>74</v>
      </c>
      <c r="E1652" t="s">
        <v>100</v>
      </c>
      <c r="F1652" t="s">
        <v>140</v>
      </c>
      <c r="G1652" t="s">
        <v>147</v>
      </c>
      <c r="H1652" t="s">
        <v>201</v>
      </c>
      <c r="I1652" t="s">
        <v>416</v>
      </c>
      <c r="J1652" t="s">
        <v>3078</v>
      </c>
      <c r="K1652" t="s">
        <v>105</v>
      </c>
      <c r="L1652" t="s">
        <v>68</v>
      </c>
      <c r="M1652" t="s">
        <v>39</v>
      </c>
      <c r="N1652" t="s">
        <v>130</v>
      </c>
      <c r="O1652" s="4">
        <v>5</v>
      </c>
      <c r="P1652" s="4">
        <v>14</v>
      </c>
      <c r="Q1652" t="s">
        <v>41</v>
      </c>
      <c r="R1652" s="2">
        <v>46187</v>
      </c>
      <c r="S1652" s="4">
        <v>16</v>
      </c>
      <c r="T1652" s="3">
        <v>223000000</v>
      </c>
      <c r="U1652" t="s">
        <v>42</v>
      </c>
      <c r="V1652" t="s">
        <v>59</v>
      </c>
      <c r="W1652" t="s">
        <v>144</v>
      </c>
      <c r="Y1652" t="s">
        <v>262</v>
      </c>
      <c r="Z1652" t="s">
        <v>3179</v>
      </c>
      <c r="AA1652" t="s">
        <v>109</v>
      </c>
      <c r="AB1652" t="s">
        <v>97</v>
      </c>
      <c r="AC1652" t="s">
        <v>109</v>
      </c>
    </row>
    <row r="1653" spans="1:29">
      <c r="A1653" t="s">
        <v>2070</v>
      </c>
      <c r="B1653" s="2">
        <v>46176</v>
      </c>
      <c r="C1653" t="s">
        <v>30</v>
      </c>
      <c r="D1653" t="s">
        <v>134</v>
      </c>
      <c r="E1653" t="s">
        <v>32</v>
      </c>
      <c r="F1653" t="s">
        <v>273</v>
      </c>
      <c r="G1653" t="s">
        <v>218</v>
      </c>
      <c r="H1653" t="s">
        <v>258</v>
      </c>
      <c r="I1653" t="s">
        <v>297</v>
      </c>
      <c r="J1653" t="s">
        <v>3044</v>
      </c>
      <c r="K1653" t="s">
        <v>37</v>
      </c>
      <c r="L1653" t="s">
        <v>169</v>
      </c>
      <c r="M1653" t="s">
        <v>129</v>
      </c>
      <c r="N1653" t="s">
        <v>40</v>
      </c>
      <c r="O1653" s="4">
        <v>2</v>
      </c>
      <c r="P1653" s="4">
        <v>4</v>
      </c>
      <c r="Q1653" t="s">
        <v>69</v>
      </c>
      <c r="R1653" s="2">
        <v>46173</v>
      </c>
      <c r="S1653" s="4">
        <v>30</v>
      </c>
      <c r="T1653" s="3">
        <v>174000000</v>
      </c>
      <c r="U1653" t="s">
        <v>42</v>
      </c>
      <c r="V1653" t="s">
        <v>59</v>
      </c>
      <c r="W1653" t="s">
        <v>298</v>
      </c>
      <c r="Y1653" t="s">
        <v>281</v>
      </c>
      <c r="Z1653" t="s">
        <v>3176</v>
      </c>
      <c r="AA1653" t="s">
        <v>46</v>
      </c>
      <c r="AB1653" t="s">
        <v>47</v>
      </c>
      <c r="AC1653" t="s">
        <v>46</v>
      </c>
    </row>
    <row r="1654" spans="1:29">
      <c r="A1654" t="s">
        <v>2071</v>
      </c>
      <c r="B1654" s="2">
        <v>46192</v>
      </c>
      <c r="C1654" t="s">
        <v>30</v>
      </c>
      <c r="D1654" t="s">
        <v>74</v>
      </c>
      <c r="E1654" t="s">
        <v>75</v>
      </c>
      <c r="F1654" t="s">
        <v>161</v>
      </c>
      <c r="G1654" t="s">
        <v>184</v>
      </c>
      <c r="H1654" t="s">
        <v>185</v>
      </c>
      <c r="I1654" t="s">
        <v>428</v>
      </c>
      <c r="J1654" t="s">
        <v>3081</v>
      </c>
      <c r="K1654" t="s">
        <v>116</v>
      </c>
      <c r="L1654" t="s">
        <v>38</v>
      </c>
      <c r="M1654" t="s">
        <v>56</v>
      </c>
      <c r="N1654" t="s">
        <v>213</v>
      </c>
      <c r="O1654" s="4">
        <v>6</v>
      </c>
      <c r="P1654" s="4">
        <v>11</v>
      </c>
      <c r="Q1654" t="s">
        <v>41</v>
      </c>
      <c r="R1654" s="2">
        <v>46188</v>
      </c>
      <c r="S1654" s="4">
        <v>15</v>
      </c>
      <c r="T1654" s="3">
        <v>123000000</v>
      </c>
      <c r="U1654" t="s">
        <v>214</v>
      </c>
      <c r="V1654" t="s">
        <v>143</v>
      </c>
      <c r="W1654" t="s">
        <v>438</v>
      </c>
      <c r="Y1654" t="s">
        <v>424</v>
      </c>
      <c r="Z1654" t="s">
        <v>3179</v>
      </c>
      <c r="AA1654" t="s">
        <v>86</v>
      </c>
      <c r="AB1654" t="s">
        <v>97</v>
      </c>
      <c r="AC1654" t="s">
        <v>86</v>
      </c>
    </row>
    <row r="1655" spans="1:29">
      <c r="A1655" t="s">
        <v>2072</v>
      </c>
      <c r="B1655" s="2">
        <v>46197</v>
      </c>
      <c r="C1655" t="s">
        <v>30</v>
      </c>
      <c r="D1655" t="s">
        <v>49</v>
      </c>
      <c r="E1655" t="s">
        <v>111</v>
      </c>
      <c r="F1655" t="s">
        <v>190</v>
      </c>
      <c r="G1655" t="s">
        <v>348</v>
      </c>
      <c r="H1655" t="s">
        <v>191</v>
      </c>
      <c r="I1655" t="s">
        <v>606</v>
      </c>
      <c r="J1655" t="s">
        <v>3131</v>
      </c>
      <c r="K1655" t="s">
        <v>37</v>
      </c>
      <c r="L1655" t="s">
        <v>55</v>
      </c>
      <c r="M1655" t="s">
        <v>39</v>
      </c>
      <c r="N1655" t="s">
        <v>94</v>
      </c>
      <c r="O1655" s="4">
        <v>4</v>
      </c>
      <c r="P1655" s="4">
        <v>6</v>
      </c>
      <c r="Q1655" t="s">
        <v>107</v>
      </c>
      <c r="R1655" s="2">
        <v>46197</v>
      </c>
      <c r="S1655" s="4">
        <v>6</v>
      </c>
      <c r="T1655" s="3">
        <v>236000000</v>
      </c>
      <c r="U1655" t="s">
        <v>42</v>
      </c>
      <c r="V1655" t="s">
        <v>143</v>
      </c>
      <c r="W1655" t="s">
        <v>188</v>
      </c>
      <c r="X1655" t="s">
        <v>253</v>
      </c>
      <c r="Y1655" t="s">
        <v>96</v>
      </c>
      <c r="Z1655" t="s">
        <v>3179</v>
      </c>
      <c r="AA1655" t="s">
        <v>118</v>
      </c>
      <c r="AB1655" t="s">
        <v>97</v>
      </c>
      <c r="AC1655" t="s">
        <v>118</v>
      </c>
    </row>
    <row r="1656" spans="1:29">
      <c r="A1656" t="s">
        <v>2073</v>
      </c>
      <c r="B1656" s="2">
        <v>46191</v>
      </c>
      <c r="C1656" t="s">
        <v>30</v>
      </c>
      <c r="D1656" t="s">
        <v>74</v>
      </c>
      <c r="E1656" t="s">
        <v>50</v>
      </c>
      <c r="F1656" t="s">
        <v>89</v>
      </c>
      <c r="G1656" t="s">
        <v>234</v>
      </c>
      <c r="H1656" t="s">
        <v>66</v>
      </c>
      <c r="I1656" t="s">
        <v>280</v>
      </c>
      <c r="J1656" t="s">
        <v>3040</v>
      </c>
      <c r="K1656" t="s">
        <v>56</v>
      </c>
      <c r="L1656" t="s">
        <v>68</v>
      </c>
      <c r="M1656" t="s">
        <v>39</v>
      </c>
      <c r="N1656" t="s">
        <v>82</v>
      </c>
      <c r="O1656" s="4">
        <v>1</v>
      </c>
      <c r="P1656" s="4">
        <v>8</v>
      </c>
      <c r="Q1656" t="s">
        <v>138</v>
      </c>
      <c r="R1656" s="2">
        <v>46186</v>
      </c>
      <c r="S1656" s="4">
        <v>17</v>
      </c>
      <c r="T1656" s="3">
        <v>365000000</v>
      </c>
      <c r="U1656" t="s">
        <v>42</v>
      </c>
      <c r="V1656" t="s">
        <v>43</v>
      </c>
      <c r="W1656" t="s">
        <v>290</v>
      </c>
      <c r="Y1656" t="s">
        <v>330</v>
      </c>
      <c r="Z1656" t="s">
        <v>3178</v>
      </c>
      <c r="AA1656" t="s">
        <v>62</v>
      </c>
      <c r="AB1656" t="s">
        <v>87</v>
      </c>
      <c r="AC1656" t="s">
        <v>62</v>
      </c>
    </row>
    <row r="1657" spans="1:29">
      <c r="A1657" t="s">
        <v>2074</v>
      </c>
      <c r="B1657" s="2">
        <v>46187</v>
      </c>
      <c r="C1657" t="s">
        <v>30</v>
      </c>
      <c r="D1657" t="s">
        <v>99</v>
      </c>
      <c r="E1657" t="s">
        <v>111</v>
      </c>
      <c r="F1657" t="s">
        <v>112</v>
      </c>
      <c r="G1657" t="s">
        <v>251</v>
      </c>
      <c r="H1657" t="s">
        <v>114</v>
      </c>
      <c r="I1657" t="s">
        <v>988</v>
      </c>
      <c r="J1657" t="s">
        <v>3168</v>
      </c>
      <c r="K1657" t="s">
        <v>92</v>
      </c>
      <c r="L1657" t="s">
        <v>38</v>
      </c>
      <c r="M1657" t="s">
        <v>39</v>
      </c>
      <c r="N1657" t="s">
        <v>94</v>
      </c>
      <c r="O1657" s="4">
        <v>4</v>
      </c>
      <c r="P1657" s="4">
        <v>12</v>
      </c>
      <c r="Q1657" t="s">
        <v>138</v>
      </c>
      <c r="R1657" s="2">
        <v>46184</v>
      </c>
      <c r="S1657" s="4">
        <v>19</v>
      </c>
      <c r="T1657" s="3">
        <v>48000000</v>
      </c>
      <c r="U1657" t="s">
        <v>42</v>
      </c>
      <c r="V1657" t="s">
        <v>59</v>
      </c>
      <c r="W1657" t="s">
        <v>95</v>
      </c>
      <c r="Y1657" t="s">
        <v>228</v>
      </c>
      <c r="Z1657" t="s">
        <v>3179</v>
      </c>
      <c r="AA1657" t="s">
        <v>118</v>
      </c>
      <c r="AB1657" t="s">
        <v>97</v>
      </c>
      <c r="AC1657" t="s">
        <v>118</v>
      </c>
    </row>
    <row r="1658" spans="1:29">
      <c r="A1658" t="s">
        <v>2075</v>
      </c>
      <c r="B1658" s="2">
        <v>46201</v>
      </c>
      <c r="C1658" t="s">
        <v>30</v>
      </c>
      <c r="D1658" t="s">
        <v>49</v>
      </c>
      <c r="E1658" t="s">
        <v>32</v>
      </c>
      <c r="F1658" t="s">
        <v>273</v>
      </c>
      <c r="G1658" t="s">
        <v>218</v>
      </c>
      <c r="H1658" t="s">
        <v>35</v>
      </c>
      <c r="I1658" t="s">
        <v>862</v>
      </c>
      <c r="J1658" t="s">
        <v>3164</v>
      </c>
      <c r="K1658" t="s">
        <v>92</v>
      </c>
      <c r="L1658" t="s">
        <v>68</v>
      </c>
      <c r="M1658" t="s">
        <v>106</v>
      </c>
      <c r="N1658" t="s">
        <v>94</v>
      </c>
      <c r="O1658" s="4">
        <v>4</v>
      </c>
      <c r="P1658" s="4">
        <v>6</v>
      </c>
      <c r="Q1658" t="s">
        <v>142</v>
      </c>
      <c r="R1658" s="2">
        <v>46198</v>
      </c>
      <c r="S1658" s="4">
        <v>5</v>
      </c>
      <c r="T1658" s="3">
        <v>181000000</v>
      </c>
      <c r="U1658" t="s">
        <v>42</v>
      </c>
      <c r="V1658" t="s">
        <v>59</v>
      </c>
      <c r="W1658" t="s">
        <v>267</v>
      </c>
      <c r="Y1658" t="s">
        <v>268</v>
      </c>
      <c r="Z1658" t="s">
        <v>3179</v>
      </c>
      <c r="AA1658" t="s">
        <v>46</v>
      </c>
      <c r="AB1658" t="s">
        <v>97</v>
      </c>
      <c r="AC1658" t="s">
        <v>46</v>
      </c>
    </row>
    <row r="1659" spans="1:29">
      <c r="A1659" t="s">
        <v>2076</v>
      </c>
      <c r="B1659" s="2">
        <v>46190</v>
      </c>
      <c r="C1659" t="s">
        <v>30</v>
      </c>
      <c r="D1659" t="s">
        <v>74</v>
      </c>
      <c r="E1659" t="s">
        <v>75</v>
      </c>
      <c r="F1659" t="s">
        <v>76</v>
      </c>
      <c r="G1659" t="s">
        <v>184</v>
      </c>
      <c r="H1659" t="s">
        <v>388</v>
      </c>
      <c r="I1659" t="s">
        <v>661</v>
      </c>
      <c r="J1659" t="s">
        <v>3144</v>
      </c>
      <c r="K1659" t="s">
        <v>56</v>
      </c>
      <c r="L1659" t="s">
        <v>150</v>
      </c>
      <c r="M1659" t="s">
        <v>39</v>
      </c>
      <c r="N1659" t="s">
        <v>130</v>
      </c>
      <c r="O1659" s="4">
        <v>5</v>
      </c>
      <c r="P1659" s="4">
        <v>7</v>
      </c>
      <c r="Q1659" t="s">
        <v>69</v>
      </c>
      <c r="R1659" s="2">
        <v>46184</v>
      </c>
      <c r="S1659" s="4">
        <v>19</v>
      </c>
      <c r="T1659" s="3">
        <v>183000000</v>
      </c>
      <c r="U1659" t="s">
        <v>42</v>
      </c>
      <c r="V1659" t="s">
        <v>143</v>
      </c>
      <c r="W1659" t="s">
        <v>131</v>
      </c>
      <c r="Y1659" t="s">
        <v>334</v>
      </c>
      <c r="Z1659" t="s">
        <v>3179</v>
      </c>
      <c r="AA1659" t="s">
        <v>86</v>
      </c>
      <c r="AB1659" t="s">
        <v>97</v>
      </c>
      <c r="AC1659" t="s">
        <v>86</v>
      </c>
    </row>
    <row r="1660" spans="1:29">
      <c r="A1660" t="s">
        <v>2077</v>
      </c>
      <c r="B1660" s="2">
        <v>46198</v>
      </c>
      <c r="C1660" t="s">
        <v>30</v>
      </c>
      <c r="D1660" t="s">
        <v>49</v>
      </c>
      <c r="E1660" t="s">
        <v>75</v>
      </c>
      <c r="F1660" t="s">
        <v>161</v>
      </c>
      <c r="G1660" t="s">
        <v>184</v>
      </c>
      <c r="H1660" t="s">
        <v>185</v>
      </c>
      <c r="I1660" t="s">
        <v>795</v>
      </c>
      <c r="J1660" t="s">
        <v>3155</v>
      </c>
      <c r="K1660" t="s">
        <v>92</v>
      </c>
      <c r="L1660" t="s">
        <v>150</v>
      </c>
      <c r="M1660" t="s">
        <v>129</v>
      </c>
      <c r="N1660" t="s">
        <v>57</v>
      </c>
      <c r="O1660" s="4">
        <v>3</v>
      </c>
      <c r="P1660" s="4">
        <v>10</v>
      </c>
      <c r="Q1660" t="s">
        <v>83</v>
      </c>
      <c r="R1660" s="2">
        <v>46194</v>
      </c>
      <c r="S1660" s="4">
        <v>9</v>
      </c>
      <c r="T1660" s="3">
        <v>131000000</v>
      </c>
      <c r="U1660" t="s">
        <v>42</v>
      </c>
      <c r="V1660" t="s">
        <v>43</v>
      </c>
      <c r="W1660" t="s">
        <v>203</v>
      </c>
      <c r="Y1660" t="s">
        <v>61</v>
      </c>
      <c r="Z1660" t="s">
        <v>3177</v>
      </c>
      <c r="AA1660" t="s">
        <v>86</v>
      </c>
      <c r="AB1660" t="s">
        <v>63</v>
      </c>
      <c r="AC1660" t="s">
        <v>86</v>
      </c>
    </row>
    <row r="1661" spans="1:29">
      <c r="A1661" t="s">
        <v>2078</v>
      </c>
      <c r="B1661" s="2">
        <v>46183</v>
      </c>
      <c r="C1661" t="s">
        <v>30</v>
      </c>
      <c r="D1661" t="s">
        <v>99</v>
      </c>
      <c r="E1661" t="s">
        <v>32</v>
      </c>
      <c r="F1661" t="s">
        <v>33</v>
      </c>
      <c r="G1661" t="s">
        <v>361</v>
      </c>
      <c r="H1661" t="s">
        <v>258</v>
      </c>
      <c r="I1661" t="s">
        <v>1008</v>
      </c>
      <c r="J1661" t="s">
        <v>3170</v>
      </c>
      <c r="K1661" t="s">
        <v>105</v>
      </c>
      <c r="L1661" t="s">
        <v>150</v>
      </c>
      <c r="M1661" t="s">
        <v>56</v>
      </c>
      <c r="N1661" t="s">
        <v>57</v>
      </c>
      <c r="O1661" s="4">
        <v>3</v>
      </c>
      <c r="P1661" s="4">
        <v>4</v>
      </c>
      <c r="Q1661" t="s">
        <v>41</v>
      </c>
      <c r="R1661" s="2">
        <v>46180</v>
      </c>
      <c r="S1661" s="4">
        <v>23</v>
      </c>
      <c r="T1661" s="3">
        <v>183000000</v>
      </c>
      <c r="U1661" t="s">
        <v>42</v>
      </c>
      <c r="V1661" t="s">
        <v>59</v>
      </c>
      <c r="W1661" t="s">
        <v>60</v>
      </c>
      <c r="Y1661" t="s">
        <v>61</v>
      </c>
      <c r="Z1661" t="s">
        <v>3177</v>
      </c>
      <c r="AA1661" t="s">
        <v>46</v>
      </c>
      <c r="AB1661" t="s">
        <v>63</v>
      </c>
      <c r="AC1661" t="s">
        <v>46</v>
      </c>
    </row>
    <row r="1662" spans="1:29">
      <c r="A1662" t="s">
        <v>2079</v>
      </c>
      <c r="B1662" s="2">
        <v>46182</v>
      </c>
      <c r="C1662" t="s">
        <v>30</v>
      </c>
      <c r="D1662" t="s">
        <v>99</v>
      </c>
      <c r="E1662" t="s">
        <v>120</v>
      </c>
      <c r="F1662" t="s">
        <v>167</v>
      </c>
      <c r="G1662" t="s">
        <v>420</v>
      </c>
      <c r="H1662" t="s">
        <v>136</v>
      </c>
      <c r="I1662" t="s">
        <v>137</v>
      </c>
      <c r="J1662" t="s">
        <v>3017</v>
      </c>
      <c r="K1662" t="s">
        <v>105</v>
      </c>
      <c r="L1662" t="s">
        <v>38</v>
      </c>
      <c r="M1662" t="s">
        <v>129</v>
      </c>
      <c r="N1662" t="s">
        <v>213</v>
      </c>
      <c r="O1662" s="4">
        <v>6</v>
      </c>
      <c r="P1662" s="4">
        <v>9</v>
      </c>
      <c r="Q1662" t="s">
        <v>83</v>
      </c>
      <c r="R1662" s="2">
        <v>46172</v>
      </c>
      <c r="S1662" s="4">
        <v>31</v>
      </c>
      <c r="T1662" s="3">
        <v>97000000</v>
      </c>
      <c r="U1662" t="s">
        <v>214</v>
      </c>
      <c r="V1662" t="s">
        <v>143</v>
      </c>
      <c r="W1662" t="s">
        <v>248</v>
      </c>
      <c r="Y1662" t="s">
        <v>216</v>
      </c>
      <c r="Z1662" t="s">
        <v>3179</v>
      </c>
      <c r="AA1662" t="s">
        <v>97</v>
      </c>
      <c r="AB1662" t="s">
        <v>97</v>
      </c>
      <c r="AC1662" t="s">
        <v>97</v>
      </c>
    </row>
    <row r="1663" spans="1:29">
      <c r="A1663" t="s">
        <v>2080</v>
      </c>
      <c r="B1663" s="2">
        <v>46192</v>
      </c>
      <c r="C1663" t="s">
        <v>30</v>
      </c>
      <c r="D1663" t="s">
        <v>74</v>
      </c>
      <c r="E1663" t="s">
        <v>120</v>
      </c>
      <c r="F1663" t="s">
        <v>121</v>
      </c>
      <c r="G1663" t="s">
        <v>135</v>
      </c>
      <c r="H1663" t="s">
        <v>136</v>
      </c>
      <c r="I1663" t="s">
        <v>137</v>
      </c>
      <c r="J1663" t="s">
        <v>3017</v>
      </c>
      <c r="K1663" t="s">
        <v>105</v>
      </c>
      <c r="L1663" t="s">
        <v>80</v>
      </c>
      <c r="M1663" t="s">
        <v>56</v>
      </c>
      <c r="N1663" t="s">
        <v>94</v>
      </c>
      <c r="O1663" s="4">
        <v>4</v>
      </c>
      <c r="P1663" s="4">
        <v>8</v>
      </c>
      <c r="Q1663" t="s">
        <v>69</v>
      </c>
      <c r="R1663" s="2">
        <v>46192</v>
      </c>
      <c r="S1663" s="4">
        <v>11</v>
      </c>
      <c r="T1663" s="3">
        <v>134000000</v>
      </c>
      <c r="U1663" t="s">
        <v>42</v>
      </c>
      <c r="V1663" t="s">
        <v>59</v>
      </c>
      <c r="W1663" t="s">
        <v>95</v>
      </c>
      <c r="X1663" t="s">
        <v>117</v>
      </c>
      <c r="Y1663" t="s">
        <v>268</v>
      </c>
      <c r="Z1663" t="s">
        <v>3179</v>
      </c>
      <c r="AA1663" t="s">
        <v>97</v>
      </c>
      <c r="AB1663" t="s">
        <v>97</v>
      </c>
      <c r="AC1663" t="s">
        <v>97</v>
      </c>
    </row>
    <row r="1664" spans="1:29">
      <c r="A1664" t="s">
        <v>2081</v>
      </c>
      <c r="B1664" s="2">
        <v>46189</v>
      </c>
      <c r="C1664" t="s">
        <v>30</v>
      </c>
      <c r="D1664" t="s">
        <v>74</v>
      </c>
      <c r="E1664" t="s">
        <v>100</v>
      </c>
      <c r="F1664" t="s">
        <v>146</v>
      </c>
      <c r="G1664" t="s">
        <v>237</v>
      </c>
      <c r="H1664" t="s">
        <v>103</v>
      </c>
      <c r="I1664" t="s">
        <v>141</v>
      </c>
      <c r="J1664" t="s">
        <v>3018</v>
      </c>
      <c r="K1664" t="s">
        <v>92</v>
      </c>
      <c r="L1664" t="s">
        <v>80</v>
      </c>
      <c r="M1664" t="s">
        <v>164</v>
      </c>
      <c r="N1664" t="s">
        <v>130</v>
      </c>
      <c r="O1664" s="4">
        <v>5</v>
      </c>
      <c r="P1664" s="4">
        <v>15</v>
      </c>
      <c r="Q1664" t="s">
        <v>58</v>
      </c>
      <c r="R1664" s="2">
        <v>46181</v>
      </c>
      <c r="S1664" s="4">
        <v>22</v>
      </c>
      <c r="T1664" s="3">
        <v>242000000</v>
      </c>
      <c r="U1664" t="s">
        <v>42</v>
      </c>
      <c r="V1664" t="s">
        <v>59</v>
      </c>
      <c r="W1664" t="s">
        <v>144</v>
      </c>
      <c r="Y1664" t="s">
        <v>334</v>
      </c>
      <c r="Z1664" t="s">
        <v>3179</v>
      </c>
      <c r="AA1664" t="s">
        <v>109</v>
      </c>
      <c r="AB1664" t="s">
        <v>97</v>
      </c>
      <c r="AC1664" t="s">
        <v>109</v>
      </c>
    </row>
    <row r="1665" spans="1:29">
      <c r="A1665" t="s">
        <v>2082</v>
      </c>
      <c r="B1665" s="2">
        <v>46183</v>
      </c>
      <c r="C1665" t="s">
        <v>30</v>
      </c>
      <c r="D1665" t="s">
        <v>99</v>
      </c>
      <c r="E1665" t="s">
        <v>100</v>
      </c>
      <c r="F1665" t="s">
        <v>101</v>
      </c>
      <c r="G1665" t="s">
        <v>313</v>
      </c>
      <c r="H1665" t="s">
        <v>201</v>
      </c>
      <c r="I1665" t="s">
        <v>238</v>
      </c>
      <c r="J1665" t="s">
        <v>3033</v>
      </c>
      <c r="K1665" t="s">
        <v>56</v>
      </c>
      <c r="L1665" t="s">
        <v>55</v>
      </c>
      <c r="M1665" t="s">
        <v>93</v>
      </c>
      <c r="N1665" t="s">
        <v>94</v>
      </c>
      <c r="O1665" s="4">
        <v>4</v>
      </c>
      <c r="P1665" s="4">
        <v>11</v>
      </c>
      <c r="Q1665" t="s">
        <v>58</v>
      </c>
      <c r="R1665" s="2">
        <v>46175</v>
      </c>
      <c r="S1665" s="4">
        <v>28</v>
      </c>
      <c r="T1665" s="3">
        <v>215000000</v>
      </c>
      <c r="U1665" t="s">
        <v>260</v>
      </c>
      <c r="V1665" t="s">
        <v>59</v>
      </c>
      <c r="W1665" t="s">
        <v>95</v>
      </c>
      <c r="X1665" t="s">
        <v>179</v>
      </c>
      <c r="Y1665" t="s">
        <v>96</v>
      </c>
      <c r="Z1665" t="s">
        <v>3179</v>
      </c>
      <c r="AA1665" t="s">
        <v>109</v>
      </c>
      <c r="AB1665" t="s">
        <v>97</v>
      </c>
      <c r="AC1665" t="s">
        <v>109</v>
      </c>
    </row>
    <row r="1666" spans="1:29">
      <c r="A1666" t="s">
        <v>2083</v>
      </c>
      <c r="B1666" s="2">
        <v>46178</v>
      </c>
      <c r="C1666" t="s">
        <v>30</v>
      </c>
      <c r="D1666" t="s">
        <v>134</v>
      </c>
      <c r="E1666" t="s">
        <v>75</v>
      </c>
      <c r="F1666" t="s">
        <v>76</v>
      </c>
      <c r="G1666" t="s">
        <v>184</v>
      </c>
      <c r="H1666" t="s">
        <v>185</v>
      </c>
      <c r="I1666" t="s">
        <v>428</v>
      </c>
      <c r="J1666" t="s">
        <v>3081</v>
      </c>
      <c r="K1666" t="s">
        <v>37</v>
      </c>
      <c r="L1666" t="s">
        <v>150</v>
      </c>
      <c r="M1666" t="s">
        <v>164</v>
      </c>
      <c r="N1666" t="s">
        <v>213</v>
      </c>
      <c r="O1666" s="4">
        <v>6</v>
      </c>
      <c r="P1666" s="4">
        <v>14</v>
      </c>
      <c r="Q1666" t="s">
        <v>107</v>
      </c>
      <c r="R1666" s="2">
        <v>46170</v>
      </c>
      <c r="S1666" s="4">
        <v>33</v>
      </c>
      <c r="T1666" s="3">
        <v>200000000</v>
      </c>
      <c r="U1666" t="s">
        <v>214</v>
      </c>
      <c r="V1666" t="s">
        <v>70</v>
      </c>
      <c r="W1666" t="s">
        <v>248</v>
      </c>
      <c r="Y1666" t="s">
        <v>424</v>
      </c>
      <c r="Z1666" t="s">
        <v>3179</v>
      </c>
      <c r="AA1666" t="s">
        <v>86</v>
      </c>
      <c r="AB1666" t="s">
        <v>97</v>
      </c>
      <c r="AC1666" t="s">
        <v>86</v>
      </c>
    </row>
    <row r="1667" spans="1:29">
      <c r="A1667" t="s">
        <v>2084</v>
      </c>
      <c r="B1667" s="2">
        <v>46186</v>
      </c>
      <c r="C1667" t="s">
        <v>30</v>
      </c>
      <c r="D1667" t="s">
        <v>99</v>
      </c>
      <c r="E1667" t="s">
        <v>120</v>
      </c>
      <c r="F1667" t="s">
        <v>167</v>
      </c>
      <c r="G1667" t="s">
        <v>224</v>
      </c>
      <c r="H1667" t="s">
        <v>300</v>
      </c>
      <c r="I1667" t="s">
        <v>527</v>
      </c>
      <c r="J1667" t="s">
        <v>3110</v>
      </c>
      <c r="K1667" t="s">
        <v>116</v>
      </c>
      <c r="L1667" t="s">
        <v>55</v>
      </c>
      <c r="M1667" t="s">
        <v>129</v>
      </c>
      <c r="N1667" t="s">
        <v>94</v>
      </c>
      <c r="O1667" s="4">
        <v>4</v>
      </c>
      <c r="P1667" s="4">
        <v>10</v>
      </c>
      <c r="Q1667" t="s">
        <v>142</v>
      </c>
      <c r="R1667" s="2">
        <v>46181</v>
      </c>
      <c r="S1667" s="4">
        <v>22</v>
      </c>
      <c r="T1667" s="3">
        <v>167000000</v>
      </c>
      <c r="U1667" t="s">
        <v>42</v>
      </c>
      <c r="V1667" t="s">
        <v>59</v>
      </c>
      <c r="W1667" t="s">
        <v>188</v>
      </c>
      <c r="Y1667" t="s">
        <v>108</v>
      </c>
      <c r="Z1667" t="s">
        <v>3179</v>
      </c>
      <c r="AA1667" t="s">
        <v>97</v>
      </c>
      <c r="AB1667" t="s">
        <v>97</v>
      </c>
      <c r="AC1667" t="s">
        <v>97</v>
      </c>
    </row>
    <row r="1668" spans="1:29">
      <c r="A1668" t="s">
        <v>2085</v>
      </c>
      <c r="B1668" s="2">
        <v>46184</v>
      </c>
      <c r="C1668" t="s">
        <v>30</v>
      </c>
      <c r="D1668" t="s">
        <v>99</v>
      </c>
      <c r="E1668" t="s">
        <v>152</v>
      </c>
      <c r="F1668" t="s">
        <v>153</v>
      </c>
      <c r="G1668" t="s">
        <v>294</v>
      </c>
      <c r="H1668" t="s">
        <v>283</v>
      </c>
      <c r="I1668" t="s">
        <v>295</v>
      </c>
      <c r="J1668" t="s">
        <v>3043</v>
      </c>
      <c r="K1668" t="s">
        <v>116</v>
      </c>
      <c r="L1668" t="s">
        <v>55</v>
      </c>
      <c r="M1668" t="s">
        <v>106</v>
      </c>
      <c r="N1668" t="s">
        <v>57</v>
      </c>
      <c r="O1668" s="4">
        <v>3</v>
      </c>
      <c r="P1668" s="4">
        <v>12</v>
      </c>
      <c r="Q1668" t="s">
        <v>83</v>
      </c>
      <c r="R1668" s="2">
        <v>46182</v>
      </c>
      <c r="S1668" s="4">
        <v>21</v>
      </c>
      <c r="T1668" s="3">
        <v>45000000</v>
      </c>
      <c r="U1668" t="s">
        <v>42</v>
      </c>
      <c r="V1668" t="s">
        <v>43</v>
      </c>
      <c r="W1668" t="s">
        <v>60</v>
      </c>
      <c r="Y1668" t="s">
        <v>61</v>
      </c>
      <c r="Z1668" t="s">
        <v>3180</v>
      </c>
      <c r="AA1668" t="s">
        <v>159</v>
      </c>
      <c r="AB1668" t="s">
        <v>193</v>
      </c>
      <c r="AC1668" t="s">
        <v>159</v>
      </c>
    </row>
    <row r="1669" spans="1:29">
      <c r="A1669" t="s">
        <v>2086</v>
      </c>
      <c r="B1669" s="2">
        <v>46175</v>
      </c>
      <c r="C1669" t="s">
        <v>30</v>
      </c>
      <c r="D1669" t="s">
        <v>134</v>
      </c>
      <c r="E1669" t="s">
        <v>100</v>
      </c>
      <c r="F1669" t="s">
        <v>140</v>
      </c>
      <c r="G1669" t="s">
        <v>147</v>
      </c>
      <c r="H1669" t="s">
        <v>201</v>
      </c>
      <c r="I1669" t="s">
        <v>453</v>
      </c>
      <c r="J1669" t="s">
        <v>3090</v>
      </c>
      <c r="K1669" t="s">
        <v>56</v>
      </c>
      <c r="L1669" t="s">
        <v>55</v>
      </c>
      <c r="M1669" t="s">
        <v>129</v>
      </c>
      <c r="N1669" t="s">
        <v>94</v>
      </c>
      <c r="O1669" s="4">
        <v>4</v>
      </c>
      <c r="P1669" s="4">
        <v>13</v>
      </c>
      <c r="Q1669" t="s">
        <v>83</v>
      </c>
      <c r="R1669" s="2">
        <v>46165</v>
      </c>
      <c r="S1669" s="4">
        <v>38</v>
      </c>
      <c r="T1669" s="3">
        <v>393000000</v>
      </c>
      <c r="U1669" t="s">
        <v>42</v>
      </c>
      <c r="V1669" t="s">
        <v>143</v>
      </c>
      <c r="W1669" t="s">
        <v>95</v>
      </c>
      <c r="Y1669" t="s">
        <v>228</v>
      </c>
      <c r="Z1669" t="s">
        <v>3179</v>
      </c>
      <c r="AA1669" t="s">
        <v>109</v>
      </c>
      <c r="AB1669" t="s">
        <v>97</v>
      </c>
      <c r="AC1669" t="s">
        <v>109</v>
      </c>
    </row>
    <row r="1670" spans="1:29">
      <c r="A1670" t="s">
        <v>2087</v>
      </c>
      <c r="B1670" s="2">
        <v>46186</v>
      </c>
      <c r="C1670" t="s">
        <v>30</v>
      </c>
      <c r="D1670" t="s">
        <v>99</v>
      </c>
      <c r="E1670" t="s">
        <v>50</v>
      </c>
      <c r="F1670" t="s">
        <v>89</v>
      </c>
      <c r="G1670" t="s">
        <v>343</v>
      </c>
      <c r="H1670" t="s">
        <v>66</v>
      </c>
      <c r="I1670" t="s">
        <v>280</v>
      </c>
      <c r="J1670" t="s">
        <v>3040</v>
      </c>
      <c r="K1670" t="s">
        <v>92</v>
      </c>
      <c r="L1670" t="s">
        <v>150</v>
      </c>
      <c r="M1670" t="s">
        <v>106</v>
      </c>
      <c r="N1670" t="s">
        <v>130</v>
      </c>
      <c r="O1670" s="4">
        <v>5</v>
      </c>
      <c r="P1670" s="4">
        <v>10</v>
      </c>
      <c r="Q1670" t="s">
        <v>58</v>
      </c>
      <c r="R1670" s="2">
        <v>46183</v>
      </c>
      <c r="S1670" s="4">
        <v>20</v>
      </c>
      <c r="T1670" s="3">
        <v>204000000</v>
      </c>
      <c r="U1670" t="s">
        <v>42</v>
      </c>
      <c r="V1670" t="s">
        <v>143</v>
      </c>
      <c r="W1670" t="s">
        <v>131</v>
      </c>
      <c r="Y1670" t="s">
        <v>254</v>
      </c>
      <c r="Z1670" t="s">
        <v>3179</v>
      </c>
      <c r="AA1670" t="s">
        <v>62</v>
      </c>
      <c r="AB1670" t="s">
        <v>97</v>
      </c>
      <c r="AC1670" t="s">
        <v>62</v>
      </c>
    </row>
    <row r="1671" spans="1:29">
      <c r="A1671" t="s">
        <v>2088</v>
      </c>
      <c r="B1671" s="2">
        <v>46194</v>
      </c>
      <c r="C1671" t="s">
        <v>30</v>
      </c>
      <c r="D1671" t="s">
        <v>74</v>
      </c>
      <c r="E1671" t="s">
        <v>111</v>
      </c>
      <c r="F1671" t="s">
        <v>190</v>
      </c>
      <c r="G1671" t="s">
        <v>265</v>
      </c>
      <c r="H1671" t="s">
        <v>191</v>
      </c>
      <c r="I1671" t="s">
        <v>449</v>
      </c>
      <c r="J1671" t="s">
        <v>3089</v>
      </c>
      <c r="K1671" t="s">
        <v>37</v>
      </c>
      <c r="L1671" t="s">
        <v>68</v>
      </c>
      <c r="M1671" t="s">
        <v>81</v>
      </c>
      <c r="N1671" t="s">
        <v>94</v>
      </c>
      <c r="O1671" s="4">
        <v>4</v>
      </c>
      <c r="P1671" s="4">
        <v>7</v>
      </c>
      <c r="Q1671" t="s">
        <v>138</v>
      </c>
      <c r="R1671" s="2">
        <v>46191</v>
      </c>
      <c r="S1671" s="4">
        <v>12</v>
      </c>
      <c r="T1671" s="3">
        <v>260000000</v>
      </c>
      <c r="U1671" t="s">
        <v>42</v>
      </c>
      <c r="V1671" t="s">
        <v>59</v>
      </c>
      <c r="W1671" t="s">
        <v>170</v>
      </c>
      <c r="X1671" t="s">
        <v>117</v>
      </c>
      <c r="Y1671" t="s">
        <v>108</v>
      </c>
      <c r="Z1671" t="s">
        <v>3179</v>
      </c>
      <c r="AA1671" t="s">
        <v>118</v>
      </c>
      <c r="AB1671" t="s">
        <v>97</v>
      </c>
      <c r="AC1671" t="s">
        <v>118</v>
      </c>
    </row>
    <row r="1672" spans="1:29">
      <c r="A1672" t="s">
        <v>2089</v>
      </c>
      <c r="B1672" s="2">
        <v>46195</v>
      </c>
      <c r="C1672" t="s">
        <v>30</v>
      </c>
      <c r="D1672" t="s">
        <v>49</v>
      </c>
      <c r="E1672" t="s">
        <v>32</v>
      </c>
      <c r="F1672" t="s">
        <v>256</v>
      </c>
      <c r="G1672" t="s">
        <v>361</v>
      </c>
      <c r="H1672" t="s">
        <v>258</v>
      </c>
      <c r="I1672" t="s">
        <v>593</v>
      </c>
      <c r="J1672" t="s">
        <v>3127</v>
      </c>
      <c r="K1672" t="s">
        <v>37</v>
      </c>
      <c r="L1672" t="s">
        <v>169</v>
      </c>
      <c r="M1672" t="s">
        <v>56</v>
      </c>
      <c r="N1672" t="s">
        <v>57</v>
      </c>
      <c r="O1672" s="4">
        <v>3</v>
      </c>
      <c r="P1672" s="4">
        <v>3</v>
      </c>
      <c r="Q1672" t="s">
        <v>69</v>
      </c>
      <c r="R1672" s="2">
        <v>46187</v>
      </c>
      <c r="S1672" s="4">
        <v>16</v>
      </c>
      <c r="T1672" s="3">
        <v>142000000</v>
      </c>
      <c r="U1672" t="s">
        <v>42</v>
      </c>
      <c r="V1672" t="s">
        <v>59</v>
      </c>
      <c r="W1672" t="s">
        <v>157</v>
      </c>
      <c r="Y1672" t="s">
        <v>72</v>
      </c>
      <c r="Z1672" t="s">
        <v>3177</v>
      </c>
      <c r="AA1672" t="s">
        <v>46</v>
      </c>
      <c r="AB1672" t="s">
        <v>63</v>
      </c>
      <c r="AC1672" t="s">
        <v>46</v>
      </c>
    </row>
    <row r="1673" spans="1:29">
      <c r="A1673" t="s">
        <v>2090</v>
      </c>
      <c r="B1673" s="2">
        <v>46178</v>
      </c>
      <c r="C1673" t="s">
        <v>30</v>
      </c>
      <c r="D1673" t="s">
        <v>134</v>
      </c>
      <c r="E1673" t="s">
        <v>75</v>
      </c>
      <c r="F1673" t="s">
        <v>161</v>
      </c>
      <c r="G1673" t="s">
        <v>77</v>
      </c>
      <c r="H1673" t="s">
        <v>388</v>
      </c>
      <c r="I1673" t="s">
        <v>556</v>
      </c>
      <c r="J1673" t="s">
        <v>3118</v>
      </c>
      <c r="K1673" t="s">
        <v>105</v>
      </c>
      <c r="L1673" t="s">
        <v>38</v>
      </c>
      <c r="M1673" t="s">
        <v>106</v>
      </c>
      <c r="N1673" t="s">
        <v>196</v>
      </c>
      <c r="O1673" s="4">
        <v>7</v>
      </c>
      <c r="P1673" s="4">
        <v>8</v>
      </c>
      <c r="Q1673" t="s">
        <v>69</v>
      </c>
      <c r="R1673" s="2">
        <v>46170</v>
      </c>
      <c r="S1673" s="4">
        <v>33</v>
      </c>
      <c r="T1673" s="3">
        <v>299000000</v>
      </c>
      <c r="U1673" t="s">
        <v>196</v>
      </c>
      <c r="V1673" t="s">
        <v>70</v>
      </c>
      <c r="W1673" t="s">
        <v>209</v>
      </c>
      <c r="Y1673" t="s">
        <v>198</v>
      </c>
      <c r="Z1673" t="s">
        <v>3181</v>
      </c>
      <c r="AA1673" t="s">
        <v>86</v>
      </c>
      <c r="AB1673" t="s">
        <v>199</v>
      </c>
      <c r="AC1673" t="s">
        <v>86</v>
      </c>
    </row>
    <row r="1674" spans="1:29">
      <c r="A1674" t="s">
        <v>2091</v>
      </c>
      <c r="B1674" s="2">
        <v>46184</v>
      </c>
      <c r="C1674" t="s">
        <v>30</v>
      </c>
      <c r="D1674" t="s">
        <v>99</v>
      </c>
      <c r="E1674" t="s">
        <v>32</v>
      </c>
      <c r="F1674" t="s">
        <v>273</v>
      </c>
      <c r="G1674" t="s">
        <v>257</v>
      </c>
      <c r="H1674" t="s">
        <v>258</v>
      </c>
      <c r="I1674" t="s">
        <v>259</v>
      </c>
      <c r="J1674" t="s">
        <v>3036</v>
      </c>
      <c r="K1674" t="s">
        <v>105</v>
      </c>
      <c r="L1674" t="s">
        <v>80</v>
      </c>
      <c r="M1674" t="s">
        <v>81</v>
      </c>
      <c r="N1674" t="s">
        <v>94</v>
      </c>
      <c r="O1674" s="4">
        <v>4</v>
      </c>
      <c r="P1674" s="4">
        <v>6</v>
      </c>
      <c r="Q1674" t="s">
        <v>107</v>
      </c>
      <c r="R1674" s="2">
        <v>46176</v>
      </c>
      <c r="S1674" s="4">
        <v>27</v>
      </c>
      <c r="T1674" s="3">
        <v>192000000</v>
      </c>
      <c r="U1674" t="s">
        <v>42</v>
      </c>
      <c r="V1674" t="s">
        <v>59</v>
      </c>
      <c r="W1674" t="s">
        <v>170</v>
      </c>
      <c r="Y1674" t="s">
        <v>108</v>
      </c>
      <c r="Z1674" t="s">
        <v>3179</v>
      </c>
      <c r="AA1674" t="s">
        <v>46</v>
      </c>
      <c r="AB1674" t="s">
        <v>97</v>
      </c>
      <c r="AC1674" t="s">
        <v>46</v>
      </c>
    </row>
    <row r="1675" spans="1:29">
      <c r="A1675" t="s">
        <v>2092</v>
      </c>
      <c r="B1675" s="2">
        <v>46186</v>
      </c>
      <c r="C1675" t="s">
        <v>30</v>
      </c>
      <c r="D1675" t="s">
        <v>99</v>
      </c>
      <c r="E1675" t="s">
        <v>32</v>
      </c>
      <c r="F1675" t="s">
        <v>273</v>
      </c>
      <c r="G1675" t="s">
        <v>218</v>
      </c>
      <c r="H1675" t="s">
        <v>35</v>
      </c>
      <c r="I1675" t="s">
        <v>604</v>
      </c>
      <c r="J1675" t="s">
        <v>3130</v>
      </c>
      <c r="K1675" t="s">
        <v>105</v>
      </c>
      <c r="L1675" t="s">
        <v>150</v>
      </c>
      <c r="M1675" t="s">
        <v>106</v>
      </c>
      <c r="N1675" t="s">
        <v>40</v>
      </c>
      <c r="O1675" s="4">
        <v>2</v>
      </c>
      <c r="P1675" s="4">
        <v>4</v>
      </c>
      <c r="Q1675" t="s">
        <v>69</v>
      </c>
      <c r="R1675" s="2">
        <v>46181</v>
      </c>
      <c r="S1675" s="4">
        <v>22</v>
      </c>
      <c r="T1675" s="3">
        <v>328000000</v>
      </c>
      <c r="U1675" t="s">
        <v>42</v>
      </c>
      <c r="V1675" t="s">
        <v>43</v>
      </c>
      <c r="W1675" t="s">
        <v>298</v>
      </c>
      <c r="Y1675" t="s">
        <v>309</v>
      </c>
      <c r="Z1675" t="s">
        <v>3176</v>
      </c>
      <c r="AA1675" t="s">
        <v>46</v>
      </c>
      <c r="AB1675" t="s">
        <v>47</v>
      </c>
      <c r="AC1675" t="s">
        <v>46</v>
      </c>
    </row>
    <row r="1676" spans="1:29">
      <c r="A1676" t="s">
        <v>2093</v>
      </c>
      <c r="B1676" s="2">
        <v>46195</v>
      </c>
      <c r="C1676" t="s">
        <v>30</v>
      </c>
      <c r="D1676" t="s">
        <v>49</v>
      </c>
      <c r="E1676" t="s">
        <v>32</v>
      </c>
      <c r="F1676" t="s">
        <v>256</v>
      </c>
      <c r="G1676" t="s">
        <v>463</v>
      </c>
      <c r="H1676" t="s">
        <v>258</v>
      </c>
      <c r="I1676" t="s">
        <v>593</v>
      </c>
      <c r="J1676" t="s">
        <v>3127</v>
      </c>
      <c r="K1676" t="s">
        <v>37</v>
      </c>
      <c r="L1676" t="s">
        <v>80</v>
      </c>
      <c r="M1676" t="s">
        <v>164</v>
      </c>
      <c r="N1676" t="s">
        <v>40</v>
      </c>
      <c r="O1676" s="4">
        <v>2</v>
      </c>
      <c r="P1676" s="4">
        <v>5</v>
      </c>
      <c r="Q1676" t="s">
        <v>107</v>
      </c>
      <c r="R1676" s="2">
        <v>46187</v>
      </c>
      <c r="S1676" s="4">
        <v>16</v>
      </c>
      <c r="T1676" s="3">
        <v>67000000</v>
      </c>
      <c r="U1676" t="s">
        <v>42</v>
      </c>
      <c r="V1676" t="s">
        <v>43</v>
      </c>
      <c r="W1676" t="s">
        <v>298</v>
      </c>
      <c r="Y1676" t="s">
        <v>309</v>
      </c>
      <c r="Z1676" t="s">
        <v>3178</v>
      </c>
      <c r="AA1676" t="s">
        <v>46</v>
      </c>
      <c r="AB1676" t="s">
        <v>87</v>
      </c>
      <c r="AC1676" t="s">
        <v>46</v>
      </c>
    </row>
    <row r="1677" spans="1:29">
      <c r="A1677" t="s">
        <v>2094</v>
      </c>
      <c r="B1677" s="2">
        <v>46179</v>
      </c>
      <c r="C1677" t="s">
        <v>30</v>
      </c>
      <c r="D1677" t="s">
        <v>134</v>
      </c>
      <c r="E1677" t="s">
        <v>172</v>
      </c>
      <c r="F1677" t="s">
        <v>195</v>
      </c>
      <c r="G1677" t="s">
        <v>289</v>
      </c>
      <c r="H1677" t="s">
        <v>241</v>
      </c>
      <c r="I1677" t="s">
        <v>242</v>
      </c>
      <c r="J1677" t="s">
        <v>3034</v>
      </c>
      <c r="K1677" t="s">
        <v>37</v>
      </c>
      <c r="L1677" t="s">
        <v>80</v>
      </c>
      <c r="M1677" t="s">
        <v>39</v>
      </c>
      <c r="N1677" t="s">
        <v>57</v>
      </c>
      <c r="O1677" s="4">
        <v>3</v>
      </c>
      <c r="P1677" s="4">
        <v>5</v>
      </c>
      <c r="Q1677" t="s">
        <v>138</v>
      </c>
      <c r="R1677" s="2">
        <v>46173</v>
      </c>
      <c r="S1677" s="4">
        <v>30</v>
      </c>
      <c r="T1677" s="3">
        <v>67000000</v>
      </c>
      <c r="U1677" t="s">
        <v>42</v>
      </c>
      <c r="V1677" t="s">
        <v>43</v>
      </c>
      <c r="W1677" t="s">
        <v>60</v>
      </c>
      <c r="Y1677" t="s">
        <v>158</v>
      </c>
      <c r="Z1677" t="s">
        <v>3177</v>
      </c>
      <c r="AA1677" t="s">
        <v>181</v>
      </c>
      <c r="AB1677" t="s">
        <v>63</v>
      </c>
      <c r="AC1677" t="s">
        <v>181</v>
      </c>
    </row>
    <row r="1678" spans="1:29">
      <c r="A1678" t="s">
        <v>2095</v>
      </c>
      <c r="B1678" s="2">
        <v>46181</v>
      </c>
      <c r="C1678" t="s">
        <v>30</v>
      </c>
      <c r="D1678" t="s">
        <v>99</v>
      </c>
      <c r="E1678" t="s">
        <v>152</v>
      </c>
      <c r="F1678" t="s">
        <v>221</v>
      </c>
      <c r="G1678" t="s">
        <v>154</v>
      </c>
      <c r="H1678" t="s">
        <v>155</v>
      </c>
      <c r="I1678" t="s">
        <v>375</v>
      </c>
      <c r="J1678" t="s">
        <v>3067</v>
      </c>
      <c r="K1678" t="s">
        <v>105</v>
      </c>
      <c r="L1678" t="s">
        <v>80</v>
      </c>
      <c r="M1678" t="s">
        <v>81</v>
      </c>
      <c r="N1678" t="s">
        <v>130</v>
      </c>
      <c r="O1678" s="4">
        <v>5</v>
      </c>
      <c r="P1678" s="4">
        <v>8</v>
      </c>
      <c r="Q1678" t="s">
        <v>69</v>
      </c>
      <c r="R1678" s="2">
        <v>46180</v>
      </c>
      <c r="S1678" s="4">
        <v>23</v>
      </c>
      <c r="T1678" s="3">
        <v>113000000</v>
      </c>
      <c r="U1678" t="s">
        <v>42</v>
      </c>
      <c r="V1678" t="s">
        <v>59</v>
      </c>
      <c r="W1678" t="s">
        <v>131</v>
      </c>
      <c r="Y1678" t="s">
        <v>254</v>
      </c>
      <c r="Z1678" t="s">
        <v>3179</v>
      </c>
      <c r="AA1678" t="s">
        <v>159</v>
      </c>
      <c r="AB1678" t="s">
        <v>97</v>
      </c>
      <c r="AC1678" t="s">
        <v>159</v>
      </c>
    </row>
    <row r="1679" spans="1:29">
      <c r="A1679" t="s">
        <v>2096</v>
      </c>
      <c r="B1679" s="2">
        <v>46176</v>
      </c>
      <c r="C1679" t="s">
        <v>30</v>
      </c>
      <c r="D1679" t="s">
        <v>134</v>
      </c>
      <c r="E1679" t="s">
        <v>32</v>
      </c>
      <c r="F1679" t="s">
        <v>273</v>
      </c>
      <c r="G1679" t="s">
        <v>361</v>
      </c>
      <c r="H1679" t="s">
        <v>35</v>
      </c>
      <c r="I1679" t="s">
        <v>862</v>
      </c>
      <c r="J1679" t="s">
        <v>3164</v>
      </c>
      <c r="K1679" t="s">
        <v>105</v>
      </c>
      <c r="L1679" t="s">
        <v>187</v>
      </c>
      <c r="M1679" t="s">
        <v>106</v>
      </c>
      <c r="N1679" t="s">
        <v>82</v>
      </c>
      <c r="O1679" s="4">
        <v>1</v>
      </c>
      <c r="P1679" s="4">
        <v>1</v>
      </c>
      <c r="Q1679" t="s">
        <v>41</v>
      </c>
      <c r="R1679" s="2">
        <v>46175</v>
      </c>
      <c r="S1679" s="4">
        <v>28</v>
      </c>
      <c r="T1679" s="3">
        <v>333000000</v>
      </c>
      <c r="U1679" t="s">
        <v>42</v>
      </c>
      <c r="V1679" t="s">
        <v>43</v>
      </c>
      <c r="W1679" t="s">
        <v>290</v>
      </c>
      <c r="Y1679" t="s">
        <v>85</v>
      </c>
      <c r="Z1679" t="s">
        <v>3176</v>
      </c>
      <c r="AA1679" t="s">
        <v>46</v>
      </c>
      <c r="AB1679" t="s">
        <v>47</v>
      </c>
      <c r="AC1679" t="s">
        <v>46</v>
      </c>
    </row>
    <row r="1680" spans="1:29">
      <c r="A1680" t="s">
        <v>2097</v>
      </c>
      <c r="B1680" s="2">
        <v>46200</v>
      </c>
      <c r="C1680" t="s">
        <v>30</v>
      </c>
      <c r="D1680" t="s">
        <v>49</v>
      </c>
      <c r="E1680" t="s">
        <v>120</v>
      </c>
      <c r="F1680" t="s">
        <v>167</v>
      </c>
      <c r="G1680" t="s">
        <v>224</v>
      </c>
      <c r="H1680" t="s">
        <v>136</v>
      </c>
      <c r="I1680" t="s">
        <v>247</v>
      </c>
      <c r="J1680" t="s">
        <v>3035</v>
      </c>
      <c r="K1680" t="s">
        <v>37</v>
      </c>
      <c r="L1680" t="s">
        <v>68</v>
      </c>
      <c r="M1680" t="s">
        <v>93</v>
      </c>
      <c r="N1680" t="s">
        <v>94</v>
      </c>
      <c r="O1680" s="4">
        <v>4</v>
      </c>
      <c r="P1680" s="4">
        <v>6</v>
      </c>
      <c r="Q1680" t="s">
        <v>69</v>
      </c>
      <c r="R1680" s="2">
        <v>46190</v>
      </c>
      <c r="S1680" s="4">
        <v>13</v>
      </c>
      <c r="T1680" s="3">
        <v>272000000</v>
      </c>
      <c r="U1680" t="s">
        <v>42</v>
      </c>
      <c r="V1680" t="s">
        <v>143</v>
      </c>
      <c r="W1680" t="s">
        <v>188</v>
      </c>
      <c r="Y1680" t="s">
        <v>108</v>
      </c>
      <c r="Z1680" t="s">
        <v>3179</v>
      </c>
      <c r="AA1680" t="s">
        <v>97</v>
      </c>
      <c r="AB1680" t="s">
        <v>97</v>
      </c>
      <c r="AC1680" t="s">
        <v>97</v>
      </c>
    </row>
    <row r="1681" spans="1:29">
      <c r="A1681" t="s">
        <v>2098</v>
      </c>
      <c r="B1681" s="2">
        <v>46182</v>
      </c>
      <c r="C1681" t="s">
        <v>30</v>
      </c>
      <c r="D1681" t="s">
        <v>99</v>
      </c>
      <c r="E1681" t="s">
        <v>100</v>
      </c>
      <c r="F1681" t="s">
        <v>140</v>
      </c>
      <c r="G1681" t="s">
        <v>313</v>
      </c>
      <c r="H1681" t="s">
        <v>201</v>
      </c>
      <c r="I1681" t="s">
        <v>202</v>
      </c>
      <c r="J1681" t="s">
        <v>3026</v>
      </c>
      <c r="K1681" t="s">
        <v>92</v>
      </c>
      <c r="L1681" t="s">
        <v>55</v>
      </c>
      <c r="M1681" t="s">
        <v>81</v>
      </c>
      <c r="N1681" t="s">
        <v>196</v>
      </c>
      <c r="O1681" s="4">
        <v>7</v>
      </c>
      <c r="P1681" s="4">
        <v>15</v>
      </c>
      <c r="Q1681" t="s">
        <v>41</v>
      </c>
      <c r="R1681" s="2">
        <v>46180</v>
      </c>
      <c r="S1681" s="4">
        <v>23</v>
      </c>
      <c r="T1681" s="3">
        <v>124000000</v>
      </c>
      <c r="U1681" t="s">
        <v>564</v>
      </c>
      <c r="V1681" t="s">
        <v>70</v>
      </c>
      <c r="W1681" t="s">
        <v>675</v>
      </c>
      <c r="Y1681" t="s">
        <v>244</v>
      </c>
      <c r="Z1681" t="s">
        <v>3181</v>
      </c>
      <c r="AA1681" t="s">
        <v>109</v>
      </c>
      <c r="AB1681" t="s">
        <v>199</v>
      </c>
      <c r="AC1681" t="s">
        <v>109</v>
      </c>
    </row>
    <row r="1682" spans="1:29">
      <c r="A1682" t="s">
        <v>2099</v>
      </c>
      <c r="B1682" s="2">
        <v>46181</v>
      </c>
      <c r="C1682" t="s">
        <v>30</v>
      </c>
      <c r="D1682" t="s">
        <v>99</v>
      </c>
      <c r="E1682" t="s">
        <v>111</v>
      </c>
      <c r="F1682" t="s">
        <v>264</v>
      </c>
      <c r="G1682" t="s">
        <v>251</v>
      </c>
      <c r="H1682" t="s">
        <v>191</v>
      </c>
      <c r="I1682" t="s">
        <v>455</v>
      </c>
      <c r="J1682" t="s">
        <v>3091</v>
      </c>
      <c r="K1682" t="s">
        <v>37</v>
      </c>
      <c r="L1682" t="s">
        <v>80</v>
      </c>
      <c r="M1682" t="s">
        <v>164</v>
      </c>
      <c r="N1682" t="s">
        <v>94</v>
      </c>
      <c r="O1682" s="4">
        <v>4</v>
      </c>
      <c r="P1682" s="4">
        <v>5</v>
      </c>
      <c r="Q1682" t="s">
        <v>69</v>
      </c>
      <c r="R1682" s="2">
        <v>46171</v>
      </c>
      <c r="S1682" s="4">
        <v>32</v>
      </c>
      <c r="T1682" s="3">
        <v>249000000</v>
      </c>
      <c r="U1682" t="s">
        <v>426</v>
      </c>
      <c r="V1682" t="s">
        <v>59</v>
      </c>
      <c r="W1682" t="s">
        <v>170</v>
      </c>
      <c r="X1682" t="s">
        <v>422</v>
      </c>
      <c r="Y1682" t="s">
        <v>108</v>
      </c>
      <c r="Z1682" t="s">
        <v>3179</v>
      </c>
      <c r="AA1682" t="s">
        <v>118</v>
      </c>
      <c r="AB1682" t="s">
        <v>97</v>
      </c>
      <c r="AC1682" t="s">
        <v>118</v>
      </c>
    </row>
    <row r="1683" spans="1:29">
      <c r="A1683" t="s">
        <v>2100</v>
      </c>
      <c r="B1683" s="2">
        <v>46201</v>
      </c>
      <c r="C1683" t="s">
        <v>30</v>
      </c>
      <c r="D1683" t="s">
        <v>49</v>
      </c>
      <c r="E1683" t="s">
        <v>50</v>
      </c>
      <c r="F1683" t="s">
        <v>351</v>
      </c>
      <c r="G1683" t="s">
        <v>65</v>
      </c>
      <c r="H1683" t="s">
        <v>66</v>
      </c>
      <c r="I1683" t="s">
        <v>902</v>
      </c>
      <c r="J1683" t="s">
        <v>3165</v>
      </c>
      <c r="K1683" t="s">
        <v>92</v>
      </c>
      <c r="L1683" t="s">
        <v>169</v>
      </c>
      <c r="M1683" t="s">
        <v>81</v>
      </c>
      <c r="N1683" t="s">
        <v>40</v>
      </c>
      <c r="O1683" s="4">
        <v>2</v>
      </c>
      <c r="P1683" s="4">
        <v>7</v>
      </c>
      <c r="Q1683" t="s">
        <v>138</v>
      </c>
      <c r="R1683" s="2">
        <v>46193</v>
      </c>
      <c r="S1683" s="4">
        <v>10</v>
      </c>
      <c r="T1683" s="3">
        <v>200000000</v>
      </c>
      <c r="U1683" t="s">
        <v>42</v>
      </c>
      <c r="V1683" t="s">
        <v>59</v>
      </c>
      <c r="W1683" t="s">
        <v>44</v>
      </c>
      <c r="Y1683" t="s">
        <v>281</v>
      </c>
      <c r="Z1683" t="s">
        <v>3178</v>
      </c>
      <c r="AA1683" t="s">
        <v>62</v>
      </c>
      <c r="AB1683" t="s">
        <v>87</v>
      </c>
      <c r="AC1683" t="s">
        <v>62</v>
      </c>
    </row>
    <row r="1684" spans="1:29">
      <c r="A1684" t="s">
        <v>2101</v>
      </c>
      <c r="B1684" s="2">
        <v>46200</v>
      </c>
      <c r="C1684" t="s">
        <v>30</v>
      </c>
      <c r="D1684" t="s">
        <v>49</v>
      </c>
      <c r="E1684" t="s">
        <v>32</v>
      </c>
      <c r="F1684" t="s">
        <v>273</v>
      </c>
      <c r="G1684" t="s">
        <v>218</v>
      </c>
      <c r="H1684" t="s">
        <v>303</v>
      </c>
      <c r="I1684" t="s">
        <v>964</v>
      </c>
      <c r="J1684" t="s">
        <v>3167</v>
      </c>
      <c r="K1684" t="s">
        <v>37</v>
      </c>
      <c r="L1684" t="s">
        <v>187</v>
      </c>
      <c r="M1684" t="s">
        <v>39</v>
      </c>
      <c r="N1684" t="s">
        <v>40</v>
      </c>
      <c r="O1684" s="4">
        <v>2</v>
      </c>
      <c r="P1684" s="4">
        <v>4</v>
      </c>
      <c r="Q1684" t="s">
        <v>138</v>
      </c>
      <c r="R1684" s="2">
        <v>46198</v>
      </c>
      <c r="S1684" s="4">
        <v>5</v>
      </c>
      <c r="T1684" s="3">
        <v>107000000</v>
      </c>
      <c r="U1684" t="s">
        <v>42</v>
      </c>
      <c r="V1684" t="s">
        <v>43</v>
      </c>
      <c r="W1684" t="s">
        <v>178</v>
      </c>
      <c r="Y1684" t="s">
        <v>309</v>
      </c>
      <c r="Z1684" t="s">
        <v>3176</v>
      </c>
      <c r="AA1684" t="s">
        <v>46</v>
      </c>
      <c r="AB1684" t="s">
        <v>47</v>
      </c>
      <c r="AC1684" t="s">
        <v>46</v>
      </c>
    </row>
    <row r="1685" spans="1:29">
      <c r="A1685" t="s">
        <v>2102</v>
      </c>
      <c r="B1685" s="2">
        <v>46189</v>
      </c>
      <c r="C1685" t="s">
        <v>30</v>
      </c>
      <c r="D1685" t="s">
        <v>74</v>
      </c>
      <c r="E1685" t="s">
        <v>172</v>
      </c>
      <c r="F1685" t="s">
        <v>277</v>
      </c>
      <c r="G1685" t="s">
        <v>289</v>
      </c>
      <c r="H1685" t="s">
        <v>175</v>
      </c>
      <c r="I1685" t="s">
        <v>358</v>
      </c>
      <c r="J1685" t="s">
        <v>3062</v>
      </c>
      <c r="K1685" t="s">
        <v>105</v>
      </c>
      <c r="L1685" t="s">
        <v>187</v>
      </c>
      <c r="M1685" t="s">
        <v>129</v>
      </c>
      <c r="N1685" t="s">
        <v>82</v>
      </c>
      <c r="O1685" s="4">
        <v>1</v>
      </c>
      <c r="P1685" s="4">
        <v>9</v>
      </c>
      <c r="Q1685" t="s">
        <v>58</v>
      </c>
      <c r="R1685" s="2">
        <v>46185</v>
      </c>
      <c r="S1685" s="4">
        <v>18</v>
      </c>
      <c r="T1685" s="3">
        <v>179000000</v>
      </c>
      <c r="U1685" t="s">
        <v>42</v>
      </c>
      <c r="V1685" t="s">
        <v>43</v>
      </c>
      <c r="W1685" t="s">
        <v>290</v>
      </c>
      <c r="Y1685" t="s">
        <v>85</v>
      </c>
      <c r="Z1685" t="s">
        <v>3178</v>
      </c>
      <c r="AA1685" t="s">
        <v>181</v>
      </c>
      <c r="AB1685" t="s">
        <v>87</v>
      </c>
      <c r="AC1685" t="s">
        <v>181</v>
      </c>
    </row>
    <row r="1686" spans="1:29">
      <c r="A1686" t="s">
        <v>2103</v>
      </c>
      <c r="B1686" s="2">
        <v>46185</v>
      </c>
      <c r="C1686" t="s">
        <v>30</v>
      </c>
      <c r="D1686" t="s">
        <v>99</v>
      </c>
      <c r="E1686" t="s">
        <v>172</v>
      </c>
      <c r="F1686" t="s">
        <v>173</v>
      </c>
      <c r="G1686" t="s">
        <v>476</v>
      </c>
      <c r="H1686" t="s">
        <v>175</v>
      </c>
      <c r="I1686" t="s">
        <v>956</v>
      </c>
      <c r="J1686" t="s">
        <v>3166</v>
      </c>
      <c r="K1686" t="s">
        <v>105</v>
      </c>
      <c r="L1686" t="s">
        <v>68</v>
      </c>
      <c r="M1686" t="s">
        <v>93</v>
      </c>
      <c r="N1686" t="s">
        <v>130</v>
      </c>
      <c r="O1686" s="4">
        <v>5</v>
      </c>
      <c r="P1686" s="4">
        <v>5</v>
      </c>
      <c r="Q1686" t="s">
        <v>142</v>
      </c>
      <c r="R1686" s="2">
        <v>46177</v>
      </c>
      <c r="S1686" s="4">
        <v>26</v>
      </c>
      <c r="T1686" s="3">
        <v>71000000</v>
      </c>
      <c r="U1686" t="s">
        <v>42</v>
      </c>
      <c r="V1686" t="s">
        <v>59</v>
      </c>
      <c r="W1686" t="s">
        <v>252</v>
      </c>
      <c r="Y1686" t="s">
        <v>132</v>
      </c>
      <c r="Z1686" t="s">
        <v>3179</v>
      </c>
      <c r="AA1686" t="s">
        <v>181</v>
      </c>
      <c r="AB1686" t="s">
        <v>97</v>
      </c>
      <c r="AC1686" t="s">
        <v>181</v>
      </c>
    </row>
    <row r="1687" spans="1:29">
      <c r="A1687" t="s">
        <v>2104</v>
      </c>
      <c r="B1687" s="2">
        <v>46184</v>
      </c>
      <c r="C1687" t="s">
        <v>30</v>
      </c>
      <c r="D1687" t="s">
        <v>99</v>
      </c>
      <c r="E1687" t="s">
        <v>100</v>
      </c>
      <c r="F1687" t="s">
        <v>140</v>
      </c>
      <c r="G1687" t="s">
        <v>313</v>
      </c>
      <c r="H1687" t="s">
        <v>148</v>
      </c>
      <c r="I1687" t="s">
        <v>149</v>
      </c>
      <c r="J1687" t="s">
        <v>3019</v>
      </c>
      <c r="K1687" t="s">
        <v>37</v>
      </c>
      <c r="L1687" t="s">
        <v>150</v>
      </c>
      <c r="M1687" t="s">
        <v>129</v>
      </c>
      <c r="N1687" t="s">
        <v>94</v>
      </c>
      <c r="O1687" s="4">
        <v>4</v>
      </c>
      <c r="P1687" s="4">
        <v>17</v>
      </c>
      <c r="Q1687" t="s">
        <v>41</v>
      </c>
      <c r="R1687" s="2">
        <v>46183</v>
      </c>
      <c r="S1687" s="4">
        <v>20</v>
      </c>
      <c r="T1687" s="3">
        <v>199000000</v>
      </c>
      <c r="U1687" t="s">
        <v>42</v>
      </c>
      <c r="V1687" t="s">
        <v>59</v>
      </c>
      <c r="W1687" t="s">
        <v>267</v>
      </c>
      <c r="Y1687" t="s">
        <v>108</v>
      </c>
      <c r="Z1687" t="s">
        <v>3179</v>
      </c>
      <c r="AA1687" t="s">
        <v>109</v>
      </c>
      <c r="AB1687" t="s">
        <v>97</v>
      </c>
      <c r="AC1687" t="s">
        <v>109</v>
      </c>
    </row>
    <row r="1688" spans="1:29">
      <c r="A1688" t="s">
        <v>2105</v>
      </c>
      <c r="B1688" s="2">
        <v>46202</v>
      </c>
      <c r="C1688" t="s">
        <v>30</v>
      </c>
      <c r="D1688" t="s">
        <v>31</v>
      </c>
      <c r="E1688" t="s">
        <v>100</v>
      </c>
      <c r="F1688" t="s">
        <v>101</v>
      </c>
      <c r="G1688" t="s">
        <v>102</v>
      </c>
      <c r="H1688" t="s">
        <v>201</v>
      </c>
      <c r="I1688" t="s">
        <v>416</v>
      </c>
      <c r="J1688" t="s">
        <v>3078</v>
      </c>
      <c r="K1688" t="s">
        <v>105</v>
      </c>
      <c r="L1688" t="s">
        <v>187</v>
      </c>
      <c r="M1688" t="s">
        <v>93</v>
      </c>
      <c r="N1688" t="s">
        <v>94</v>
      </c>
      <c r="O1688" s="4">
        <v>4</v>
      </c>
      <c r="P1688" s="4">
        <v>15</v>
      </c>
      <c r="Q1688" t="s">
        <v>69</v>
      </c>
      <c r="R1688" s="2">
        <v>46194</v>
      </c>
      <c r="S1688" s="4">
        <v>9</v>
      </c>
      <c r="T1688" s="3">
        <v>335000000</v>
      </c>
      <c r="U1688" t="s">
        <v>42</v>
      </c>
      <c r="V1688" t="s">
        <v>59</v>
      </c>
      <c r="W1688" t="s">
        <v>170</v>
      </c>
      <c r="Y1688" t="s">
        <v>228</v>
      </c>
      <c r="Z1688" t="s">
        <v>3179</v>
      </c>
      <c r="AA1688" t="s">
        <v>109</v>
      </c>
      <c r="AB1688" t="s">
        <v>97</v>
      </c>
      <c r="AC1688" t="s">
        <v>109</v>
      </c>
    </row>
    <row r="1689" spans="1:29">
      <c r="A1689" t="s">
        <v>2106</v>
      </c>
      <c r="B1689" s="2">
        <v>46187</v>
      </c>
      <c r="C1689" t="s">
        <v>30</v>
      </c>
      <c r="D1689" t="s">
        <v>99</v>
      </c>
      <c r="E1689" t="s">
        <v>152</v>
      </c>
      <c r="F1689" t="s">
        <v>205</v>
      </c>
      <c r="G1689" t="s">
        <v>294</v>
      </c>
      <c r="H1689" t="s">
        <v>155</v>
      </c>
      <c r="I1689" t="s">
        <v>434</v>
      </c>
      <c r="J1689" t="s">
        <v>3083</v>
      </c>
      <c r="K1689" t="s">
        <v>37</v>
      </c>
      <c r="L1689" t="s">
        <v>187</v>
      </c>
      <c r="M1689" t="s">
        <v>164</v>
      </c>
      <c r="N1689" t="s">
        <v>82</v>
      </c>
      <c r="O1689" s="4">
        <v>1</v>
      </c>
      <c r="P1689" s="4">
        <v>15</v>
      </c>
      <c r="Q1689" t="s">
        <v>69</v>
      </c>
      <c r="R1689" s="2">
        <v>46179</v>
      </c>
      <c r="S1689" s="4">
        <v>24</v>
      </c>
      <c r="T1689" s="3">
        <v>232000000</v>
      </c>
      <c r="U1689" t="s">
        <v>42</v>
      </c>
      <c r="V1689" t="s">
        <v>43</v>
      </c>
      <c r="W1689" t="s">
        <v>290</v>
      </c>
      <c r="Y1689" t="s">
        <v>330</v>
      </c>
      <c r="Z1689" t="s">
        <v>3180</v>
      </c>
      <c r="AA1689" t="s">
        <v>159</v>
      </c>
      <c r="AB1689" t="s">
        <v>193</v>
      </c>
      <c r="AC1689" t="s">
        <v>159</v>
      </c>
    </row>
    <row r="1690" spans="1:29">
      <c r="A1690" t="s">
        <v>2107</v>
      </c>
      <c r="B1690" s="2">
        <v>46178</v>
      </c>
      <c r="C1690" t="s">
        <v>30</v>
      </c>
      <c r="D1690" t="s">
        <v>134</v>
      </c>
      <c r="E1690" t="s">
        <v>120</v>
      </c>
      <c r="F1690" t="s">
        <v>121</v>
      </c>
      <c r="G1690" t="s">
        <v>227</v>
      </c>
      <c r="H1690" t="s">
        <v>123</v>
      </c>
      <c r="I1690" t="s">
        <v>124</v>
      </c>
      <c r="J1690" t="s">
        <v>3015</v>
      </c>
      <c r="K1690" t="s">
        <v>56</v>
      </c>
      <c r="L1690" t="s">
        <v>187</v>
      </c>
      <c r="M1690" t="s">
        <v>164</v>
      </c>
      <c r="N1690" t="s">
        <v>94</v>
      </c>
      <c r="O1690" s="4">
        <v>4</v>
      </c>
      <c r="P1690" s="4">
        <v>11</v>
      </c>
      <c r="Q1690" t="s">
        <v>83</v>
      </c>
      <c r="R1690" s="2">
        <v>46172</v>
      </c>
      <c r="S1690" s="4">
        <v>31</v>
      </c>
      <c r="T1690" s="3">
        <v>409000000</v>
      </c>
      <c r="U1690" t="s">
        <v>426</v>
      </c>
      <c r="V1690" t="s">
        <v>59</v>
      </c>
      <c r="W1690" t="s">
        <v>170</v>
      </c>
      <c r="X1690" t="s">
        <v>520</v>
      </c>
      <c r="Y1690" t="s">
        <v>228</v>
      </c>
      <c r="Z1690" t="s">
        <v>3179</v>
      </c>
      <c r="AA1690" t="s">
        <v>97</v>
      </c>
      <c r="AB1690" t="s">
        <v>97</v>
      </c>
      <c r="AC1690" t="s">
        <v>97</v>
      </c>
    </row>
    <row r="1691" spans="1:29">
      <c r="A1691" t="s">
        <v>2108</v>
      </c>
      <c r="B1691" s="2">
        <v>46174</v>
      </c>
      <c r="C1691" t="s">
        <v>30</v>
      </c>
      <c r="D1691" t="s">
        <v>134</v>
      </c>
      <c r="E1691" t="s">
        <v>152</v>
      </c>
      <c r="F1691" t="s">
        <v>221</v>
      </c>
      <c r="G1691" t="s">
        <v>294</v>
      </c>
      <c r="H1691" t="s">
        <v>283</v>
      </c>
      <c r="I1691" t="s">
        <v>287</v>
      </c>
      <c r="J1691" t="s">
        <v>3042</v>
      </c>
      <c r="K1691" t="s">
        <v>105</v>
      </c>
      <c r="L1691" t="s">
        <v>169</v>
      </c>
      <c r="M1691" t="s">
        <v>106</v>
      </c>
      <c r="N1691" t="s">
        <v>40</v>
      </c>
      <c r="O1691" s="4">
        <v>2</v>
      </c>
      <c r="P1691" s="4">
        <v>15</v>
      </c>
      <c r="Q1691" t="s">
        <v>83</v>
      </c>
      <c r="R1691" s="2">
        <v>46171</v>
      </c>
      <c r="S1691" s="4">
        <v>32</v>
      </c>
      <c r="T1691" s="3">
        <v>248000000</v>
      </c>
      <c r="U1691" t="s">
        <v>42</v>
      </c>
      <c r="V1691" t="s">
        <v>59</v>
      </c>
      <c r="W1691" t="s">
        <v>239</v>
      </c>
      <c r="Y1691" t="s">
        <v>309</v>
      </c>
      <c r="Z1691" t="s">
        <v>3180</v>
      </c>
      <c r="AA1691" t="s">
        <v>159</v>
      </c>
      <c r="AB1691" t="s">
        <v>193</v>
      </c>
      <c r="AC1691" t="s">
        <v>159</v>
      </c>
    </row>
    <row r="1692" spans="1:29">
      <c r="A1692" t="s">
        <v>2109</v>
      </c>
      <c r="B1692" s="2">
        <v>46199</v>
      </c>
      <c r="C1692" t="s">
        <v>30</v>
      </c>
      <c r="D1692" t="s">
        <v>49</v>
      </c>
      <c r="E1692" t="s">
        <v>100</v>
      </c>
      <c r="F1692" t="s">
        <v>146</v>
      </c>
      <c r="G1692" t="s">
        <v>313</v>
      </c>
      <c r="H1692" t="s">
        <v>201</v>
      </c>
      <c r="I1692" t="s">
        <v>453</v>
      </c>
      <c r="J1692" t="s">
        <v>3090</v>
      </c>
      <c r="K1692" t="s">
        <v>37</v>
      </c>
      <c r="L1692" t="s">
        <v>68</v>
      </c>
      <c r="M1692" t="s">
        <v>164</v>
      </c>
      <c r="N1692" t="s">
        <v>40</v>
      </c>
      <c r="O1692" s="4">
        <v>2</v>
      </c>
      <c r="P1692" s="4">
        <v>13</v>
      </c>
      <c r="Q1692" t="s">
        <v>138</v>
      </c>
      <c r="R1692" s="2">
        <v>46190</v>
      </c>
      <c r="S1692" s="4">
        <v>13</v>
      </c>
      <c r="T1692" s="3">
        <v>145000000</v>
      </c>
      <c r="U1692" t="s">
        <v>42</v>
      </c>
      <c r="V1692" t="s">
        <v>59</v>
      </c>
      <c r="W1692" t="s">
        <v>239</v>
      </c>
      <c r="Y1692" t="s">
        <v>281</v>
      </c>
      <c r="Z1692" t="s">
        <v>3180</v>
      </c>
      <c r="AA1692" t="s">
        <v>109</v>
      </c>
      <c r="AB1692" t="s">
        <v>193</v>
      </c>
      <c r="AC1692" t="s">
        <v>109</v>
      </c>
    </row>
    <row r="1693" spans="1:29">
      <c r="A1693" t="s">
        <v>2110</v>
      </c>
      <c r="B1693" s="2">
        <v>46189</v>
      </c>
      <c r="C1693" t="s">
        <v>30</v>
      </c>
      <c r="D1693" t="s">
        <v>74</v>
      </c>
      <c r="E1693" t="s">
        <v>50</v>
      </c>
      <c r="F1693" t="s">
        <v>351</v>
      </c>
      <c r="G1693" t="s">
        <v>234</v>
      </c>
      <c r="H1693" t="s">
        <v>53</v>
      </c>
      <c r="I1693" t="s">
        <v>235</v>
      </c>
      <c r="J1693" t="s">
        <v>3032</v>
      </c>
      <c r="K1693" t="s">
        <v>56</v>
      </c>
      <c r="L1693" t="s">
        <v>38</v>
      </c>
      <c r="M1693" t="s">
        <v>39</v>
      </c>
      <c r="N1693" t="s">
        <v>196</v>
      </c>
      <c r="O1693" s="4">
        <v>7</v>
      </c>
      <c r="P1693" s="4">
        <v>12</v>
      </c>
      <c r="Q1693" t="s">
        <v>69</v>
      </c>
      <c r="R1693" s="2">
        <v>46182</v>
      </c>
      <c r="S1693" s="4">
        <v>21</v>
      </c>
      <c r="T1693" s="3">
        <v>150000000</v>
      </c>
      <c r="U1693" t="s">
        <v>196</v>
      </c>
      <c r="V1693" t="s">
        <v>70</v>
      </c>
      <c r="W1693" t="s">
        <v>675</v>
      </c>
      <c r="Y1693" t="s">
        <v>369</v>
      </c>
      <c r="Z1693" t="s">
        <v>3181</v>
      </c>
      <c r="AA1693" t="s">
        <v>62</v>
      </c>
      <c r="AB1693" t="s">
        <v>199</v>
      </c>
      <c r="AC1693" t="s">
        <v>62</v>
      </c>
    </row>
    <row r="1694" spans="1:29">
      <c r="A1694" t="s">
        <v>2111</v>
      </c>
      <c r="B1694" s="2">
        <v>46201</v>
      </c>
      <c r="C1694" t="s">
        <v>30</v>
      </c>
      <c r="D1694" t="s">
        <v>49</v>
      </c>
      <c r="E1694" t="s">
        <v>32</v>
      </c>
      <c r="F1694" t="s">
        <v>33</v>
      </c>
      <c r="G1694" t="s">
        <v>34</v>
      </c>
      <c r="H1694" t="s">
        <v>303</v>
      </c>
      <c r="I1694" t="s">
        <v>464</v>
      </c>
      <c r="J1694" t="s">
        <v>3095</v>
      </c>
      <c r="K1694" t="s">
        <v>37</v>
      </c>
      <c r="L1694" t="s">
        <v>150</v>
      </c>
      <c r="M1694" t="s">
        <v>93</v>
      </c>
      <c r="N1694" t="s">
        <v>82</v>
      </c>
      <c r="O1694" s="4">
        <v>1</v>
      </c>
      <c r="P1694" s="4">
        <v>3</v>
      </c>
      <c r="Q1694" t="s">
        <v>58</v>
      </c>
      <c r="R1694" s="2">
        <v>46201</v>
      </c>
      <c r="S1694" s="4">
        <v>2</v>
      </c>
      <c r="T1694" s="3">
        <v>249000000</v>
      </c>
      <c r="U1694" t="s">
        <v>42</v>
      </c>
      <c r="V1694" t="s">
        <v>59</v>
      </c>
      <c r="W1694" t="s">
        <v>290</v>
      </c>
      <c r="Y1694" t="s">
        <v>305</v>
      </c>
      <c r="Z1694" t="s">
        <v>3176</v>
      </c>
      <c r="AA1694" t="s">
        <v>46</v>
      </c>
      <c r="AB1694" t="s">
        <v>47</v>
      </c>
      <c r="AC1694" t="s">
        <v>46</v>
      </c>
    </row>
    <row r="1695" spans="1:29">
      <c r="A1695" t="s">
        <v>2112</v>
      </c>
      <c r="B1695" s="2">
        <v>46177</v>
      </c>
      <c r="C1695" t="s">
        <v>30</v>
      </c>
      <c r="D1695" t="s">
        <v>134</v>
      </c>
      <c r="E1695" t="s">
        <v>50</v>
      </c>
      <c r="F1695" t="s">
        <v>89</v>
      </c>
      <c r="G1695" t="s">
        <v>234</v>
      </c>
      <c r="H1695" t="s">
        <v>53</v>
      </c>
      <c r="I1695" t="s">
        <v>307</v>
      </c>
      <c r="J1695" t="s">
        <v>3047</v>
      </c>
      <c r="K1695" t="s">
        <v>105</v>
      </c>
      <c r="L1695" t="s">
        <v>80</v>
      </c>
      <c r="M1695" t="s">
        <v>39</v>
      </c>
      <c r="N1695" t="s">
        <v>196</v>
      </c>
      <c r="O1695" s="4">
        <v>7</v>
      </c>
      <c r="P1695" s="4">
        <v>14</v>
      </c>
      <c r="Q1695" t="s">
        <v>69</v>
      </c>
      <c r="R1695" s="2">
        <v>46171</v>
      </c>
      <c r="S1695" s="4">
        <v>32</v>
      </c>
      <c r="T1695" s="3">
        <v>169000000</v>
      </c>
      <c r="U1695" t="s">
        <v>196</v>
      </c>
      <c r="V1695" t="s">
        <v>70</v>
      </c>
      <c r="W1695" t="s">
        <v>209</v>
      </c>
      <c r="Y1695" t="s">
        <v>198</v>
      </c>
      <c r="Z1695" t="s">
        <v>3181</v>
      </c>
      <c r="AA1695" t="s">
        <v>62</v>
      </c>
      <c r="AB1695" t="s">
        <v>199</v>
      </c>
      <c r="AC1695" t="s">
        <v>62</v>
      </c>
    </row>
    <row r="1696" spans="1:29">
      <c r="A1696" t="s">
        <v>2113</v>
      </c>
      <c r="B1696" s="2">
        <v>46178</v>
      </c>
      <c r="C1696" t="s">
        <v>30</v>
      </c>
      <c r="D1696" t="s">
        <v>134</v>
      </c>
      <c r="E1696" t="s">
        <v>32</v>
      </c>
      <c r="F1696" t="s">
        <v>33</v>
      </c>
      <c r="G1696" t="s">
        <v>218</v>
      </c>
      <c r="H1696" t="s">
        <v>258</v>
      </c>
      <c r="I1696" t="s">
        <v>568</v>
      </c>
      <c r="J1696" t="s">
        <v>3121</v>
      </c>
      <c r="K1696" t="s">
        <v>92</v>
      </c>
      <c r="L1696" t="s">
        <v>169</v>
      </c>
      <c r="M1696" t="s">
        <v>81</v>
      </c>
      <c r="N1696" t="s">
        <v>40</v>
      </c>
      <c r="O1696" s="4">
        <v>2</v>
      </c>
      <c r="P1696" s="4">
        <v>3</v>
      </c>
      <c r="Q1696" t="s">
        <v>142</v>
      </c>
      <c r="R1696" s="2">
        <v>46172</v>
      </c>
      <c r="S1696" s="4">
        <v>31</v>
      </c>
      <c r="T1696" s="3">
        <v>85000000</v>
      </c>
      <c r="U1696" t="s">
        <v>42</v>
      </c>
      <c r="V1696" t="s">
        <v>59</v>
      </c>
      <c r="W1696" t="s">
        <v>239</v>
      </c>
      <c r="Y1696" t="s">
        <v>309</v>
      </c>
      <c r="Z1696" t="s">
        <v>3176</v>
      </c>
      <c r="AA1696" t="s">
        <v>46</v>
      </c>
      <c r="AB1696" t="s">
        <v>47</v>
      </c>
      <c r="AC1696" t="s">
        <v>46</v>
      </c>
    </row>
    <row r="1697" spans="1:29">
      <c r="A1697" t="s">
        <v>2114</v>
      </c>
      <c r="B1697" s="2">
        <v>46185</v>
      </c>
      <c r="C1697" t="s">
        <v>30</v>
      </c>
      <c r="D1697" t="s">
        <v>99</v>
      </c>
      <c r="E1697" t="s">
        <v>50</v>
      </c>
      <c r="F1697" t="s">
        <v>89</v>
      </c>
      <c r="G1697" t="s">
        <v>270</v>
      </c>
      <c r="H1697" t="s">
        <v>53</v>
      </c>
      <c r="I1697" t="s">
        <v>307</v>
      </c>
      <c r="J1697" t="s">
        <v>3047</v>
      </c>
      <c r="K1697" t="s">
        <v>105</v>
      </c>
      <c r="L1697" t="s">
        <v>187</v>
      </c>
      <c r="M1697" t="s">
        <v>164</v>
      </c>
      <c r="N1697" t="s">
        <v>57</v>
      </c>
      <c r="O1697" s="4">
        <v>3</v>
      </c>
      <c r="P1697" s="4">
        <v>13</v>
      </c>
      <c r="Q1697" t="s">
        <v>138</v>
      </c>
      <c r="R1697" s="2">
        <v>46175</v>
      </c>
      <c r="S1697" s="4">
        <v>28</v>
      </c>
      <c r="T1697" s="3">
        <v>260000000</v>
      </c>
      <c r="U1697" t="s">
        <v>42</v>
      </c>
      <c r="V1697" t="s">
        <v>59</v>
      </c>
      <c r="W1697" t="s">
        <v>71</v>
      </c>
      <c r="Y1697" t="s">
        <v>158</v>
      </c>
      <c r="Z1697" t="s">
        <v>3180</v>
      </c>
      <c r="AA1697" t="s">
        <v>62</v>
      </c>
      <c r="AB1697" t="s">
        <v>193</v>
      </c>
      <c r="AC1697" t="s">
        <v>62</v>
      </c>
    </row>
    <row r="1698" spans="1:29">
      <c r="A1698" t="s">
        <v>2115</v>
      </c>
      <c r="B1698" s="2">
        <v>46201</v>
      </c>
      <c r="C1698" t="s">
        <v>30</v>
      </c>
      <c r="D1698" t="s">
        <v>49</v>
      </c>
      <c r="E1698" t="s">
        <v>120</v>
      </c>
      <c r="F1698" t="s">
        <v>121</v>
      </c>
      <c r="G1698" t="s">
        <v>227</v>
      </c>
      <c r="H1698" t="s">
        <v>136</v>
      </c>
      <c r="I1698" t="s">
        <v>247</v>
      </c>
      <c r="J1698" t="s">
        <v>3035</v>
      </c>
      <c r="K1698" t="s">
        <v>105</v>
      </c>
      <c r="L1698" t="s">
        <v>150</v>
      </c>
      <c r="M1698" t="s">
        <v>93</v>
      </c>
      <c r="N1698" t="s">
        <v>57</v>
      </c>
      <c r="O1698" s="4">
        <v>3</v>
      </c>
      <c r="P1698" s="4">
        <v>8</v>
      </c>
      <c r="Q1698" t="s">
        <v>58</v>
      </c>
      <c r="R1698" s="2">
        <v>46200</v>
      </c>
      <c r="S1698" s="4">
        <v>3</v>
      </c>
      <c r="T1698" s="3">
        <v>54000000</v>
      </c>
      <c r="U1698" t="s">
        <v>42</v>
      </c>
      <c r="V1698" t="s">
        <v>59</v>
      </c>
      <c r="W1698" t="s">
        <v>203</v>
      </c>
      <c r="Y1698" t="s">
        <v>72</v>
      </c>
      <c r="Z1698" t="s">
        <v>3177</v>
      </c>
      <c r="AA1698" t="s">
        <v>97</v>
      </c>
      <c r="AB1698" t="s">
        <v>63</v>
      </c>
      <c r="AC1698" t="s">
        <v>97</v>
      </c>
    </row>
    <row r="1699" spans="1:29">
      <c r="A1699" t="s">
        <v>2116</v>
      </c>
      <c r="B1699" s="2">
        <v>46179</v>
      </c>
      <c r="C1699" t="s">
        <v>30</v>
      </c>
      <c r="D1699" t="s">
        <v>134</v>
      </c>
      <c r="E1699" t="s">
        <v>120</v>
      </c>
      <c r="F1699" t="s">
        <v>246</v>
      </c>
      <c r="G1699" t="s">
        <v>224</v>
      </c>
      <c r="H1699" t="s">
        <v>300</v>
      </c>
      <c r="I1699" t="s">
        <v>400</v>
      </c>
      <c r="J1699" t="s">
        <v>3074</v>
      </c>
      <c r="K1699" t="s">
        <v>105</v>
      </c>
      <c r="L1699" t="s">
        <v>55</v>
      </c>
      <c r="M1699" t="s">
        <v>81</v>
      </c>
      <c r="N1699" t="s">
        <v>57</v>
      </c>
      <c r="O1699" s="4">
        <v>3</v>
      </c>
      <c r="P1699" s="4">
        <v>12</v>
      </c>
      <c r="Q1699" t="s">
        <v>41</v>
      </c>
      <c r="R1699" s="2">
        <v>46171</v>
      </c>
      <c r="S1699" s="4">
        <v>32</v>
      </c>
      <c r="T1699" s="3">
        <v>239000000</v>
      </c>
      <c r="U1699" t="s">
        <v>42</v>
      </c>
      <c r="V1699" t="s">
        <v>43</v>
      </c>
      <c r="W1699" t="s">
        <v>157</v>
      </c>
      <c r="Y1699" t="s">
        <v>158</v>
      </c>
      <c r="Z1699" t="s">
        <v>3180</v>
      </c>
      <c r="AA1699" t="s">
        <v>97</v>
      </c>
      <c r="AB1699" t="s">
        <v>193</v>
      </c>
      <c r="AC1699" t="s">
        <v>97</v>
      </c>
    </row>
    <row r="1700" spans="1:29">
      <c r="A1700" t="s">
        <v>2117</v>
      </c>
      <c r="B1700" s="2">
        <v>46184</v>
      </c>
      <c r="C1700" t="s">
        <v>30</v>
      </c>
      <c r="D1700" t="s">
        <v>99</v>
      </c>
      <c r="E1700" t="s">
        <v>111</v>
      </c>
      <c r="F1700" t="s">
        <v>264</v>
      </c>
      <c r="G1700" t="s">
        <v>113</v>
      </c>
      <c r="H1700" t="s">
        <v>127</v>
      </c>
      <c r="I1700" t="s">
        <v>461</v>
      </c>
      <c r="J1700" t="s">
        <v>3094</v>
      </c>
      <c r="K1700" t="s">
        <v>92</v>
      </c>
      <c r="L1700" t="s">
        <v>38</v>
      </c>
      <c r="M1700" t="s">
        <v>56</v>
      </c>
      <c r="N1700" t="s">
        <v>94</v>
      </c>
      <c r="O1700" s="4">
        <v>4</v>
      </c>
      <c r="P1700" s="4">
        <v>12</v>
      </c>
      <c r="Q1700" t="s">
        <v>69</v>
      </c>
      <c r="R1700" s="2">
        <v>46180</v>
      </c>
      <c r="S1700" s="4">
        <v>23</v>
      </c>
      <c r="T1700" s="3">
        <v>149000000</v>
      </c>
      <c r="U1700" t="s">
        <v>42</v>
      </c>
      <c r="V1700" t="s">
        <v>143</v>
      </c>
      <c r="W1700" t="s">
        <v>95</v>
      </c>
      <c r="X1700" t="s">
        <v>253</v>
      </c>
      <c r="Y1700" t="s">
        <v>228</v>
      </c>
      <c r="Z1700" t="s">
        <v>3179</v>
      </c>
      <c r="AA1700" t="s">
        <v>118</v>
      </c>
      <c r="AB1700" t="s">
        <v>97</v>
      </c>
      <c r="AC1700" t="s">
        <v>118</v>
      </c>
    </row>
    <row r="1701" spans="1:29">
      <c r="A1701" t="s">
        <v>2118</v>
      </c>
      <c r="B1701" s="2">
        <v>46199</v>
      </c>
      <c r="C1701" t="s">
        <v>30</v>
      </c>
      <c r="D1701" t="s">
        <v>49</v>
      </c>
      <c r="E1701" t="s">
        <v>111</v>
      </c>
      <c r="F1701" t="s">
        <v>264</v>
      </c>
      <c r="G1701" t="s">
        <v>348</v>
      </c>
      <c r="H1701" t="s">
        <v>191</v>
      </c>
      <c r="I1701" t="s">
        <v>643</v>
      </c>
      <c r="J1701" t="s">
        <v>3138</v>
      </c>
      <c r="K1701" t="s">
        <v>105</v>
      </c>
      <c r="L1701" t="s">
        <v>187</v>
      </c>
      <c r="M1701" t="s">
        <v>93</v>
      </c>
      <c r="N1701" t="s">
        <v>130</v>
      </c>
      <c r="O1701" s="4">
        <v>5</v>
      </c>
      <c r="P1701" s="4">
        <v>13</v>
      </c>
      <c r="Q1701" t="s">
        <v>142</v>
      </c>
      <c r="R1701" s="2">
        <v>46193</v>
      </c>
      <c r="S1701" s="4">
        <v>10</v>
      </c>
      <c r="T1701" s="3">
        <v>385000000</v>
      </c>
      <c r="U1701" t="s">
        <v>42</v>
      </c>
      <c r="V1701" t="s">
        <v>143</v>
      </c>
      <c r="W1701" t="s">
        <v>131</v>
      </c>
      <c r="Y1701" t="s">
        <v>262</v>
      </c>
      <c r="Z1701" t="s">
        <v>3179</v>
      </c>
      <c r="AA1701" t="s">
        <v>118</v>
      </c>
      <c r="AB1701" t="s">
        <v>97</v>
      </c>
      <c r="AC1701" t="s">
        <v>118</v>
      </c>
    </row>
    <row r="1702" spans="1:29">
      <c r="A1702" t="s">
        <v>2119</v>
      </c>
      <c r="B1702" s="2">
        <v>46189</v>
      </c>
      <c r="C1702" t="s">
        <v>30</v>
      </c>
      <c r="D1702" t="s">
        <v>74</v>
      </c>
      <c r="E1702" t="s">
        <v>120</v>
      </c>
      <c r="F1702" t="s">
        <v>246</v>
      </c>
      <c r="G1702" t="s">
        <v>122</v>
      </c>
      <c r="H1702" t="s">
        <v>123</v>
      </c>
      <c r="I1702" t="s">
        <v>459</v>
      </c>
      <c r="J1702" t="s">
        <v>3093</v>
      </c>
      <c r="K1702" t="s">
        <v>56</v>
      </c>
      <c r="L1702" t="s">
        <v>68</v>
      </c>
      <c r="M1702" t="s">
        <v>39</v>
      </c>
      <c r="N1702" t="s">
        <v>57</v>
      </c>
      <c r="O1702" s="4">
        <v>3</v>
      </c>
      <c r="P1702" s="4">
        <v>9</v>
      </c>
      <c r="Q1702" t="s">
        <v>58</v>
      </c>
      <c r="R1702" s="2">
        <v>46182</v>
      </c>
      <c r="S1702" s="4">
        <v>21</v>
      </c>
      <c r="T1702" s="3">
        <v>84000000</v>
      </c>
      <c r="U1702" t="s">
        <v>42</v>
      </c>
      <c r="V1702" t="s">
        <v>59</v>
      </c>
      <c r="W1702" t="s">
        <v>60</v>
      </c>
      <c r="Y1702" t="s">
        <v>165</v>
      </c>
      <c r="Z1702" t="s">
        <v>3177</v>
      </c>
      <c r="AA1702" t="s">
        <v>97</v>
      </c>
      <c r="AB1702" t="s">
        <v>63</v>
      </c>
      <c r="AC1702" t="s">
        <v>97</v>
      </c>
    </row>
    <row r="1703" spans="1:29">
      <c r="A1703" t="s">
        <v>2120</v>
      </c>
      <c r="B1703" s="2">
        <v>46203</v>
      </c>
      <c r="C1703" t="s">
        <v>30</v>
      </c>
      <c r="D1703" t="s">
        <v>31</v>
      </c>
      <c r="E1703" t="s">
        <v>152</v>
      </c>
      <c r="F1703" t="s">
        <v>221</v>
      </c>
      <c r="G1703" t="s">
        <v>286</v>
      </c>
      <c r="H1703" t="s">
        <v>283</v>
      </c>
      <c r="I1703" t="s">
        <v>287</v>
      </c>
      <c r="J1703" t="s">
        <v>3042</v>
      </c>
      <c r="K1703" t="s">
        <v>105</v>
      </c>
      <c r="L1703" t="s">
        <v>38</v>
      </c>
      <c r="M1703" t="s">
        <v>129</v>
      </c>
      <c r="N1703" t="s">
        <v>82</v>
      </c>
      <c r="O1703" s="4">
        <v>1</v>
      </c>
      <c r="P1703" s="4">
        <v>10</v>
      </c>
      <c r="Q1703" t="s">
        <v>83</v>
      </c>
      <c r="R1703" s="2">
        <v>46203</v>
      </c>
      <c r="S1703" s="4">
        <v>0</v>
      </c>
      <c r="T1703" s="3">
        <v>344000000</v>
      </c>
      <c r="U1703" t="s">
        <v>42</v>
      </c>
      <c r="V1703" t="s">
        <v>43</v>
      </c>
      <c r="W1703" t="s">
        <v>359</v>
      </c>
      <c r="Y1703" t="s">
        <v>305</v>
      </c>
      <c r="Z1703" t="s">
        <v>3178</v>
      </c>
      <c r="AA1703" t="s">
        <v>159</v>
      </c>
      <c r="AB1703" t="s">
        <v>87</v>
      </c>
      <c r="AC1703" t="s">
        <v>159</v>
      </c>
    </row>
    <row r="1704" spans="1:29">
      <c r="A1704" t="s">
        <v>2121</v>
      </c>
      <c r="B1704" s="2">
        <v>46183</v>
      </c>
      <c r="C1704" t="s">
        <v>30</v>
      </c>
      <c r="D1704" t="s">
        <v>99</v>
      </c>
      <c r="E1704" t="s">
        <v>172</v>
      </c>
      <c r="F1704" t="s">
        <v>195</v>
      </c>
      <c r="G1704" t="s">
        <v>476</v>
      </c>
      <c r="H1704" t="s">
        <v>241</v>
      </c>
      <c r="I1704" t="s">
        <v>441</v>
      </c>
      <c r="J1704" t="s">
        <v>3085</v>
      </c>
      <c r="K1704" t="s">
        <v>56</v>
      </c>
      <c r="L1704" t="s">
        <v>80</v>
      </c>
      <c r="M1704" t="s">
        <v>81</v>
      </c>
      <c r="N1704" t="s">
        <v>94</v>
      </c>
      <c r="O1704" s="4">
        <v>4</v>
      </c>
      <c r="P1704" s="4">
        <v>8</v>
      </c>
      <c r="Q1704" t="s">
        <v>138</v>
      </c>
      <c r="R1704" s="2">
        <v>46177</v>
      </c>
      <c r="S1704" s="4">
        <v>26</v>
      </c>
      <c r="T1704" s="3">
        <v>159000000</v>
      </c>
      <c r="U1704" t="s">
        <v>42</v>
      </c>
      <c r="V1704" t="s">
        <v>143</v>
      </c>
      <c r="W1704" t="s">
        <v>267</v>
      </c>
      <c r="Y1704" t="s">
        <v>108</v>
      </c>
      <c r="Z1704" t="s">
        <v>3179</v>
      </c>
      <c r="AA1704" t="s">
        <v>181</v>
      </c>
      <c r="AB1704" t="s">
        <v>97</v>
      </c>
      <c r="AC1704" t="s">
        <v>181</v>
      </c>
    </row>
    <row r="1705" spans="1:29">
      <c r="A1705" t="s">
        <v>2122</v>
      </c>
      <c r="B1705" s="2">
        <v>46186</v>
      </c>
      <c r="C1705" t="s">
        <v>30</v>
      </c>
      <c r="D1705" t="s">
        <v>99</v>
      </c>
      <c r="E1705" t="s">
        <v>111</v>
      </c>
      <c r="F1705" t="s">
        <v>112</v>
      </c>
      <c r="G1705" t="s">
        <v>348</v>
      </c>
      <c r="H1705" t="s">
        <v>127</v>
      </c>
      <c r="I1705" t="s">
        <v>461</v>
      </c>
      <c r="J1705" t="s">
        <v>3094</v>
      </c>
      <c r="K1705" t="s">
        <v>92</v>
      </c>
      <c r="L1705" t="s">
        <v>150</v>
      </c>
      <c r="M1705" t="s">
        <v>129</v>
      </c>
      <c r="N1705" t="s">
        <v>82</v>
      </c>
      <c r="O1705" s="4">
        <v>1</v>
      </c>
      <c r="P1705" s="4">
        <v>7</v>
      </c>
      <c r="Q1705" t="s">
        <v>107</v>
      </c>
      <c r="R1705" s="2">
        <v>46185</v>
      </c>
      <c r="S1705" s="4">
        <v>18</v>
      </c>
      <c r="T1705" s="3">
        <v>207000000</v>
      </c>
      <c r="U1705" t="s">
        <v>42</v>
      </c>
      <c r="V1705" t="s">
        <v>43</v>
      </c>
      <c r="W1705" t="s">
        <v>359</v>
      </c>
      <c r="Y1705" t="s">
        <v>85</v>
      </c>
      <c r="Z1705" t="s">
        <v>3178</v>
      </c>
      <c r="AA1705" t="s">
        <v>118</v>
      </c>
      <c r="AB1705" t="s">
        <v>87</v>
      </c>
      <c r="AC1705" t="s">
        <v>118</v>
      </c>
    </row>
    <row r="1706" spans="1:29">
      <c r="A1706" t="s">
        <v>2123</v>
      </c>
      <c r="B1706" s="2">
        <v>46194</v>
      </c>
      <c r="C1706" t="s">
        <v>30</v>
      </c>
      <c r="D1706" t="s">
        <v>74</v>
      </c>
      <c r="E1706" t="s">
        <v>32</v>
      </c>
      <c r="F1706" t="s">
        <v>256</v>
      </c>
      <c r="G1706" t="s">
        <v>361</v>
      </c>
      <c r="H1706" t="s">
        <v>303</v>
      </c>
      <c r="I1706" t="s">
        <v>1021</v>
      </c>
      <c r="J1706" t="s">
        <v>3171</v>
      </c>
      <c r="K1706" t="s">
        <v>105</v>
      </c>
      <c r="L1706" t="s">
        <v>68</v>
      </c>
      <c r="M1706" t="s">
        <v>56</v>
      </c>
      <c r="N1706" t="s">
        <v>82</v>
      </c>
      <c r="O1706" s="4">
        <v>1</v>
      </c>
      <c r="P1706" s="4">
        <v>4</v>
      </c>
      <c r="Q1706" t="s">
        <v>138</v>
      </c>
      <c r="R1706" s="2">
        <v>46193</v>
      </c>
      <c r="S1706" s="4">
        <v>10</v>
      </c>
      <c r="T1706" s="3">
        <v>199000000</v>
      </c>
      <c r="U1706" t="s">
        <v>42</v>
      </c>
      <c r="V1706" t="s">
        <v>43</v>
      </c>
      <c r="W1706" t="s">
        <v>84</v>
      </c>
      <c r="Y1706" t="s">
        <v>291</v>
      </c>
      <c r="Z1706" t="s">
        <v>3176</v>
      </c>
      <c r="AA1706" t="s">
        <v>46</v>
      </c>
      <c r="AB1706" t="s">
        <v>47</v>
      </c>
      <c r="AC1706" t="s">
        <v>46</v>
      </c>
    </row>
    <row r="1707" spans="1:29">
      <c r="A1707" t="s">
        <v>2124</v>
      </c>
      <c r="B1707" s="2">
        <v>46186</v>
      </c>
      <c r="C1707" t="s">
        <v>30</v>
      </c>
      <c r="D1707" t="s">
        <v>99</v>
      </c>
      <c r="E1707" t="s">
        <v>111</v>
      </c>
      <c r="F1707" t="s">
        <v>190</v>
      </c>
      <c r="G1707" t="s">
        <v>113</v>
      </c>
      <c r="H1707" t="s">
        <v>191</v>
      </c>
      <c r="I1707" t="s">
        <v>467</v>
      </c>
      <c r="J1707" t="s">
        <v>3096</v>
      </c>
      <c r="K1707" t="s">
        <v>37</v>
      </c>
      <c r="L1707" t="s">
        <v>187</v>
      </c>
      <c r="M1707" t="s">
        <v>164</v>
      </c>
      <c r="N1707" t="s">
        <v>57</v>
      </c>
      <c r="O1707" s="4">
        <v>3</v>
      </c>
      <c r="P1707" s="4">
        <v>12</v>
      </c>
      <c r="Q1707" t="s">
        <v>58</v>
      </c>
      <c r="R1707" s="2">
        <v>46179</v>
      </c>
      <c r="S1707" s="4">
        <v>24</v>
      </c>
      <c r="T1707" s="3">
        <v>247000000</v>
      </c>
      <c r="U1707" t="s">
        <v>42</v>
      </c>
      <c r="V1707" t="s">
        <v>59</v>
      </c>
      <c r="W1707" t="s">
        <v>203</v>
      </c>
      <c r="Y1707" t="s">
        <v>158</v>
      </c>
      <c r="Z1707" t="s">
        <v>3180</v>
      </c>
      <c r="AA1707" t="s">
        <v>118</v>
      </c>
      <c r="AB1707" t="s">
        <v>193</v>
      </c>
      <c r="AC1707" t="s">
        <v>118</v>
      </c>
    </row>
    <row r="1708" spans="1:29">
      <c r="A1708" t="s">
        <v>2125</v>
      </c>
      <c r="B1708" s="2">
        <v>46202</v>
      </c>
      <c r="C1708" t="s">
        <v>30</v>
      </c>
      <c r="D1708" t="s">
        <v>31</v>
      </c>
      <c r="E1708" t="s">
        <v>120</v>
      </c>
      <c r="F1708" t="s">
        <v>167</v>
      </c>
      <c r="G1708" t="s">
        <v>122</v>
      </c>
      <c r="H1708" t="s">
        <v>136</v>
      </c>
      <c r="I1708" t="s">
        <v>168</v>
      </c>
      <c r="J1708" t="s">
        <v>3022</v>
      </c>
      <c r="K1708" t="s">
        <v>105</v>
      </c>
      <c r="L1708" t="s">
        <v>187</v>
      </c>
      <c r="M1708" t="s">
        <v>129</v>
      </c>
      <c r="N1708" t="s">
        <v>94</v>
      </c>
      <c r="O1708" s="4">
        <v>4</v>
      </c>
      <c r="P1708" s="4">
        <v>9</v>
      </c>
      <c r="Q1708" t="s">
        <v>69</v>
      </c>
      <c r="R1708" s="2">
        <v>46198</v>
      </c>
      <c r="S1708" s="4">
        <v>5</v>
      </c>
      <c r="T1708" s="3">
        <v>164000000</v>
      </c>
      <c r="U1708" t="s">
        <v>42</v>
      </c>
      <c r="V1708" t="s">
        <v>59</v>
      </c>
      <c r="W1708" t="s">
        <v>188</v>
      </c>
      <c r="Y1708" t="s">
        <v>96</v>
      </c>
      <c r="Z1708" t="s">
        <v>3179</v>
      </c>
      <c r="AA1708" t="s">
        <v>97</v>
      </c>
      <c r="AB1708" t="s">
        <v>97</v>
      </c>
      <c r="AC1708" t="s">
        <v>97</v>
      </c>
    </row>
    <row r="1709" spans="1:29">
      <c r="A1709" t="s">
        <v>2126</v>
      </c>
      <c r="B1709" s="2">
        <v>46185</v>
      </c>
      <c r="C1709" t="s">
        <v>30</v>
      </c>
      <c r="D1709" t="s">
        <v>99</v>
      </c>
      <c r="E1709" t="s">
        <v>152</v>
      </c>
      <c r="F1709" t="s">
        <v>221</v>
      </c>
      <c r="G1709" t="s">
        <v>154</v>
      </c>
      <c r="H1709" t="s">
        <v>155</v>
      </c>
      <c r="I1709" t="s">
        <v>729</v>
      </c>
      <c r="J1709" t="s">
        <v>3149</v>
      </c>
      <c r="K1709" t="s">
        <v>56</v>
      </c>
      <c r="L1709" t="s">
        <v>55</v>
      </c>
      <c r="M1709" t="s">
        <v>56</v>
      </c>
      <c r="N1709" t="s">
        <v>40</v>
      </c>
      <c r="O1709" s="4">
        <v>2</v>
      </c>
      <c r="P1709" s="4">
        <v>13</v>
      </c>
      <c r="Q1709" t="s">
        <v>41</v>
      </c>
      <c r="R1709" s="2">
        <v>46184</v>
      </c>
      <c r="S1709" s="4">
        <v>19</v>
      </c>
      <c r="T1709" s="3">
        <v>405000000</v>
      </c>
      <c r="U1709" t="s">
        <v>42</v>
      </c>
      <c r="V1709" t="s">
        <v>59</v>
      </c>
      <c r="W1709" t="s">
        <v>239</v>
      </c>
      <c r="Y1709" t="s">
        <v>309</v>
      </c>
      <c r="Z1709" t="s">
        <v>3180</v>
      </c>
      <c r="AA1709" t="s">
        <v>159</v>
      </c>
      <c r="AB1709" t="s">
        <v>193</v>
      </c>
      <c r="AC1709" t="s">
        <v>159</v>
      </c>
    </row>
    <row r="1710" spans="1:29">
      <c r="A1710" t="s">
        <v>2127</v>
      </c>
      <c r="B1710" s="2">
        <v>46176</v>
      </c>
      <c r="C1710" t="s">
        <v>30</v>
      </c>
      <c r="D1710" t="s">
        <v>134</v>
      </c>
      <c r="E1710" t="s">
        <v>152</v>
      </c>
      <c r="F1710" t="s">
        <v>153</v>
      </c>
      <c r="G1710" t="s">
        <v>328</v>
      </c>
      <c r="H1710" t="s">
        <v>155</v>
      </c>
      <c r="I1710" t="s">
        <v>375</v>
      </c>
      <c r="J1710" t="s">
        <v>3067</v>
      </c>
      <c r="K1710" t="s">
        <v>37</v>
      </c>
      <c r="L1710" t="s">
        <v>80</v>
      </c>
      <c r="M1710" t="s">
        <v>56</v>
      </c>
      <c r="N1710" t="s">
        <v>57</v>
      </c>
      <c r="O1710" s="4">
        <v>3</v>
      </c>
      <c r="P1710" s="4">
        <v>13</v>
      </c>
      <c r="Q1710" t="s">
        <v>83</v>
      </c>
      <c r="R1710" s="2">
        <v>46167</v>
      </c>
      <c r="S1710" s="4">
        <v>36</v>
      </c>
      <c r="T1710" s="3">
        <v>108000000</v>
      </c>
      <c r="U1710" t="s">
        <v>42</v>
      </c>
      <c r="V1710" t="s">
        <v>43</v>
      </c>
      <c r="W1710" t="s">
        <v>60</v>
      </c>
      <c r="Y1710" t="s">
        <v>158</v>
      </c>
      <c r="Z1710" t="s">
        <v>3180</v>
      </c>
      <c r="AA1710" t="s">
        <v>159</v>
      </c>
      <c r="AB1710" t="s">
        <v>193</v>
      </c>
      <c r="AC1710" t="s">
        <v>159</v>
      </c>
    </row>
    <row r="1711" spans="1:29">
      <c r="A1711" t="s">
        <v>2128</v>
      </c>
      <c r="B1711" s="2">
        <v>46177</v>
      </c>
      <c r="C1711" t="s">
        <v>30</v>
      </c>
      <c r="D1711" t="s">
        <v>134</v>
      </c>
      <c r="E1711" t="s">
        <v>172</v>
      </c>
      <c r="F1711" t="s">
        <v>173</v>
      </c>
      <c r="G1711" t="s">
        <v>174</v>
      </c>
      <c r="H1711" t="s">
        <v>175</v>
      </c>
      <c r="I1711" t="s">
        <v>358</v>
      </c>
      <c r="J1711" t="s">
        <v>3062</v>
      </c>
      <c r="K1711" t="s">
        <v>105</v>
      </c>
      <c r="L1711" t="s">
        <v>55</v>
      </c>
      <c r="M1711" t="s">
        <v>129</v>
      </c>
      <c r="N1711" t="s">
        <v>82</v>
      </c>
      <c r="O1711" s="4">
        <v>1</v>
      </c>
      <c r="P1711" s="4">
        <v>4</v>
      </c>
      <c r="Q1711" t="s">
        <v>107</v>
      </c>
      <c r="R1711" s="2">
        <v>46177</v>
      </c>
      <c r="S1711" s="4">
        <v>26</v>
      </c>
      <c r="T1711" s="3">
        <v>108000000</v>
      </c>
      <c r="U1711" t="s">
        <v>42</v>
      </c>
      <c r="V1711" t="s">
        <v>43</v>
      </c>
      <c r="W1711" t="s">
        <v>404</v>
      </c>
      <c r="Y1711" t="s">
        <v>330</v>
      </c>
      <c r="Z1711" t="s">
        <v>3176</v>
      </c>
      <c r="AA1711" t="s">
        <v>181</v>
      </c>
      <c r="AB1711" t="s">
        <v>47</v>
      </c>
      <c r="AC1711" t="s">
        <v>181</v>
      </c>
    </row>
    <row r="1712" spans="1:29">
      <c r="A1712" t="s">
        <v>2129</v>
      </c>
      <c r="B1712" s="2">
        <v>46190</v>
      </c>
      <c r="C1712" t="s">
        <v>30</v>
      </c>
      <c r="D1712" t="s">
        <v>74</v>
      </c>
      <c r="E1712" t="s">
        <v>50</v>
      </c>
      <c r="F1712" t="s">
        <v>51</v>
      </c>
      <c r="G1712" t="s">
        <v>65</v>
      </c>
      <c r="H1712" t="s">
        <v>53</v>
      </c>
      <c r="I1712" t="s">
        <v>54</v>
      </c>
      <c r="J1712" t="s">
        <v>3009</v>
      </c>
      <c r="K1712" t="s">
        <v>92</v>
      </c>
      <c r="L1712" t="s">
        <v>38</v>
      </c>
      <c r="M1712" t="s">
        <v>106</v>
      </c>
      <c r="N1712" t="s">
        <v>213</v>
      </c>
      <c r="O1712" s="4">
        <v>6</v>
      </c>
      <c r="P1712" s="4">
        <v>15</v>
      </c>
      <c r="Q1712" t="s">
        <v>69</v>
      </c>
      <c r="R1712" s="2">
        <v>46189</v>
      </c>
      <c r="S1712" s="4">
        <v>14</v>
      </c>
      <c r="T1712" s="3">
        <v>227000000</v>
      </c>
      <c r="U1712" t="s">
        <v>214</v>
      </c>
      <c r="V1712" t="s">
        <v>70</v>
      </c>
      <c r="W1712" t="s">
        <v>248</v>
      </c>
      <c r="Y1712" t="s">
        <v>216</v>
      </c>
      <c r="Z1712" t="s">
        <v>3179</v>
      </c>
      <c r="AA1712" t="s">
        <v>62</v>
      </c>
      <c r="AB1712" t="s">
        <v>97</v>
      </c>
      <c r="AC1712" t="s">
        <v>62</v>
      </c>
    </row>
    <row r="1713" spans="1:29">
      <c r="A1713" t="s">
        <v>2130</v>
      </c>
      <c r="B1713" s="2">
        <v>46174</v>
      </c>
      <c r="C1713" t="s">
        <v>30</v>
      </c>
      <c r="D1713" t="s">
        <v>134</v>
      </c>
      <c r="E1713" t="s">
        <v>120</v>
      </c>
      <c r="F1713" t="s">
        <v>246</v>
      </c>
      <c r="G1713" t="s">
        <v>420</v>
      </c>
      <c r="H1713" t="s">
        <v>136</v>
      </c>
      <c r="I1713" t="s">
        <v>137</v>
      </c>
      <c r="J1713" t="s">
        <v>3017</v>
      </c>
      <c r="K1713" t="s">
        <v>105</v>
      </c>
      <c r="L1713" t="s">
        <v>80</v>
      </c>
      <c r="M1713" t="s">
        <v>39</v>
      </c>
      <c r="N1713" t="s">
        <v>40</v>
      </c>
      <c r="O1713" s="4">
        <v>2</v>
      </c>
      <c r="P1713" s="4">
        <v>4</v>
      </c>
      <c r="Q1713" t="s">
        <v>58</v>
      </c>
      <c r="R1713" s="2">
        <v>46169</v>
      </c>
      <c r="S1713" s="4">
        <v>34</v>
      </c>
      <c r="T1713" s="3">
        <v>113000000</v>
      </c>
      <c r="U1713" t="s">
        <v>42</v>
      </c>
      <c r="V1713" t="s">
        <v>43</v>
      </c>
      <c r="W1713" t="s">
        <v>298</v>
      </c>
      <c r="Y1713" t="s">
        <v>281</v>
      </c>
      <c r="Z1713" t="s">
        <v>3176</v>
      </c>
      <c r="AA1713" t="s">
        <v>97</v>
      </c>
      <c r="AB1713" t="s">
        <v>47</v>
      </c>
      <c r="AC1713" t="s">
        <v>97</v>
      </c>
    </row>
    <row r="1714" spans="1:29">
      <c r="A1714" t="s">
        <v>2131</v>
      </c>
      <c r="B1714" s="2">
        <v>46202</v>
      </c>
      <c r="C1714" t="s">
        <v>30</v>
      </c>
      <c r="D1714" t="s">
        <v>31</v>
      </c>
      <c r="E1714" t="s">
        <v>100</v>
      </c>
      <c r="F1714" t="s">
        <v>140</v>
      </c>
      <c r="G1714" t="s">
        <v>147</v>
      </c>
      <c r="H1714" t="s">
        <v>201</v>
      </c>
      <c r="I1714" t="s">
        <v>416</v>
      </c>
      <c r="J1714" t="s">
        <v>3078</v>
      </c>
      <c r="K1714" t="s">
        <v>56</v>
      </c>
      <c r="L1714" t="s">
        <v>55</v>
      </c>
      <c r="M1714" t="s">
        <v>39</v>
      </c>
      <c r="N1714" t="s">
        <v>130</v>
      </c>
      <c r="O1714" s="4">
        <v>5</v>
      </c>
      <c r="P1714" s="4">
        <v>11</v>
      </c>
      <c r="Q1714" t="s">
        <v>107</v>
      </c>
      <c r="R1714" s="2">
        <v>46200</v>
      </c>
      <c r="S1714" s="4">
        <v>3</v>
      </c>
      <c r="T1714" s="3">
        <v>260000000</v>
      </c>
      <c r="U1714" t="s">
        <v>260</v>
      </c>
      <c r="V1714" t="s">
        <v>59</v>
      </c>
      <c r="W1714" t="s">
        <v>131</v>
      </c>
      <c r="X1714" t="s">
        <v>179</v>
      </c>
      <c r="Y1714" t="s">
        <v>262</v>
      </c>
      <c r="Z1714" t="s">
        <v>3179</v>
      </c>
      <c r="AA1714" t="s">
        <v>109</v>
      </c>
      <c r="AB1714" t="s">
        <v>97</v>
      </c>
      <c r="AC1714" t="s">
        <v>109</v>
      </c>
    </row>
    <row r="1715" spans="1:29">
      <c r="A1715" t="s">
        <v>2132</v>
      </c>
      <c r="B1715" s="2">
        <v>46202</v>
      </c>
      <c r="C1715" t="s">
        <v>30</v>
      </c>
      <c r="D1715" t="s">
        <v>31</v>
      </c>
      <c r="E1715" t="s">
        <v>152</v>
      </c>
      <c r="F1715" t="s">
        <v>221</v>
      </c>
      <c r="G1715" t="s">
        <v>294</v>
      </c>
      <c r="H1715" t="s">
        <v>283</v>
      </c>
      <c r="I1715" t="s">
        <v>663</v>
      </c>
      <c r="J1715" t="s">
        <v>3145</v>
      </c>
      <c r="K1715" t="s">
        <v>37</v>
      </c>
      <c r="L1715" t="s">
        <v>38</v>
      </c>
      <c r="M1715" t="s">
        <v>93</v>
      </c>
      <c r="N1715" t="s">
        <v>94</v>
      </c>
      <c r="O1715" s="4">
        <v>4</v>
      </c>
      <c r="P1715" s="4">
        <v>16</v>
      </c>
      <c r="Q1715" t="s">
        <v>107</v>
      </c>
      <c r="R1715" s="2">
        <v>46197</v>
      </c>
      <c r="S1715" s="4">
        <v>6</v>
      </c>
      <c r="T1715" s="3">
        <v>114000000</v>
      </c>
      <c r="U1715" t="s">
        <v>42</v>
      </c>
      <c r="V1715" t="s">
        <v>59</v>
      </c>
      <c r="W1715" t="s">
        <v>188</v>
      </c>
      <c r="Y1715" t="s">
        <v>268</v>
      </c>
      <c r="Z1715" t="s">
        <v>3179</v>
      </c>
      <c r="AA1715" t="s">
        <v>159</v>
      </c>
      <c r="AB1715" t="s">
        <v>97</v>
      </c>
      <c r="AC1715" t="s">
        <v>159</v>
      </c>
    </row>
    <row r="1716" spans="1:29">
      <c r="A1716" t="s">
        <v>2133</v>
      </c>
      <c r="B1716" s="2">
        <v>46194</v>
      </c>
      <c r="C1716" t="s">
        <v>30</v>
      </c>
      <c r="D1716" t="s">
        <v>74</v>
      </c>
      <c r="E1716" t="s">
        <v>120</v>
      </c>
      <c r="F1716" t="s">
        <v>167</v>
      </c>
      <c r="G1716" t="s">
        <v>135</v>
      </c>
      <c r="H1716" t="s">
        <v>123</v>
      </c>
      <c r="I1716" t="s">
        <v>336</v>
      </c>
      <c r="J1716" t="s">
        <v>3055</v>
      </c>
      <c r="K1716" t="s">
        <v>92</v>
      </c>
      <c r="L1716" t="s">
        <v>187</v>
      </c>
      <c r="M1716" t="s">
        <v>81</v>
      </c>
      <c r="N1716" t="s">
        <v>130</v>
      </c>
      <c r="O1716" s="4">
        <v>5</v>
      </c>
      <c r="P1716" s="4">
        <v>16</v>
      </c>
      <c r="Q1716" t="s">
        <v>138</v>
      </c>
      <c r="R1716" s="2">
        <v>46193</v>
      </c>
      <c r="S1716" s="4">
        <v>10</v>
      </c>
      <c r="T1716" s="3">
        <v>228000000</v>
      </c>
      <c r="U1716" t="s">
        <v>42</v>
      </c>
      <c r="V1716" t="s">
        <v>70</v>
      </c>
      <c r="W1716" t="s">
        <v>355</v>
      </c>
      <c r="Y1716" t="s">
        <v>132</v>
      </c>
      <c r="Z1716" t="s">
        <v>3179</v>
      </c>
      <c r="AA1716" t="s">
        <v>97</v>
      </c>
      <c r="AB1716" t="s">
        <v>97</v>
      </c>
      <c r="AC1716" t="s">
        <v>97</v>
      </c>
    </row>
    <row r="1717" spans="1:29">
      <c r="A1717" t="s">
        <v>2134</v>
      </c>
      <c r="B1717" s="2">
        <v>46174</v>
      </c>
      <c r="C1717" t="s">
        <v>30</v>
      </c>
      <c r="D1717" t="s">
        <v>134</v>
      </c>
      <c r="E1717" t="s">
        <v>75</v>
      </c>
      <c r="F1717" t="s">
        <v>76</v>
      </c>
      <c r="G1717" t="s">
        <v>77</v>
      </c>
      <c r="H1717" t="s">
        <v>185</v>
      </c>
      <c r="I1717" t="s">
        <v>795</v>
      </c>
      <c r="J1717" t="s">
        <v>3155</v>
      </c>
      <c r="K1717" t="s">
        <v>92</v>
      </c>
      <c r="L1717" t="s">
        <v>187</v>
      </c>
      <c r="M1717" t="s">
        <v>106</v>
      </c>
      <c r="N1717" t="s">
        <v>130</v>
      </c>
      <c r="O1717" s="4">
        <v>5</v>
      </c>
      <c r="P1717" s="4">
        <v>8</v>
      </c>
      <c r="Q1717" t="s">
        <v>107</v>
      </c>
      <c r="R1717" s="2">
        <v>46167</v>
      </c>
      <c r="S1717" s="4">
        <v>36</v>
      </c>
      <c r="T1717" s="3">
        <v>207000000</v>
      </c>
      <c r="U1717" t="s">
        <v>260</v>
      </c>
      <c r="V1717" t="s">
        <v>59</v>
      </c>
      <c r="W1717" t="s">
        <v>131</v>
      </c>
      <c r="X1717" t="s">
        <v>422</v>
      </c>
      <c r="Y1717" t="s">
        <v>254</v>
      </c>
      <c r="Z1717" t="s">
        <v>3179</v>
      </c>
      <c r="AA1717" t="s">
        <v>86</v>
      </c>
      <c r="AB1717" t="s">
        <v>97</v>
      </c>
      <c r="AC1717" t="s">
        <v>86</v>
      </c>
    </row>
    <row r="1718" spans="1:29">
      <c r="A1718" t="s">
        <v>2135</v>
      </c>
      <c r="B1718" s="2">
        <v>46181</v>
      </c>
      <c r="C1718" t="s">
        <v>30</v>
      </c>
      <c r="D1718" t="s">
        <v>99</v>
      </c>
      <c r="E1718" t="s">
        <v>152</v>
      </c>
      <c r="F1718" t="s">
        <v>205</v>
      </c>
      <c r="G1718" t="s">
        <v>328</v>
      </c>
      <c r="H1718" t="s">
        <v>207</v>
      </c>
      <c r="I1718" t="s">
        <v>773</v>
      </c>
      <c r="J1718" t="s">
        <v>3153</v>
      </c>
      <c r="K1718" t="s">
        <v>37</v>
      </c>
      <c r="L1718" t="s">
        <v>169</v>
      </c>
      <c r="M1718" t="s">
        <v>129</v>
      </c>
      <c r="N1718" t="s">
        <v>130</v>
      </c>
      <c r="O1718" s="4">
        <v>5</v>
      </c>
      <c r="P1718" s="4">
        <v>8</v>
      </c>
      <c r="Q1718" t="s">
        <v>107</v>
      </c>
      <c r="R1718" s="2">
        <v>46177</v>
      </c>
      <c r="S1718" s="4">
        <v>26</v>
      </c>
      <c r="T1718" s="3">
        <v>175000000</v>
      </c>
      <c r="U1718" t="s">
        <v>42</v>
      </c>
      <c r="V1718" t="s">
        <v>70</v>
      </c>
      <c r="W1718" t="s">
        <v>252</v>
      </c>
      <c r="Y1718" t="s">
        <v>132</v>
      </c>
      <c r="Z1718" t="s">
        <v>3179</v>
      </c>
      <c r="AA1718" t="s">
        <v>159</v>
      </c>
      <c r="AB1718" t="s">
        <v>97</v>
      </c>
      <c r="AC1718" t="s">
        <v>159</v>
      </c>
    </row>
    <row r="1719" spans="1:29">
      <c r="A1719" t="s">
        <v>2136</v>
      </c>
      <c r="B1719" s="2">
        <v>46188</v>
      </c>
      <c r="C1719" t="s">
        <v>30</v>
      </c>
      <c r="D1719" t="s">
        <v>74</v>
      </c>
      <c r="E1719" t="s">
        <v>152</v>
      </c>
      <c r="F1719" t="s">
        <v>153</v>
      </c>
      <c r="G1719" t="s">
        <v>294</v>
      </c>
      <c r="H1719" t="s">
        <v>155</v>
      </c>
      <c r="I1719" t="s">
        <v>434</v>
      </c>
      <c r="J1719" t="s">
        <v>3083</v>
      </c>
      <c r="K1719" t="s">
        <v>37</v>
      </c>
      <c r="L1719" t="s">
        <v>68</v>
      </c>
      <c r="M1719" t="s">
        <v>93</v>
      </c>
      <c r="N1719" t="s">
        <v>57</v>
      </c>
      <c r="O1719" s="4">
        <v>3</v>
      </c>
      <c r="P1719" s="4">
        <v>8</v>
      </c>
      <c r="Q1719" t="s">
        <v>58</v>
      </c>
      <c r="R1719" s="2">
        <v>46182</v>
      </c>
      <c r="S1719" s="4">
        <v>21</v>
      </c>
      <c r="T1719" s="3">
        <v>180000000</v>
      </c>
      <c r="U1719" t="s">
        <v>42</v>
      </c>
      <c r="V1719" t="s">
        <v>43</v>
      </c>
      <c r="W1719" t="s">
        <v>71</v>
      </c>
      <c r="Y1719" t="s">
        <v>158</v>
      </c>
      <c r="Z1719" t="s">
        <v>3177</v>
      </c>
      <c r="AA1719" t="s">
        <v>159</v>
      </c>
      <c r="AB1719" t="s">
        <v>63</v>
      </c>
      <c r="AC1719" t="s">
        <v>159</v>
      </c>
    </row>
    <row r="1720" spans="1:29">
      <c r="A1720" t="s">
        <v>2137</v>
      </c>
      <c r="B1720" s="2">
        <v>46200</v>
      </c>
      <c r="C1720" t="s">
        <v>30</v>
      </c>
      <c r="D1720" t="s">
        <v>49</v>
      </c>
      <c r="E1720" t="s">
        <v>50</v>
      </c>
      <c r="F1720" t="s">
        <v>89</v>
      </c>
      <c r="G1720" t="s">
        <v>52</v>
      </c>
      <c r="H1720" t="s">
        <v>53</v>
      </c>
      <c r="I1720" t="s">
        <v>787</v>
      </c>
      <c r="J1720" t="s">
        <v>3154</v>
      </c>
      <c r="K1720" t="s">
        <v>92</v>
      </c>
      <c r="L1720" t="s">
        <v>169</v>
      </c>
      <c r="M1720" t="s">
        <v>129</v>
      </c>
      <c r="N1720" t="s">
        <v>196</v>
      </c>
      <c r="O1720" s="4">
        <v>7</v>
      </c>
      <c r="P1720" s="4">
        <v>23</v>
      </c>
      <c r="Q1720" t="s">
        <v>83</v>
      </c>
      <c r="R1720" s="2">
        <v>46198</v>
      </c>
      <c r="S1720" s="4">
        <v>5</v>
      </c>
      <c r="T1720" s="3">
        <v>199000000</v>
      </c>
      <c r="U1720" t="s">
        <v>196</v>
      </c>
      <c r="V1720" t="s">
        <v>70</v>
      </c>
      <c r="W1720" t="s">
        <v>675</v>
      </c>
      <c r="Y1720" t="s">
        <v>244</v>
      </c>
      <c r="Z1720" t="s">
        <v>3181</v>
      </c>
      <c r="AA1720" t="s">
        <v>62</v>
      </c>
      <c r="AB1720" t="s">
        <v>199</v>
      </c>
      <c r="AC1720" t="s">
        <v>62</v>
      </c>
    </row>
    <row r="1721" spans="1:29">
      <c r="A1721" t="s">
        <v>2138</v>
      </c>
      <c r="B1721" s="2">
        <v>46182</v>
      </c>
      <c r="C1721" t="s">
        <v>30</v>
      </c>
      <c r="D1721" t="s">
        <v>99</v>
      </c>
      <c r="E1721" t="s">
        <v>100</v>
      </c>
      <c r="F1721" t="s">
        <v>146</v>
      </c>
      <c r="G1721" t="s">
        <v>147</v>
      </c>
      <c r="H1721" t="s">
        <v>201</v>
      </c>
      <c r="I1721" t="s">
        <v>554</v>
      </c>
      <c r="J1721" t="s">
        <v>3117</v>
      </c>
      <c r="K1721" t="s">
        <v>105</v>
      </c>
      <c r="L1721" t="s">
        <v>150</v>
      </c>
      <c r="M1721" t="s">
        <v>93</v>
      </c>
      <c r="N1721" t="s">
        <v>213</v>
      </c>
      <c r="O1721" s="4">
        <v>6</v>
      </c>
      <c r="P1721" s="4">
        <v>15</v>
      </c>
      <c r="Q1721" t="s">
        <v>69</v>
      </c>
      <c r="R1721" s="2">
        <v>46175</v>
      </c>
      <c r="S1721" s="4">
        <v>28</v>
      </c>
      <c r="T1721" s="3">
        <v>224000000</v>
      </c>
      <c r="U1721" t="s">
        <v>214</v>
      </c>
      <c r="V1721" t="s">
        <v>70</v>
      </c>
      <c r="W1721" t="s">
        <v>390</v>
      </c>
      <c r="Y1721" t="s">
        <v>432</v>
      </c>
      <c r="Z1721" t="s">
        <v>3179</v>
      </c>
      <c r="AA1721" t="s">
        <v>109</v>
      </c>
      <c r="AB1721" t="s">
        <v>97</v>
      </c>
      <c r="AC1721" t="s">
        <v>109</v>
      </c>
    </row>
    <row r="1722" spans="1:29">
      <c r="A1722" t="s">
        <v>2139</v>
      </c>
      <c r="B1722" s="2">
        <v>46189</v>
      </c>
      <c r="C1722" t="s">
        <v>30</v>
      </c>
      <c r="D1722" t="s">
        <v>74</v>
      </c>
      <c r="E1722" t="s">
        <v>75</v>
      </c>
      <c r="F1722" t="s">
        <v>161</v>
      </c>
      <c r="G1722" t="s">
        <v>184</v>
      </c>
      <c r="H1722" t="s">
        <v>388</v>
      </c>
      <c r="I1722" t="s">
        <v>409</v>
      </c>
      <c r="J1722" t="s">
        <v>3076</v>
      </c>
      <c r="K1722" t="s">
        <v>56</v>
      </c>
      <c r="L1722" t="s">
        <v>150</v>
      </c>
      <c r="M1722" t="s">
        <v>106</v>
      </c>
      <c r="N1722" t="s">
        <v>213</v>
      </c>
      <c r="O1722" s="4">
        <v>6</v>
      </c>
      <c r="P1722" s="4">
        <v>14</v>
      </c>
      <c r="Q1722" t="s">
        <v>58</v>
      </c>
      <c r="R1722" s="2">
        <v>46185</v>
      </c>
      <c r="S1722" s="4">
        <v>18</v>
      </c>
      <c r="T1722" s="3">
        <v>473000000</v>
      </c>
      <c r="U1722" t="s">
        <v>214</v>
      </c>
      <c r="V1722" t="s">
        <v>70</v>
      </c>
      <c r="W1722" t="s">
        <v>215</v>
      </c>
      <c r="Y1722" t="s">
        <v>249</v>
      </c>
      <c r="Z1722" t="s">
        <v>3179</v>
      </c>
      <c r="AA1722" t="s">
        <v>86</v>
      </c>
      <c r="AB1722" t="s">
        <v>97</v>
      </c>
      <c r="AC1722" t="s">
        <v>86</v>
      </c>
    </row>
    <row r="1723" spans="1:29">
      <c r="A1723" t="s">
        <v>2140</v>
      </c>
      <c r="B1723" s="2">
        <v>46199</v>
      </c>
      <c r="C1723" t="s">
        <v>30</v>
      </c>
      <c r="D1723" t="s">
        <v>49</v>
      </c>
      <c r="E1723" t="s">
        <v>172</v>
      </c>
      <c r="F1723" t="s">
        <v>277</v>
      </c>
      <c r="G1723" t="s">
        <v>338</v>
      </c>
      <c r="H1723" t="s">
        <v>241</v>
      </c>
      <c r="I1723" t="s">
        <v>242</v>
      </c>
      <c r="J1723" t="s">
        <v>3034</v>
      </c>
      <c r="K1723" t="s">
        <v>105</v>
      </c>
      <c r="L1723" t="s">
        <v>187</v>
      </c>
      <c r="M1723" t="s">
        <v>93</v>
      </c>
      <c r="N1723" t="s">
        <v>57</v>
      </c>
      <c r="O1723" s="4">
        <v>3</v>
      </c>
      <c r="P1723" s="4">
        <v>8</v>
      </c>
      <c r="Q1723" t="s">
        <v>83</v>
      </c>
      <c r="R1723" s="2">
        <v>46190</v>
      </c>
      <c r="S1723" s="4">
        <v>13</v>
      </c>
      <c r="T1723" s="3">
        <v>159000000</v>
      </c>
      <c r="U1723" t="s">
        <v>42</v>
      </c>
      <c r="V1723" t="s">
        <v>43</v>
      </c>
      <c r="W1723" t="s">
        <v>157</v>
      </c>
      <c r="Y1723" t="s">
        <v>158</v>
      </c>
      <c r="Z1723" t="s">
        <v>3177</v>
      </c>
      <c r="AA1723" t="s">
        <v>181</v>
      </c>
      <c r="AB1723" t="s">
        <v>63</v>
      </c>
      <c r="AC1723" t="s">
        <v>181</v>
      </c>
    </row>
    <row r="1724" spans="1:29">
      <c r="A1724" t="s">
        <v>2141</v>
      </c>
      <c r="B1724" s="2">
        <v>46195</v>
      </c>
      <c r="C1724" t="s">
        <v>30</v>
      </c>
      <c r="D1724" t="s">
        <v>49</v>
      </c>
      <c r="E1724" t="s">
        <v>152</v>
      </c>
      <c r="F1724" t="s">
        <v>205</v>
      </c>
      <c r="G1724" t="s">
        <v>286</v>
      </c>
      <c r="H1724" t="s">
        <v>283</v>
      </c>
      <c r="I1724" t="s">
        <v>295</v>
      </c>
      <c r="J1724" t="s">
        <v>3043</v>
      </c>
      <c r="K1724" t="s">
        <v>56</v>
      </c>
      <c r="L1724" t="s">
        <v>38</v>
      </c>
      <c r="M1724" t="s">
        <v>56</v>
      </c>
      <c r="N1724" t="s">
        <v>57</v>
      </c>
      <c r="O1724" s="4">
        <v>3</v>
      </c>
      <c r="P1724" s="4">
        <v>6</v>
      </c>
      <c r="Q1724" t="s">
        <v>83</v>
      </c>
      <c r="R1724" s="2">
        <v>46190</v>
      </c>
      <c r="S1724" s="4">
        <v>13</v>
      </c>
      <c r="T1724" s="3">
        <v>144000000</v>
      </c>
      <c r="U1724" t="s">
        <v>42</v>
      </c>
      <c r="V1724" t="s">
        <v>43</v>
      </c>
      <c r="W1724" t="s">
        <v>60</v>
      </c>
      <c r="Y1724" t="s">
        <v>72</v>
      </c>
      <c r="Z1724" t="s">
        <v>3177</v>
      </c>
      <c r="AA1724" t="s">
        <v>159</v>
      </c>
      <c r="AB1724" t="s">
        <v>63</v>
      </c>
      <c r="AC1724" t="s">
        <v>159</v>
      </c>
    </row>
    <row r="1725" spans="1:29">
      <c r="A1725" t="s">
        <v>2142</v>
      </c>
      <c r="B1725" s="2">
        <v>46201</v>
      </c>
      <c r="C1725" t="s">
        <v>30</v>
      </c>
      <c r="D1725" t="s">
        <v>49</v>
      </c>
      <c r="E1725" t="s">
        <v>50</v>
      </c>
      <c r="F1725" t="s">
        <v>351</v>
      </c>
      <c r="G1725" t="s">
        <v>270</v>
      </c>
      <c r="H1725" t="s">
        <v>53</v>
      </c>
      <c r="I1725" t="s">
        <v>787</v>
      </c>
      <c r="J1725" t="s">
        <v>3154</v>
      </c>
      <c r="K1725" t="s">
        <v>92</v>
      </c>
      <c r="L1725" t="s">
        <v>55</v>
      </c>
      <c r="M1725" t="s">
        <v>39</v>
      </c>
      <c r="N1725" t="s">
        <v>94</v>
      </c>
      <c r="O1725" s="4">
        <v>4</v>
      </c>
      <c r="P1725" s="4">
        <v>8</v>
      </c>
      <c r="Q1725" t="s">
        <v>107</v>
      </c>
      <c r="R1725" s="2">
        <v>46197</v>
      </c>
      <c r="S1725" s="4">
        <v>6</v>
      </c>
      <c r="T1725" s="3">
        <v>48000000</v>
      </c>
      <c r="U1725" t="s">
        <v>42</v>
      </c>
      <c r="V1725" t="s">
        <v>59</v>
      </c>
      <c r="W1725" t="s">
        <v>170</v>
      </c>
      <c r="Y1725" t="s">
        <v>268</v>
      </c>
      <c r="Z1725" t="s">
        <v>3179</v>
      </c>
      <c r="AA1725" t="s">
        <v>62</v>
      </c>
      <c r="AB1725" t="s">
        <v>97</v>
      </c>
      <c r="AC1725" t="s">
        <v>62</v>
      </c>
    </row>
    <row r="1726" spans="1:29">
      <c r="A1726" t="s">
        <v>2143</v>
      </c>
      <c r="B1726" s="2">
        <v>46184</v>
      </c>
      <c r="C1726" t="s">
        <v>30</v>
      </c>
      <c r="D1726" t="s">
        <v>99</v>
      </c>
      <c r="E1726" t="s">
        <v>111</v>
      </c>
      <c r="F1726" t="s">
        <v>112</v>
      </c>
      <c r="G1726" t="s">
        <v>265</v>
      </c>
      <c r="H1726" t="s">
        <v>191</v>
      </c>
      <c r="I1726" t="s">
        <v>643</v>
      </c>
      <c r="J1726" t="s">
        <v>3138</v>
      </c>
      <c r="K1726" t="s">
        <v>37</v>
      </c>
      <c r="L1726" t="s">
        <v>55</v>
      </c>
      <c r="M1726" t="s">
        <v>164</v>
      </c>
      <c r="N1726" t="s">
        <v>130</v>
      </c>
      <c r="O1726" s="4">
        <v>5</v>
      </c>
      <c r="P1726" s="4">
        <v>8</v>
      </c>
      <c r="Q1726" t="s">
        <v>107</v>
      </c>
      <c r="R1726" s="2">
        <v>46181</v>
      </c>
      <c r="S1726" s="4">
        <v>22</v>
      </c>
      <c r="T1726" s="3">
        <v>82000000</v>
      </c>
      <c r="U1726" t="s">
        <v>42</v>
      </c>
      <c r="V1726" t="s">
        <v>143</v>
      </c>
      <c r="W1726" t="s">
        <v>355</v>
      </c>
      <c r="Y1726" t="s">
        <v>254</v>
      </c>
      <c r="Z1726" t="s">
        <v>3179</v>
      </c>
      <c r="AA1726" t="s">
        <v>118</v>
      </c>
      <c r="AB1726" t="s">
        <v>97</v>
      </c>
      <c r="AC1726" t="s">
        <v>118</v>
      </c>
    </row>
    <row r="1727" spans="1:29">
      <c r="A1727" t="s">
        <v>2144</v>
      </c>
      <c r="B1727" s="2">
        <v>46199</v>
      </c>
      <c r="C1727" t="s">
        <v>30</v>
      </c>
      <c r="D1727" t="s">
        <v>49</v>
      </c>
      <c r="E1727" t="s">
        <v>75</v>
      </c>
      <c r="F1727" t="s">
        <v>76</v>
      </c>
      <c r="G1727" t="s">
        <v>387</v>
      </c>
      <c r="H1727" t="s">
        <v>185</v>
      </c>
      <c r="I1727" t="s">
        <v>542</v>
      </c>
      <c r="J1727" t="s">
        <v>3115</v>
      </c>
      <c r="K1727" t="s">
        <v>105</v>
      </c>
      <c r="L1727" t="s">
        <v>38</v>
      </c>
      <c r="M1727" t="s">
        <v>93</v>
      </c>
      <c r="N1727" t="s">
        <v>196</v>
      </c>
      <c r="O1727" s="4">
        <v>7</v>
      </c>
      <c r="P1727" s="4">
        <v>11</v>
      </c>
      <c r="Q1727" t="s">
        <v>69</v>
      </c>
      <c r="R1727" s="2">
        <v>46193</v>
      </c>
      <c r="S1727" s="4">
        <v>10</v>
      </c>
      <c r="T1727" s="3">
        <v>106000000</v>
      </c>
      <c r="U1727" t="s">
        <v>564</v>
      </c>
      <c r="V1727" t="s">
        <v>70</v>
      </c>
      <c r="W1727" t="s">
        <v>243</v>
      </c>
      <c r="Y1727" t="s">
        <v>198</v>
      </c>
      <c r="Z1727" t="s">
        <v>3181</v>
      </c>
      <c r="AA1727" t="s">
        <v>86</v>
      </c>
      <c r="AB1727" t="s">
        <v>199</v>
      </c>
      <c r="AC1727" t="s">
        <v>86</v>
      </c>
    </row>
    <row r="1728" spans="1:29">
      <c r="A1728" t="s">
        <v>2145</v>
      </c>
      <c r="B1728" s="2">
        <v>46181</v>
      </c>
      <c r="C1728" t="s">
        <v>30</v>
      </c>
      <c r="D1728" t="s">
        <v>99</v>
      </c>
      <c r="E1728" t="s">
        <v>50</v>
      </c>
      <c r="F1728" t="s">
        <v>89</v>
      </c>
      <c r="G1728" t="s">
        <v>270</v>
      </c>
      <c r="H1728" t="s">
        <v>53</v>
      </c>
      <c r="I1728" t="s">
        <v>271</v>
      </c>
      <c r="J1728" t="s">
        <v>3038</v>
      </c>
      <c r="K1728" t="s">
        <v>56</v>
      </c>
      <c r="L1728" t="s">
        <v>55</v>
      </c>
      <c r="M1728" t="s">
        <v>106</v>
      </c>
      <c r="N1728" t="s">
        <v>57</v>
      </c>
      <c r="O1728" s="4">
        <v>3</v>
      </c>
      <c r="P1728" s="4">
        <v>10</v>
      </c>
      <c r="Q1728" t="s">
        <v>142</v>
      </c>
      <c r="R1728" s="2">
        <v>46171</v>
      </c>
      <c r="S1728" s="4">
        <v>32</v>
      </c>
      <c r="T1728" s="3">
        <v>113000000</v>
      </c>
      <c r="U1728" t="s">
        <v>42</v>
      </c>
      <c r="V1728" t="s">
        <v>59</v>
      </c>
      <c r="W1728" t="s">
        <v>60</v>
      </c>
      <c r="Y1728" t="s">
        <v>158</v>
      </c>
      <c r="Z1728" t="s">
        <v>3177</v>
      </c>
      <c r="AA1728" t="s">
        <v>62</v>
      </c>
      <c r="AB1728" t="s">
        <v>63</v>
      </c>
      <c r="AC1728" t="s">
        <v>62</v>
      </c>
    </row>
    <row r="1729" spans="1:29">
      <c r="A1729" t="s">
        <v>2146</v>
      </c>
      <c r="B1729" s="2">
        <v>46194</v>
      </c>
      <c r="C1729" t="s">
        <v>30</v>
      </c>
      <c r="D1729" t="s">
        <v>74</v>
      </c>
      <c r="E1729" t="s">
        <v>111</v>
      </c>
      <c r="F1729" t="s">
        <v>190</v>
      </c>
      <c r="G1729" t="s">
        <v>251</v>
      </c>
      <c r="H1729" t="s">
        <v>127</v>
      </c>
      <c r="I1729" t="s">
        <v>461</v>
      </c>
      <c r="J1729" t="s">
        <v>3094</v>
      </c>
      <c r="K1729" t="s">
        <v>56</v>
      </c>
      <c r="L1729" t="s">
        <v>80</v>
      </c>
      <c r="M1729" t="s">
        <v>56</v>
      </c>
      <c r="N1729" t="s">
        <v>40</v>
      </c>
      <c r="O1729" s="4">
        <v>2</v>
      </c>
      <c r="P1729" s="4">
        <v>6</v>
      </c>
      <c r="Q1729" t="s">
        <v>138</v>
      </c>
      <c r="R1729" s="2">
        <v>46184</v>
      </c>
      <c r="S1729" s="4">
        <v>19</v>
      </c>
      <c r="T1729" s="3">
        <v>156000000</v>
      </c>
      <c r="U1729" t="s">
        <v>42</v>
      </c>
      <c r="V1729" t="s">
        <v>43</v>
      </c>
      <c r="W1729" t="s">
        <v>298</v>
      </c>
      <c r="Y1729" t="s">
        <v>180</v>
      </c>
      <c r="Z1729" t="s">
        <v>3178</v>
      </c>
      <c r="AA1729" t="s">
        <v>118</v>
      </c>
      <c r="AB1729" t="s">
        <v>87</v>
      </c>
      <c r="AC1729" t="s">
        <v>118</v>
      </c>
    </row>
    <row r="1730" spans="1:29">
      <c r="A1730" t="s">
        <v>2147</v>
      </c>
      <c r="B1730" s="2">
        <v>46192</v>
      </c>
      <c r="C1730" t="s">
        <v>30</v>
      </c>
      <c r="D1730" t="s">
        <v>74</v>
      </c>
      <c r="E1730" t="s">
        <v>32</v>
      </c>
      <c r="F1730" t="s">
        <v>273</v>
      </c>
      <c r="G1730" t="s">
        <v>34</v>
      </c>
      <c r="H1730" t="s">
        <v>258</v>
      </c>
      <c r="I1730" t="s">
        <v>568</v>
      </c>
      <c r="J1730" t="s">
        <v>3121</v>
      </c>
      <c r="K1730" t="s">
        <v>37</v>
      </c>
      <c r="L1730" t="s">
        <v>187</v>
      </c>
      <c r="M1730" t="s">
        <v>81</v>
      </c>
      <c r="N1730" t="s">
        <v>40</v>
      </c>
      <c r="O1730" s="4">
        <v>2</v>
      </c>
      <c r="P1730" s="4">
        <v>5</v>
      </c>
      <c r="Q1730" t="s">
        <v>83</v>
      </c>
      <c r="R1730" s="2">
        <v>46192</v>
      </c>
      <c r="S1730" s="4">
        <v>11</v>
      </c>
      <c r="T1730" s="3">
        <v>184000000</v>
      </c>
      <c r="U1730" t="s">
        <v>42</v>
      </c>
      <c r="V1730" t="s">
        <v>43</v>
      </c>
      <c r="W1730" t="s">
        <v>239</v>
      </c>
      <c r="Y1730" t="s">
        <v>180</v>
      </c>
      <c r="Z1730" t="s">
        <v>3178</v>
      </c>
      <c r="AA1730" t="s">
        <v>46</v>
      </c>
      <c r="AB1730" t="s">
        <v>87</v>
      </c>
      <c r="AC1730" t="s">
        <v>46</v>
      </c>
    </row>
    <row r="1731" spans="1:29">
      <c r="A1731" t="s">
        <v>2148</v>
      </c>
      <c r="B1731" s="2">
        <v>46196</v>
      </c>
      <c r="C1731" t="s">
        <v>30</v>
      </c>
      <c r="D1731" t="s">
        <v>49</v>
      </c>
      <c r="E1731" t="s">
        <v>172</v>
      </c>
      <c r="F1731" t="s">
        <v>173</v>
      </c>
      <c r="G1731" t="s">
        <v>338</v>
      </c>
      <c r="H1731" t="s">
        <v>175</v>
      </c>
      <c r="I1731" t="s">
        <v>333</v>
      </c>
      <c r="J1731" t="s">
        <v>3054</v>
      </c>
      <c r="K1731" t="s">
        <v>56</v>
      </c>
      <c r="L1731" t="s">
        <v>150</v>
      </c>
      <c r="M1731" t="s">
        <v>106</v>
      </c>
      <c r="N1731" t="s">
        <v>196</v>
      </c>
      <c r="O1731" s="4">
        <v>7</v>
      </c>
      <c r="P1731" s="4">
        <v>9</v>
      </c>
      <c r="Q1731" t="s">
        <v>41</v>
      </c>
      <c r="R1731" s="2">
        <v>46186</v>
      </c>
      <c r="S1731" s="4">
        <v>17</v>
      </c>
      <c r="T1731" s="3">
        <v>411000000</v>
      </c>
      <c r="U1731" t="s">
        <v>196</v>
      </c>
      <c r="V1731" t="s">
        <v>70</v>
      </c>
      <c r="W1731" t="s">
        <v>675</v>
      </c>
      <c r="Y1731" t="s">
        <v>198</v>
      </c>
      <c r="Z1731" t="s">
        <v>3181</v>
      </c>
      <c r="AA1731" t="s">
        <v>181</v>
      </c>
      <c r="AB1731" t="s">
        <v>199</v>
      </c>
      <c r="AC1731" t="s">
        <v>181</v>
      </c>
    </row>
    <row r="1732" spans="1:29">
      <c r="A1732" t="s">
        <v>2149</v>
      </c>
      <c r="B1732" s="2">
        <v>46182</v>
      </c>
      <c r="C1732" t="s">
        <v>30</v>
      </c>
      <c r="D1732" t="s">
        <v>99</v>
      </c>
      <c r="E1732" t="s">
        <v>152</v>
      </c>
      <c r="F1732" t="s">
        <v>205</v>
      </c>
      <c r="G1732" t="s">
        <v>154</v>
      </c>
      <c r="H1732" t="s">
        <v>207</v>
      </c>
      <c r="I1732" t="s">
        <v>547</v>
      </c>
      <c r="J1732" t="s">
        <v>3116</v>
      </c>
      <c r="K1732" t="s">
        <v>92</v>
      </c>
      <c r="L1732" t="s">
        <v>55</v>
      </c>
      <c r="M1732" t="s">
        <v>129</v>
      </c>
      <c r="N1732" t="s">
        <v>94</v>
      </c>
      <c r="O1732" s="4">
        <v>4</v>
      </c>
      <c r="P1732" s="4">
        <v>10</v>
      </c>
      <c r="Q1732" t="s">
        <v>138</v>
      </c>
      <c r="R1732" s="2">
        <v>46179</v>
      </c>
      <c r="S1732" s="4">
        <v>24</v>
      </c>
      <c r="T1732" s="3">
        <v>168000000</v>
      </c>
      <c r="U1732" t="s">
        <v>42</v>
      </c>
      <c r="V1732" t="s">
        <v>59</v>
      </c>
      <c r="W1732" t="s">
        <v>170</v>
      </c>
      <c r="Y1732" t="s">
        <v>268</v>
      </c>
      <c r="Z1732" t="s">
        <v>3179</v>
      </c>
      <c r="AA1732" t="s">
        <v>159</v>
      </c>
      <c r="AB1732" t="s">
        <v>97</v>
      </c>
      <c r="AC1732" t="s">
        <v>159</v>
      </c>
    </row>
    <row r="1733" spans="1:29">
      <c r="A1733" t="s">
        <v>2150</v>
      </c>
      <c r="B1733" s="2">
        <v>46193</v>
      </c>
      <c r="C1733" t="s">
        <v>30</v>
      </c>
      <c r="D1733" t="s">
        <v>74</v>
      </c>
      <c r="E1733" t="s">
        <v>120</v>
      </c>
      <c r="F1733" t="s">
        <v>246</v>
      </c>
      <c r="G1733" t="s">
        <v>227</v>
      </c>
      <c r="H1733" t="s">
        <v>300</v>
      </c>
      <c r="I1733" t="s">
        <v>421</v>
      </c>
      <c r="J1733" t="s">
        <v>3080</v>
      </c>
      <c r="K1733" t="s">
        <v>105</v>
      </c>
      <c r="L1733" t="s">
        <v>187</v>
      </c>
      <c r="M1733" t="s">
        <v>81</v>
      </c>
      <c r="N1733" t="s">
        <v>130</v>
      </c>
      <c r="O1733" s="4">
        <v>5</v>
      </c>
      <c r="P1733" s="4">
        <v>16</v>
      </c>
      <c r="Q1733" t="s">
        <v>107</v>
      </c>
      <c r="R1733" s="2">
        <v>46192</v>
      </c>
      <c r="S1733" s="4">
        <v>11</v>
      </c>
      <c r="T1733" s="3">
        <v>99000000</v>
      </c>
      <c r="U1733" t="s">
        <v>42</v>
      </c>
      <c r="V1733" t="s">
        <v>70</v>
      </c>
      <c r="W1733" t="s">
        <v>252</v>
      </c>
      <c r="Y1733" t="s">
        <v>254</v>
      </c>
      <c r="Z1733" t="s">
        <v>3179</v>
      </c>
      <c r="AA1733" t="s">
        <v>97</v>
      </c>
      <c r="AB1733" t="s">
        <v>97</v>
      </c>
      <c r="AC1733" t="s">
        <v>97</v>
      </c>
    </row>
    <row r="1734" spans="1:29">
      <c r="A1734" t="s">
        <v>2151</v>
      </c>
      <c r="B1734" s="2">
        <v>46202</v>
      </c>
      <c r="C1734" t="s">
        <v>30</v>
      </c>
      <c r="D1734" t="s">
        <v>31</v>
      </c>
      <c r="E1734" t="s">
        <v>111</v>
      </c>
      <c r="F1734" t="s">
        <v>190</v>
      </c>
      <c r="G1734" t="s">
        <v>348</v>
      </c>
      <c r="H1734" t="s">
        <v>191</v>
      </c>
      <c r="I1734" t="s">
        <v>606</v>
      </c>
      <c r="J1734" t="s">
        <v>3131</v>
      </c>
      <c r="K1734" t="s">
        <v>92</v>
      </c>
      <c r="L1734" t="s">
        <v>68</v>
      </c>
      <c r="M1734" t="s">
        <v>93</v>
      </c>
      <c r="N1734" t="s">
        <v>94</v>
      </c>
      <c r="O1734" s="4">
        <v>4</v>
      </c>
      <c r="P1734" s="4">
        <v>12</v>
      </c>
      <c r="Q1734" t="s">
        <v>107</v>
      </c>
      <c r="R1734" s="2">
        <v>46201</v>
      </c>
      <c r="S1734" s="4">
        <v>2</v>
      </c>
      <c r="T1734" s="3">
        <v>92000000</v>
      </c>
      <c r="U1734" t="s">
        <v>42</v>
      </c>
      <c r="V1734" t="s">
        <v>70</v>
      </c>
      <c r="W1734" t="s">
        <v>170</v>
      </c>
      <c r="Y1734" t="s">
        <v>96</v>
      </c>
      <c r="Z1734" t="s">
        <v>3179</v>
      </c>
      <c r="AA1734" t="s">
        <v>118</v>
      </c>
      <c r="AB1734" t="s">
        <v>97</v>
      </c>
      <c r="AC1734" t="s">
        <v>118</v>
      </c>
    </row>
    <row r="1735" spans="1:29">
      <c r="A1735" t="s">
        <v>2152</v>
      </c>
      <c r="B1735" s="2">
        <v>46197</v>
      </c>
      <c r="C1735" t="s">
        <v>30</v>
      </c>
      <c r="D1735" t="s">
        <v>49</v>
      </c>
      <c r="E1735" t="s">
        <v>111</v>
      </c>
      <c r="F1735" t="s">
        <v>264</v>
      </c>
      <c r="G1735" t="s">
        <v>348</v>
      </c>
      <c r="H1735" t="s">
        <v>127</v>
      </c>
      <c r="I1735" t="s">
        <v>461</v>
      </c>
      <c r="J1735" t="s">
        <v>3094</v>
      </c>
      <c r="K1735" t="s">
        <v>56</v>
      </c>
      <c r="L1735" t="s">
        <v>187</v>
      </c>
      <c r="M1735" t="s">
        <v>81</v>
      </c>
      <c r="N1735" t="s">
        <v>57</v>
      </c>
      <c r="O1735" s="4">
        <v>3</v>
      </c>
      <c r="P1735" s="4">
        <v>11</v>
      </c>
      <c r="Q1735" t="s">
        <v>69</v>
      </c>
      <c r="R1735" s="2">
        <v>46191</v>
      </c>
      <c r="S1735" s="4">
        <v>12</v>
      </c>
      <c r="T1735" s="3">
        <v>90000000</v>
      </c>
      <c r="U1735" t="s">
        <v>42</v>
      </c>
      <c r="V1735" t="s">
        <v>43</v>
      </c>
      <c r="W1735" t="s">
        <v>71</v>
      </c>
      <c r="Y1735" t="s">
        <v>61</v>
      </c>
      <c r="Z1735" t="s">
        <v>3177</v>
      </c>
      <c r="AA1735" t="s">
        <v>118</v>
      </c>
      <c r="AB1735" t="s">
        <v>63</v>
      </c>
      <c r="AC1735" t="s">
        <v>118</v>
      </c>
    </row>
    <row r="1736" spans="1:29">
      <c r="A1736" t="s">
        <v>2153</v>
      </c>
      <c r="B1736" s="2">
        <v>46194</v>
      </c>
      <c r="C1736" t="s">
        <v>30</v>
      </c>
      <c r="D1736" t="s">
        <v>74</v>
      </c>
      <c r="E1736" t="s">
        <v>152</v>
      </c>
      <c r="F1736" t="s">
        <v>205</v>
      </c>
      <c r="G1736" t="s">
        <v>286</v>
      </c>
      <c r="H1736" t="s">
        <v>207</v>
      </c>
      <c r="I1736" t="s">
        <v>637</v>
      </c>
      <c r="J1736" t="s">
        <v>3137</v>
      </c>
      <c r="K1736" t="s">
        <v>105</v>
      </c>
      <c r="L1736" t="s">
        <v>187</v>
      </c>
      <c r="M1736" t="s">
        <v>81</v>
      </c>
      <c r="N1736" t="s">
        <v>82</v>
      </c>
      <c r="O1736" s="4">
        <v>1</v>
      </c>
      <c r="P1736" s="4">
        <v>9</v>
      </c>
      <c r="Q1736" t="s">
        <v>138</v>
      </c>
      <c r="R1736" s="2">
        <v>46185</v>
      </c>
      <c r="S1736" s="4">
        <v>18</v>
      </c>
      <c r="T1736" s="3">
        <v>177000000</v>
      </c>
      <c r="U1736" t="s">
        <v>42</v>
      </c>
      <c r="V1736" t="s">
        <v>43</v>
      </c>
      <c r="W1736" t="s">
        <v>290</v>
      </c>
      <c r="Y1736" t="s">
        <v>305</v>
      </c>
      <c r="Z1736" t="s">
        <v>3178</v>
      </c>
      <c r="AA1736" t="s">
        <v>159</v>
      </c>
      <c r="AB1736" t="s">
        <v>87</v>
      </c>
      <c r="AC1736" t="s">
        <v>159</v>
      </c>
    </row>
    <row r="1737" spans="1:29">
      <c r="A1737" t="s">
        <v>2154</v>
      </c>
      <c r="B1737" s="2">
        <v>46186</v>
      </c>
      <c r="C1737" t="s">
        <v>30</v>
      </c>
      <c r="D1737" t="s">
        <v>99</v>
      </c>
      <c r="E1737" t="s">
        <v>50</v>
      </c>
      <c r="F1737" t="s">
        <v>351</v>
      </c>
      <c r="G1737" t="s">
        <v>52</v>
      </c>
      <c r="H1737" t="s">
        <v>66</v>
      </c>
      <c r="I1737" t="s">
        <v>67</v>
      </c>
      <c r="J1737" t="s">
        <v>3010</v>
      </c>
      <c r="K1737" t="s">
        <v>37</v>
      </c>
      <c r="L1737" t="s">
        <v>80</v>
      </c>
      <c r="M1737" t="s">
        <v>129</v>
      </c>
      <c r="N1737" t="s">
        <v>196</v>
      </c>
      <c r="O1737" s="4">
        <v>7</v>
      </c>
      <c r="P1737" s="4">
        <v>15</v>
      </c>
      <c r="Q1737" t="s">
        <v>58</v>
      </c>
      <c r="R1737" s="2">
        <v>46183</v>
      </c>
      <c r="S1737" s="4">
        <v>20</v>
      </c>
      <c r="T1737" s="3">
        <v>105000000</v>
      </c>
      <c r="U1737" t="s">
        <v>196</v>
      </c>
      <c r="V1737" t="s">
        <v>70</v>
      </c>
      <c r="W1737" t="s">
        <v>675</v>
      </c>
      <c r="Y1737" t="s">
        <v>198</v>
      </c>
      <c r="Z1737" t="s">
        <v>3181</v>
      </c>
      <c r="AA1737" t="s">
        <v>62</v>
      </c>
      <c r="AB1737" t="s">
        <v>199</v>
      </c>
      <c r="AC1737" t="s">
        <v>62</v>
      </c>
    </row>
    <row r="1738" spans="1:29">
      <c r="A1738" t="s">
        <v>2155</v>
      </c>
      <c r="B1738" s="2">
        <v>46190</v>
      </c>
      <c r="C1738" t="s">
        <v>30</v>
      </c>
      <c r="D1738" t="s">
        <v>74</v>
      </c>
      <c r="E1738" t="s">
        <v>120</v>
      </c>
      <c r="F1738" t="s">
        <v>121</v>
      </c>
      <c r="G1738" t="s">
        <v>122</v>
      </c>
      <c r="H1738" t="s">
        <v>300</v>
      </c>
      <c r="I1738" t="s">
        <v>400</v>
      </c>
      <c r="J1738" t="s">
        <v>3074</v>
      </c>
      <c r="K1738" t="s">
        <v>92</v>
      </c>
      <c r="L1738" t="s">
        <v>150</v>
      </c>
      <c r="M1738" t="s">
        <v>81</v>
      </c>
      <c r="N1738" t="s">
        <v>130</v>
      </c>
      <c r="O1738" s="4">
        <v>5</v>
      </c>
      <c r="P1738" s="4">
        <v>7</v>
      </c>
      <c r="Q1738" t="s">
        <v>83</v>
      </c>
      <c r="R1738" s="2">
        <v>46189</v>
      </c>
      <c r="S1738" s="4">
        <v>14</v>
      </c>
      <c r="T1738" s="3">
        <v>237000000</v>
      </c>
      <c r="U1738" t="s">
        <v>42</v>
      </c>
      <c r="V1738" t="s">
        <v>70</v>
      </c>
      <c r="W1738" t="s">
        <v>144</v>
      </c>
      <c r="Y1738" t="s">
        <v>254</v>
      </c>
      <c r="Z1738" t="s">
        <v>3179</v>
      </c>
      <c r="AA1738" t="s">
        <v>97</v>
      </c>
      <c r="AB1738" t="s">
        <v>97</v>
      </c>
      <c r="AC1738" t="s">
        <v>97</v>
      </c>
    </row>
    <row r="1739" spans="1:29">
      <c r="A1739" t="s">
        <v>2156</v>
      </c>
      <c r="B1739" s="2">
        <v>46196</v>
      </c>
      <c r="C1739" t="s">
        <v>30</v>
      </c>
      <c r="D1739" t="s">
        <v>49</v>
      </c>
      <c r="E1739" t="s">
        <v>111</v>
      </c>
      <c r="F1739" t="s">
        <v>112</v>
      </c>
      <c r="G1739" t="s">
        <v>251</v>
      </c>
      <c r="H1739" t="s">
        <v>191</v>
      </c>
      <c r="I1739" t="s">
        <v>578</v>
      </c>
      <c r="J1739" t="s">
        <v>3124</v>
      </c>
      <c r="K1739" t="s">
        <v>56</v>
      </c>
      <c r="L1739" t="s">
        <v>68</v>
      </c>
      <c r="M1739" t="s">
        <v>39</v>
      </c>
      <c r="N1739" t="s">
        <v>94</v>
      </c>
      <c r="O1739" s="4">
        <v>4</v>
      </c>
      <c r="P1739" s="4">
        <v>10</v>
      </c>
      <c r="Q1739" t="s">
        <v>69</v>
      </c>
      <c r="R1739" s="2">
        <v>46196</v>
      </c>
      <c r="S1739" s="4">
        <v>7</v>
      </c>
      <c r="T1739" s="3">
        <v>384000000</v>
      </c>
      <c r="U1739" t="s">
        <v>42</v>
      </c>
      <c r="V1739" t="s">
        <v>59</v>
      </c>
      <c r="W1739" t="s">
        <v>267</v>
      </c>
      <c r="Y1739" t="s">
        <v>96</v>
      </c>
      <c r="Z1739" t="s">
        <v>3179</v>
      </c>
      <c r="AA1739" t="s">
        <v>118</v>
      </c>
      <c r="AB1739" t="s">
        <v>97</v>
      </c>
      <c r="AC1739" t="s">
        <v>118</v>
      </c>
    </row>
    <row r="1740" spans="1:29">
      <c r="A1740" t="s">
        <v>2157</v>
      </c>
      <c r="B1740" s="2">
        <v>46180</v>
      </c>
      <c r="C1740" t="s">
        <v>30</v>
      </c>
      <c r="D1740" t="s">
        <v>134</v>
      </c>
      <c r="E1740" t="s">
        <v>120</v>
      </c>
      <c r="F1740" t="s">
        <v>246</v>
      </c>
      <c r="G1740" t="s">
        <v>420</v>
      </c>
      <c r="H1740" t="s">
        <v>136</v>
      </c>
      <c r="I1740" t="s">
        <v>168</v>
      </c>
      <c r="J1740" t="s">
        <v>3022</v>
      </c>
      <c r="K1740" t="s">
        <v>92</v>
      </c>
      <c r="L1740" t="s">
        <v>38</v>
      </c>
      <c r="M1740" t="s">
        <v>81</v>
      </c>
      <c r="N1740" t="s">
        <v>130</v>
      </c>
      <c r="O1740" s="4">
        <v>5</v>
      </c>
      <c r="P1740" s="4">
        <v>12</v>
      </c>
      <c r="Q1740" t="s">
        <v>41</v>
      </c>
      <c r="R1740" s="2">
        <v>46178</v>
      </c>
      <c r="S1740" s="4">
        <v>25</v>
      </c>
      <c r="T1740" s="3">
        <v>102000000</v>
      </c>
      <c r="U1740" t="s">
        <v>42</v>
      </c>
      <c r="V1740" t="s">
        <v>70</v>
      </c>
      <c r="W1740" t="s">
        <v>252</v>
      </c>
      <c r="Y1740" t="s">
        <v>334</v>
      </c>
      <c r="Z1740" t="s">
        <v>3179</v>
      </c>
      <c r="AA1740" t="s">
        <v>97</v>
      </c>
      <c r="AB1740" t="s">
        <v>97</v>
      </c>
      <c r="AC1740" t="s">
        <v>97</v>
      </c>
    </row>
    <row r="1741" spans="1:29">
      <c r="A1741" t="s">
        <v>2158</v>
      </c>
      <c r="B1741" s="2">
        <v>46176</v>
      </c>
      <c r="C1741" t="s">
        <v>30</v>
      </c>
      <c r="D1741" t="s">
        <v>134</v>
      </c>
      <c r="E1741" t="s">
        <v>50</v>
      </c>
      <c r="F1741" t="s">
        <v>351</v>
      </c>
      <c r="G1741" t="s">
        <v>52</v>
      </c>
      <c r="H1741" t="s">
        <v>90</v>
      </c>
      <c r="I1741" t="s">
        <v>91</v>
      </c>
      <c r="J1741" t="s">
        <v>3012</v>
      </c>
      <c r="K1741" t="s">
        <v>105</v>
      </c>
      <c r="L1741" t="s">
        <v>150</v>
      </c>
      <c r="M1741" t="s">
        <v>39</v>
      </c>
      <c r="N1741" t="s">
        <v>130</v>
      </c>
      <c r="O1741" s="4">
        <v>5</v>
      </c>
      <c r="P1741" s="4">
        <v>12</v>
      </c>
      <c r="Q1741" t="s">
        <v>138</v>
      </c>
      <c r="R1741" s="2">
        <v>46167</v>
      </c>
      <c r="S1741" s="4">
        <v>36</v>
      </c>
      <c r="T1741" s="3">
        <v>105000000</v>
      </c>
      <c r="U1741" t="s">
        <v>42</v>
      </c>
      <c r="V1741" t="s">
        <v>59</v>
      </c>
      <c r="W1741" t="s">
        <v>131</v>
      </c>
      <c r="X1741" t="s">
        <v>117</v>
      </c>
      <c r="Y1741" t="s">
        <v>254</v>
      </c>
      <c r="Z1741" t="s">
        <v>3179</v>
      </c>
      <c r="AA1741" t="s">
        <v>62</v>
      </c>
      <c r="AB1741" t="s">
        <v>97</v>
      </c>
      <c r="AC1741" t="s">
        <v>62</v>
      </c>
    </row>
    <row r="1742" spans="1:29">
      <c r="A1742" t="s">
        <v>2159</v>
      </c>
      <c r="B1742" s="2">
        <v>46201</v>
      </c>
      <c r="C1742" t="s">
        <v>30</v>
      </c>
      <c r="D1742" t="s">
        <v>49</v>
      </c>
      <c r="E1742" t="s">
        <v>100</v>
      </c>
      <c r="F1742" t="s">
        <v>101</v>
      </c>
      <c r="G1742" t="s">
        <v>237</v>
      </c>
      <c r="H1742" t="s">
        <v>103</v>
      </c>
      <c r="I1742" t="s">
        <v>994</v>
      </c>
      <c r="J1742" t="s">
        <v>3169</v>
      </c>
      <c r="K1742" t="s">
        <v>105</v>
      </c>
      <c r="L1742" t="s">
        <v>150</v>
      </c>
      <c r="M1742" t="s">
        <v>129</v>
      </c>
      <c r="N1742" t="s">
        <v>213</v>
      </c>
      <c r="O1742" s="4">
        <v>6</v>
      </c>
      <c r="P1742" s="4">
        <v>20</v>
      </c>
      <c r="Q1742" t="s">
        <v>107</v>
      </c>
      <c r="R1742" s="2">
        <v>46199</v>
      </c>
      <c r="S1742" s="4">
        <v>4</v>
      </c>
      <c r="T1742" s="3">
        <v>272000000</v>
      </c>
      <c r="U1742" t="s">
        <v>42</v>
      </c>
      <c r="V1742" t="s">
        <v>70</v>
      </c>
      <c r="W1742" t="s">
        <v>438</v>
      </c>
      <c r="Y1742" t="s">
        <v>249</v>
      </c>
      <c r="Z1742" t="s">
        <v>3179</v>
      </c>
      <c r="AA1742" t="s">
        <v>109</v>
      </c>
      <c r="AB1742" t="s">
        <v>97</v>
      </c>
      <c r="AC1742" t="s">
        <v>109</v>
      </c>
    </row>
    <row r="1743" spans="1:29">
      <c r="A1743" t="s">
        <v>2160</v>
      </c>
      <c r="B1743" s="2">
        <v>46188</v>
      </c>
      <c r="C1743" t="s">
        <v>30</v>
      </c>
      <c r="D1743" t="s">
        <v>74</v>
      </c>
      <c r="E1743" t="s">
        <v>100</v>
      </c>
      <c r="F1743" t="s">
        <v>140</v>
      </c>
      <c r="G1743" t="s">
        <v>102</v>
      </c>
      <c r="H1743" t="s">
        <v>103</v>
      </c>
      <c r="I1743" t="s">
        <v>436</v>
      </c>
      <c r="J1743" t="s">
        <v>3084</v>
      </c>
      <c r="K1743" t="s">
        <v>56</v>
      </c>
      <c r="L1743" t="s">
        <v>68</v>
      </c>
      <c r="M1743" t="s">
        <v>129</v>
      </c>
      <c r="N1743" t="s">
        <v>213</v>
      </c>
      <c r="O1743" s="4">
        <v>6</v>
      </c>
      <c r="P1743" s="4">
        <v>13</v>
      </c>
      <c r="Q1743" t="s">
        <v>69</v>
      </c>
      <c r="R1743" s="2">
        <v>46178</v>
      </c>
      <c r="S1743" s="4">
        <v>25</v>
      </c>
      <c r="T1743" s="3">
        <v>96000000</v>
      </c>
      <c r="U1743" t="s">
        <v>42</v>
      </c>
      <c r="V1743" t="s">
        <v>70</v>
      </c>
      <c r="W1743" t="s">
        <v>438</v>
      </c>
      <c r="Y1743" t="s">
        <v>216</v>
      </c>
      <c r="Z1743" t="s">
        <v>3179</v>
      </c>
      <c r="AA1743" t="s">
        <v>109</v>
      </c>
      <c r="AB1743" t="s">
        <v>97</v>
      </c>
      <c r="AC1743" t="s">
        <v>109</v>
      </c>
    </row>
    <row r="1744" spans="1:29">
      <c r="A1744" t="s">
        <v>2161</v>
      </c>
      <c r="B1744" s="2">
        <v>46190</v>
      </c>
      <c r="C1744" t="s">
        <v>30</v>
      </c>
      <c r="D1744" t="s">
        <v>74</v>
      </c>
      <c r="E1744" t="s">
        <v>100</v>
      </c>
      <c r="F1744" t="s">
        <v>140</v>
      </c>
      <c r="G1744" t="s">
        <v>212</v>
      </c>
      <c r="H1744" t="s">
        <v>148</v>
      </c>
      <c r="I1744" t="s">
        <v>315</v>
      </c>
      <c r="J1744" t="s">
        <v>3049</v>
      </c>
      <c r="K1744" t="s">
        <v>37</v>
      </c>
      <c r="L1744" t="s">
        <v>55</v>
      </c>
      <c r="M1744" t="s">
        <v>81</v>
      </c>
      <c r="N1744" t="s">
        <v>40</v>
      </c>
      <c r="O1744" s="4">
        <v>2</v>
      </c>
      <c r="P1744" s="4">
        <v>15</v>
      </c>
      <c r="Q1744" t="s">
        <v>138</v>
      </c>
      <c r="R1744" s="2">
        <v>46190</v>
      </c>
      <c r="S1744" s="4">
        <v>13</v>
      </c>
      <c r="T1744" s="3">
        <v>214000000</v>
      </c>
      <c r="U1744" t="s">
        <v>42</v>
      </c>
      <c r="V1744" t="s">
        <v>43</v>
      </c>
      <c r="W1744" t="s">
        <v>44</v>
      </c>
      <c r="Y1744" t="s">
        <v>180</v>
      </c>
      <c r="Z1744" t="s">
        <v>3180</v>
      </c>
      <c r="AA1744" t="s">
        <v>109</v>
      </c>
      <c r="AB1744" t="s">
        <v>193</v>
      </c>
      <c r="AC1744" t="s">
        <v>109</v>
      </c>
    </row>
    <row r="1745" spans="1:29">
      <c r="A1745" t="s">
        <v>2162</v>
      </c>
      <c r="B1745" s="2">
        <v>46198</v>
      </c>
      <c r="C1745" t="s">
        <v>30</v>
      </c>
      <c r="D1745" t="s">
        <v>49</v>
      </c>
      <c r="E1745" t="s">
        <v>50</v>
      </c>
      <c r="F1745" t="s">
        <v>89</v>
      </c>
      <c r="G1745" t="s">
        <v>234</v>
      </c>
      <c r="H1745" t="s">
        <v>66</v>
      </c>
      <c r="I1745" t="s">
        <v>67</v>
      </c>
      <c r="J1745" t="s">
        <v>3010</v>
      </c>
      <c r="K1745" t="s">
        <v>37</v>
      </c>
      <c r="L1745" t="s">
        <v>55</v>
      </c>
      <c r="M1745" t="s">
        <v>81</v>
      </c>
      <c r="N1745" t="s">
        <v>213</v>
      </c>
      <c r="O1745" s="4">
        <v>6</v>
      </c>
      <c r="P1745" s="4">
        <v>11</v>
      </c>
      <c r="Q1745" t="s">
        <v>69</v>
      </c>
      <c r="R1745" s="2">
        <v>46193</v>
      </c>
      <c r="S1745" s="4">
        <v>10</v>
      </c>
      <c r="T1745" s="3">
        <v>138000000</v>
      </c>
      <c r="U1745" t="s">
        <v>214</v>
      </c>
      <c r="V1745" t="s">
        <v>70</v>
      </c>
      <c r="W1745" t="s">
        <v>390</v>
      </c>
      <c r="Y1745" t="s">
        <v>249</v>
      </c>
      <c r="Z1745" t="s">
        <v>3179</v>
      </c>
      <c r="AA1745" t="s">
        <v>62</v>
      </c>
      <c r="AB1745" t="s">
        <v>97</v>
      </c>
      <c r="AC1745" t="s">
        <v>62</v>
      </c>
    </row>
    <row r="1746" spans="1:29">
      <c r="A1746" t="s">
        <v>2163</v>
      </c>
      <c r="B1746" s="2">
        <v>46179</v>
      </c>
      <c r="C1746" t="s">
        <v>30</v>
      </c>
      <c r="D1746" t="s">
        <v>134</v>
      </c>
      <c r="E1746" t="s">
        <v>152</v>
      </c>
      <c r="F1746" t="s">
        <v>205</v>
      </c>
      <c r="G1746" t="s">
        <v>294</v>
      </c>
      <c r="H1746" t="s">
        <v>155</v>
      </c>
      <c r="I1746" t="s">
        <v>418</v>
      </c>
      <c r="J1746" t="s">
        <v>3079</v>
      </c>
      <c r="K1746" t="s">
        <v>56</v>
      </c>
      <c r="L1746" t="s">
        <v>150</v>
      </c>
      <c r="M1746" t="s">
        <v>93</v>
      </c>
      <c r="N1746" t="s">
        <v>213</v>
      </c>
      <c r="O1746" s="4">
        <v>6</v>
      </c>
      <c r="P1746" s="4">
        <v>16</v>
      </c>
      <c r="Q1746" t="s">
        <v>142</v>
      </c>
      <c r="R1746" s="2">
        <v>46176</v>
      </c>
      <c r="S1746" s="4">
        <v>27</v>
      </c>
      <c r="T1746" s="3">
        <v>422000000</v>
      </c>
      <c r="U1746" t="s">
        <v>42</v>
      </c>
      <c r="V1746" t="s">
        <v>70</v>
      </c>
      <c r="W1746" t="s">
        <v>248</v>
      </c>
      <c r="Y1746" t="s">
        <v>432</v>
      </c>
      <c r="Z1746" t="s">
        <v>3179</v>
      </c>
      <c r="AA1746" t="s">
        <v>159</v>
      </c>
      <c r="AB1746" t="s">
        <v>97</v>
      </c>
      <c r="AC1746" t="s">
        <v>159</v>
      </c>
    </row>
    <row r="1747" spans="1:29">
      <c r="A1747" t="s">
        <v>2164</v>
      </c>
      <c r="B1747" s="2">
        <v>46182</v>
      </c>
      <c r="C1747" t="s">
        <v>30</v>
      </c>
      <c r="D1747" t="s">
        <v>99</v>
      </c>
      <c r="E1747" t="s">
        <v>152</v>
      </c>
      <c r="F1747" t="s">
        <v>221</v>
      </c>
      <c r="G1747" t="s">
        <v>294</v>
      </c>
      <c r="H1747" t="s">
        <v>207</v>
      </c>
      <c r="I1747" t="s">
        <v>208</v>
      </c>
      <c r="J1747" t="s">
        <v>3027</v>
      </c>
      <c r="K1747" t="s">
        <v>105</v>
      </c>
      <c r="L1747" t="s">
        <v>68</v>
      </c>
      <c r="M1747" t="s">
        <v>56</v>
      </c>
      <c r="N1747" t="s">
        <v>57</v>
      </c>
      <c r="O1747" s="4">
        <v>3</v>
      </c>
      <c r="P1747" s="4">
        <v>15</v>
      </c>
      <c r="Q1747" t="s">
        <v>107</v>
      </c>
      <c r="R1747" s="2">
        <v>46177</v>
      </c>
      <c r="S1747" s="4">
        <v>26</v>
      </c>
      <c r="T1747" s="3">
        <v>186000000</v>
      </c>
      <c r="U1747" t="s">
        <v>260</v>
      </c>
      <c r="V1747" t="s">
        <v>59</v>
      </c>
      <c r="W1747" t="s">
        <v>203</v>
      </c>
      <c r="X1747" t="s">
        <v>179</v>
      </c>
      <c r="Y1747" t="s">
        <v>158</v>
      </c>
      <c r="Z1747" t="s">
        <v>3180</v>
      </c>
      <c r="AA1747" t="s">
        <v>159</v>
      </c>
      <c r="AB1747" t="s">
        <v>193</v>
      </c>
      <c r="AC1747" t="s">
        <v>159</v>
      </c>
    </row>
    <row r="1748" spans="1:29">
      <c r="A1748" t="s">
        <v>2165</v>
      </c>
      <c r="B1748" s="2">
        <v>46190</v>
      </c>
      <c r="C1748" t="s">
        <v>30</v>
      </c>
      <c r="D1748" t="s">
        <v>74</v>
      </c>
      <c r="E1748" t="s">
        <v>152</v>
      </c>
      <c r="F1748" t="s">
        <v>221</v>
      </c>
      <c r="G1748" t="s">
        <v>286</v>
      </c>
      <c r="H1748" t="s">
        <v>283</v>
      </c>
      <c r="I1748" t="s">
        <v>287</v>
      </c>
      <c r="J1748" t="s">
        <v>3042</v>
      </c>
      <c r="K1748" t="s">
        <v>105</v>
      </c>
      <c r="L1748" t="s">
        <v>68</v>
      </c>
      <c r="M1748" t="s">
        <v>56</v>
      </c>
      <c r="N1748" t="s">
        <v>94</v>
      </c>
      <c r="O1748" s="4">
        <v>4</v>
      </c>
      <c r="P1748" s="4">
        <v>11</v>
      </c>
      <c r="Q1748" t="s">
        <v>41</v>
      </c>
      <c r="R1748" s="2">
        <v>46183</v>
      </c>
      <c r="S1748" s="4">
        <v>20</v>
      </c>
      <c r="T1748" s="3">
        <v>254000000</v>
      </c>
      <c r="U1748" t="s">
        <v>426</v>
      </c>
      <c r="V1748" t="s">
        <v>70</v>
      </c>
      <c r="W1748" t="s">
        <v>188</v>
      </c>
      <c r="X1748" t="s">
        <v>520</v>
      </c>
      <c r="Y1748" t="s">
        <v>108</v>
      </c>
      <c r="Z1748" t="s">
        <v>3179</v>
      </c>
      <c r="AA1748" t="s">
        <v>159</v>
      </c>
      <c r="AB1748" t="s">
        <v>97</v>
      </c>
      <c r="AC1748" t="s">
        <v>159</v>
      </c>
    </row>
    <row r="1749" spans="1:29">
      <c r="A1749" t="s">
        <v>2166</v>
      </c>
      <c r="B1749" s="2">
        <v>46182</v>
      </c>
      <c r="C1749" t="s">
        <v>30</v>
      </c>
      <c r="D1749" t="s">
        <v>99</v>
      </c>
      <c r="E1749" t="s">
        <v>100</v>
      </c>
      <c r="F1749" t="s">
        <v>140</v>
      </c>
      <c r="G1749" t="s">
        <v>147</v>
      </c>
      <c r="H1749" t="s">
        <v>103</v>
      </c>
      <c r="I1749" t="s">
        <v>994</v>
      </c>
      <c r="J1749" t="s">
        <v>3169</v>
      </c>
      <c r="K1749" t="s">
        <v>56</v>
      </c>
      <c r="L1749" t="s">
        <v>187</v>
      </c>
      <c r="M1749" t="s">
        <v>106</v>
      </c>
      <c r="N1749" t="s">
        <v>57</v>
      </c>
      <c r="O1749" s="4">
        <v>3</v>
      </c>
      <c r="P1749" s="4">
        <v>13</v>
      </c>
      <c r="Q1749" t="s">
        <v>142</v>
      </c>
      <c r="R1749" s="2">
        <v>46179</v>
      </c>
      <c r="S1749" s="4">
        <v>24</v>
      </c>
      <c r="T1749" s="3">
        <v>129000000</v>
      </c>
      <c r="U1749" t="s">
        <v>42</v>
      </c>
      <c r="V1749" t="s">
        <v>59</v>
      </c>
      <c r="W1749" t="s">
        <v>203</v>
      </c>
      <c r="Y1749" t="s">
        <v>61</v>
      </c>
      <c r="Z1749" t="s">
        <v>3180</v>
      </c>
      <c r="AA1749" t="s">
        <v>109</v>
      </c>
      <c r="AB1749" t="s">
        <v>193</v>
      </c>
      <c r="AC1749" t="s">
        <v>109</v>
      </c>
    </row>
    <row r="1750" spans="1:29">
      <c r="A1750" t="s">
        <v>2167</v>
      </c>
      <c r="B1750" s="2">
        <v>46175</v>
      </c>
      <c r="C1750" t="s">
        <v>30</v>
      </c>
      <c r="D1750" t="s">
        <v>134</v>
      </c>
      <c r="E1750" t="s">
        <v>100</v>
      </c>
      <c r="F1750" t="s">
        <v>101</v>
      </c>
      <c r="G1750" t="s">
        <v>237</v>
      </c>
      <c r="H1750" t="s">
        <v>148</v>
      </c>
      <c r="I1750" t="s">
        <v>851</v>
      </c>
      <c r="J1750" t="s">
        <v>3163</v>
      </c>
      <c r="K1750" t="s">
        <v>92</v>
      </c>
      <c r="L1750" t="s">
        <v>187</v>
      </c>
      <c r="M1750" t="s">
        <v>56</v>
      </c>
      <c r="N1750" t="s">
        <v>213</v>
      </c>
      <c r="O1750" s="4">
        <v>6</v>
      </c>
      <c r="P1750" s="4">
        <v>10</v>
      </c>
      <c r="Q1750" t="s">
        <v>142</v>
      </c>
      <c r="R1750" s="2">
        <v>46165</v>
      </c>
      <c r="S1750" s="4">
        <v>38</v>
      </c>
      <c r="T1750" s="3">
        <v>49000000</v>
      </c>
      <c r="U1750" t="s">
        <v>214</v>
      </c>
      <c r="V1750" t="s">
        <v>70</v>
      </c>
      <c r="W1750" t="s">
        <v>248</v>
      </c>
      <c r="Y1750" t="s">
        <v>249</v>
      </c>
      <c r="Z1750" t="s">
        <v>3179</v>
      </c>
      <c r="AA1750" t="s">
        <v>109</v>
      </c>
      <c r="AB1750" t="s">
        <v>97</v>
      </c>
      <c r="AC1750" t="s">
        <v>109</v>
      </c>
    </row>
    <row r="1751" spans="1:29">
      <c r="A1751" t="s">
        <v>2168</v>
      </c>
      <c r="B1751" s="2">
        <v>46193</v>
      </c>
      <c r="C1751" t="s">
        <v>30</v>
      </c>
      <c r="D1751" t="s">
        <v>74</v>
      </c>
      <c r="E1751" t="s">
        <v>32</v>
      </c>
      <c r="F1751" t="s">
        <v>33</v>
      </c>
      <c r="G1751" t="s">
        <v>218</v>
      </c>
      <c r="H1751" t="s">
        <v>303</v>
      </c>
      <c r="I1751" t="s">
        <v>964</v>
      </c>
      <c r="J1751" t="s">
        <v>3167</v>
      </c>
      <c r="K1751" t="s">
        <v>37</v>
      </c>
      <c r="L1751" t="s">
        <v>169</v>
      </c>
      <c r="M1751" t="s">
        <v>106</v>
      </c>
      <c r="N1751" t="s">
        <v>82</v>
      </c>
      <c r="O1751" s="4">
        <v>1</v>
      </c>
      <c r="P1751" s="4">
        <v>2</v>
      </c>
      <c r="Q1751" t="s">
        <v>69</v>
      </c>
      <c r="R1751" s="2">
        <v>46190</v>
      </c>
      <c r="S1751" s="4">
        <v>13</v>
      </c>
      <c r="T1751" s="3">
        <v>75000000</v>
      </c>
      <c r="U1751" t="s">
        <v>42</v>
      </c>
      <c r="V1751" t="s">
        <v>43</v>
      </c>
      <c r="W1751" t="s">
        <v>359</v>
      </c>
      <c r="Y1751" t="s">
        <v>291</v>
      </c>
      <c r="Z1751" t="s">
        <v>3176</v>
      </c>
      <c r="AA1751" t="s">
        <v>46</v>
      </c>
      <c r="AB1751" t="s">
        <v>47</v>
      </c>
      <c r="AC1751" t="s">
        <v>46</v>
      </c>
    </row>
    <row r="1752" spans="1:29">
      <c r="A1752" t="s">
        <v>2169</v>
      </c>
      <c r="B1752" s="2">
        <v>46193</v>
      </c>
      <c r="C1752" t="s">
        <v>30</v>
      </c>
      <c r="D1752" t="s">
        <v>74</v>
      </c>
      <c r="E1752" t="s">
        <v>120</v>
      </c>
      <c r="F1752" t="s">
        <v>246</v>
      </c>
      <c r="G1752" t="s">
        <v>224</v>
      </c>
      <c r="H1752" t="s">
        <v>123</v>
      </c>
      <c r="I1752" t="s">
        <v>225</v>
      </c>
      <c r="J1752" t="s">
        <v>3030</v>
      </c>
      <c r="K1752" t="s">
        <v>105</v>
      </c>
      <c r="L1752" t="s">
        <v>68</v>
      </c>
      <c r="M1752" t="s">
        <v>56</v>
      </c>
      <c r="N1752" t="s">
        <v>40</v>
      </c>
      <c r="O1752" s="4">
        <v>2</v>
      </c>
      <c r="P1752" s="4">
        <v>4</v>
      </c>
      <c r="Q1752" t="s">
        <v>69</v>
      </c>
      <c r="R1752" s="2">
        <v>46187</v>
      </c>
      <c r="S1752" s="4">
        <v>16</v>
      </c>
      <c r="T1752" s="3">
        <v>320000000</v>
      </c>
      <c r="U1752" t="s">
        <v>42</v>
      </c>
      <c r="V1752" t="s">
        <v>43</v>
      </c>
      <c r="W1752" t="s">
        <v>44</v>
      </c>
      <c r="Y1752" t="s">
        <v>180</v>
      </c>
      <c r="Z1752" t="s">
        <v>3176</v>
      </c>
      <c r="AA1752" t="s">
        <v>97</v>
      </c>
      <c r="AB1752" t="s">
        <v>47</v>
      </c>
      <c r="AC1752" t="s">
        <v>97</v>
      </c>
    </row>
    <row r="1753" spans="1:29">
      <c r="A1753" t="s">
        <v>2170</v>
      </c>
      <c r="B1753" s="2">
        <v>46181</v>
      </c>
      <c r="C1753" t="s">
        <v>30</v>
      </c>
      <c r="D1753" t="s">
        <v>99</v>
      </c>
      <c r="E1753" t="s">
        <v>120</v>
      </c>
      <c r="F1753" t="s">
        <v>246</v>
      </c>
      <c r="G1753" t="s">
        <v>224</v>
      </c>
      <c r="H1753" t="s">
        <v>123</v>
      </c>
      <c r="I1753" t="s">
        <v>336</v>
      </c>
      <c r="J1753" t="s">
        <v>3055</v>
      </c>
      <c r="K1753" t="s">
        <v>56</v>
      </c>
      <c r="L1753" t="s">
        <v>68</v>
      </c>
      <c r="M1753" t="s">
        <v>81</v>
      </c>
      <c r="N1753" t="s">
        <v>94</v>
      </c>
      <c r="O1753" s="4">
        <v>4</v>
      </c>
      <c r="P1753" s="4">
        <v>11</v>
      </c>
      <c r="Q1753" t="s">
        <v>142</v>
      </c>
      <c r="R1753" s="2">
        <v>46175</v>
      </c>
      <c r="S1753" s="4">
        <v>28</v>
      </c>
      <c r="T1753" s="3">
        <v>415000000</v>
      </c>
      <c r="U1753" t="s">
        <v>42</v>
      </c>
      <c r="V1753" t="s">
        <v>143</v>
      </c>
      <c r="W1753" t="s">
        <v>267</v>
      </c>
      <c r="Y1753" t="s">
        <v>268</v>
      </c>
      <c r="Z1753" t="s">
        <v>3179</v>
      </c>
      <c r="AA1753" t="s">
        <v>97</v>
      </c>
      <c r="AB1753" t="s">
        <v>97</v>
      </c>
      <c r="AC1753" t="s">
        <v>97</v>
      </c>
    </row>
    <row r="1754" spans="1:29">
      <c r="A1754" t="s">
        <v>2171</v>
      </c>
      <c r="B1754" s="2">
        <v>46197</v>
      </c>
      <c r="C1754" t="s">
        <v>30</v>
      </c>
      <c r="D1754" t="s">
        <v>49</v>
      </c>
      <c r="E1754" t="s">
        <v>120</v>
      </c>
      <c r="F1754" t="s">
        <v>121</v>
      </c>
      <c r="G1754" t="s">
        <v>135</v>
      </c>
      <c r="H1754" t="s">
        <v>300</v>
      </c>
      <c r="I1754" t="s">
        <v>527</v>
      </c>
      <c r="J1754" t="s">
        <v>3110</v>
      </c>
      <c r="K1754" t="s">
        <v>105</v>
      </c>
      <c r="L1754" t="s">
        <v>38</v>
      </c>
      <c r="M1754" t="s">
        <v>81</v>
      </c>
      <c r="N1754" t="s">
        <v>40</v>
      </c>
      <c r="O1754" s="4">
        <v>2</v>
      </c>
      <c r="P1754" s="4">
        <v>11</v>
      </c>
      <c r="Q1754" t="s">
        <v>142</v>
      </c>
      <c r="R1754" s="2">
        <v>46197</v>
      </c>
      <c r="S1754" s="4">
        <v>6</v>
      </c>
      <c r="T1754" s="3">
        <v>179000000</v>
      </c>
      <c r="U1754" t="s">
        <v>42</v>
      </c>
      <c r="V1754" t="s">
        <v>43</v>
      </c>
      <c r="W1754" t="s">
        <v>44</v>
      </c>
      <c r="Y1754" t="s">
        <v>281</v>
      </c>
      <c r="Z1754" t="s">
        <v>3178</v>
      </c>
      <c r="AA1754" t="s">
        <v>97</v>
      </c>
      <c r="AB1754" t="s">
        <v>87</v>
      </c>
      <c r="AC1754" t="s">
        <v>97</v>
      </c>
    </row>
    <row r="1755" spans="1:29">
      <c r="A1755" t="s">
        <v>2172</v>
      </c>
      <c r="B1755" s="2">
        <v>46180</v>
      </c>
      <c r="C1755" t="s">
        <v>30</v>
      </c>
      <c r="D1755" t="s">
        <v>134</v>
      </c>
      <c r="E1755" t="s">
        <v>120</v>
      </c>
      <c r="F1755" t="s">
        <v>167</v>
      </c>
      <c r="G1755" t="s">
        <v>122</v>
      </c>
      <c r="H1755" t="s">
        <v>123</v>
      </c>
      <c r="I1755" t="s">
        <v>336</v>
      </c>
      <c r="J1755" t="s">
        <v>3055</v>
      </c>
      <c r="K1755" t="s">
        <v>56</v>
      </c>
      <c r="L1755" t="s">
        <v>38</v>
      </c>
      <c r="M1755" t="s">
        <v>129</v>
      </c>
      <c r="N1755" t="s">
        <v>82</v>
      </c>
      <c r="O1755" s="4">
        <v>1</v>
      </c>
      <c r="P1755" s="4">
        <v>12</v>
      </c>
      <c r="Q1755" t="s">
        <v>138</v>
      </c>
      <c r="R1755" s="2">
        <v>46171</v>
      </c>
      <c r="S1755" s="4">
        <v>32</v>
      </c>
      <c r="T1755" s="3">
        <v>317000000</v>
      </c>
      <c r="U1755" t="s">
        <v>42</v>
      </c>
      <c r="V1755" t="s">
        <v>43</v>
      </c>
      <c r="W1755" t="s">
        <v>359</v>
      </c>
      <c r="Y1755" t="s">
        <v>305</v>
      </c>
      <c r="Z1755" t="s">
        <v>3180</v>
      </c>
      <c r="AA1755" t="s">
        <v>97</v>
      </c>
      <c r="AB1755" t="s">
        <v>193</v>
      </c>
      <c r="AC1755" t="s">
        <v>97</v>
      </c>
    </row>
    <row r="1756" spans="1:29">
      <c r="A1756" t="s">
        <v>2173</v>
      </c>
      <c r="B1756" s="2">
        <v>46185</v>
      </c>
      <c r="C1756" t="s">
        <v>30</v>
      </c>
      <c r="D1756" t="s">
        <v>99</v>
      </c>
      <c r="E1756" t="s">
        <v>120</v>
      </c>
      <c r="F1756" t="s">
        <v>167</v>
      </c>
      <c r="G1756" t="s">
        <v>420</v>
      </c>
      <c r="H1756" t="s">
        <v>123</v>
      </c>
      <c r="I1756" t="s">
        <v>838</v>
      </c>
      <c r="J1756" t="s">
        <v>3160</v>
      </c>
      <c r="K1756" t="s">
        <v>92</v>
      </c>
      <c r="L1756" t="s">
        <v>80</v>
      </c>
      <c r="M1756" t="s">
        <v>106</v>
      </c>
      <c r="N1756" t="s">
        <v>94</v>
      </c>
      <c r="O1756" s="4">
        <v>4</v>
      </c>
      <c r="P1756" s="4">
        <v>11</v>
      </c>
      <c r="Q1756" t="s">
        <v>69</v>
      </c>
      <c r="R1756" s="2">
        <v>46182</v>
      </c>
      <c r="S1756" s="4">
        <v>21</v>
      </c>
      <c r="T1756" s="3">
        <v>224000000</v>
      </c>
      <c r="U1756" t="s">
        <v>42</v>
      </c>
      <c r="V1756" t="s">
        <v>59</v>
      </c>
      <c r="W1756" t="s">
        <v>267</v>
      </c>
      <c r="Y1756" t="s">
        <v>96</v>
      </c>
      <c r="Z1756" t="s">
        <v>3179</v>
      </c>
      <c r="AA1756" t="s">
        <v>97</v>
      </c>
      <c r="AB1756" t="s">
        <v>97</v>
      </c>
      <c r="AC1756" t="s">
        <v>97</v>
      </c>
    </row>
    <row r="1757" spans="1:29">
      <c r="A1757" t="s">
        <v>2174</v>
      </c>
      <c r="B1757" s="2">
        <v>46181</v>
      </c>
      <c r="C1757" t="s">
        <v>30</v>
      </c>
      <c r="D1757" t="s">
        <v>99</v>
      </c>
      <c r="E1757" t="s">
        <v>152</v>
      </c>
      <c r="F1757" t="s">
        <v>205</v>
      </c>
      <c r="G1757" t="s">
        <v>294</v>
      </c>
      <c r="H1757" t="s">
        <v>155</v>
      </c>
      <c r="I1757" t="s">
        <v>156</v>
      </c>
      <c r="J1757" t="s">
        <v>3020</v>
      </c>
      <c r="K1757" t="s">
        <v>56</v>
      </c>
      <c r="L1757" t="s">
        <v>169</v>
      </c>
      <c r="M1757" t="s">
        <v>129</v>
      </c>
      <c r="N1757" t="s">
        <v>82</v>
      </c>
      <c r="O1757" s="4">
        <v>1</v>
      </c>
      <c r="P1757" s="4">
        <v>13</v>
      </c>
      <c r="Q1757" t="s">
        <v>58</v>
      </c>
      <c r="R1757" s="2">
        <v>46173</v>
      </c>
      <c r="S1757" s="4">
        <v>30</v>
      </c>
      <c r="T1757" s="3">
        <v>178000000</v>
      </c>
      <c r="U1757" t="s">
        <v>42</v>
      </c>
      <c r="V1757" t="s">
        <v>59</v>
      </c>
      <c r="W1757" t="s">
        <v>84</v>
      </c>
      <c r="Y1757" t="s">
        <v>291</v>
      </c>
      <c r="Z1757" t="s">
        <v>3180</v>
      </c>
      <c r="AA1757" t="s">
        <v>159</v>
      </c>
      <c r="AB1757" t="s">
        <v>193</v>
      </c>
      <c r="AC1757" t="s">
        <v>159</v>
      </c>
    </row>
    <row r="1758" spans="1:29">
      <c r="A1758" t="s">
        <v>2175</v>
      </c>
      <c r="B1758" s="2">
        <v>46196</v>
      </c>
      <c r="C1758" t="s">
        <v>30</v>
      </c>
      <c r="D1758" t="s">
        <v>49</v>
      </c>
      <c r="E1758" t="s">
        <v>120</v>
      </c>
      <c r="F1758" t="s">
        <v>167</v>
      </c>
      <c r="G1758" t="s">
        <v>420</v>
      </c>
      <c r="H1758" t="s">
        <v>123</v>
      </c>
      <c r="I1758" t="s">
        <v>459</v>
      </c>
      <c r="J1758" t="s">
        <v>3093</v>
      </c>
      <c r="K1758" t="s">
        <v>92</v>
      </c>
      <c r="L1758" t="s">
        <v>80</v>
      </c>
      <c r="M1758" t="s">
        <v>106</v>
      </c>
      <c r="N1758" t="s">
        <v>82</v>
      </c>
      <c r="O1758" s="4">
        <v>1</v>
      </c>
      <c r="P1758" s="4">
        <v>4</v>
      </c>
      <c r="Q1758" t="s">
        <v>107</v>
      </c>
      <c r="R1758" s="2">
        <v>46193</v>
      </c>
      <c r="S1758" s="4">
        <v>10</v>
      </c>
      <c r="T1758" s="3">
        <v>182000000</v>
      </c>
      <c r="U1758" t="s">
        <v>42</v>
      </c>
      <c r="V1758" t="s">
        <v>43</v>
      </c>
      <c r="W1758" t="s">
        <v>84</v>
      </c>
      <c r="Y1758" t="s">
        <v>85</v>
      </c>
      <c r="Z1758" t="s">
        <v>3176</v>
      </c>
      <c r="AA1758" t="s">
        <v>97</v>
      </c>
      <c r="AB1758" t="s">
        <v>47</v>
      </c>
      <c r="AC1758" t="s">
        <v>97</v>
      </c>
    </row>
    <row r="1759" spans="1:29">
      <c r="A1759" t="s">
        <v>2176</v>
      </c>
      <c r="B1759" s="2">
        <v>46185</v>
      </c>
      <c r="C1759" t="s">
        <v>30</v>
      </c>
      <c r="D1759" t="s">
        <v>99</v>
      </c>
      <c r="E1759" t="s">
        <v>152</v>
      </c>
      <c r="F1759" t="s">
        <v>153</v>
      </c>
      <c r="G1759" t="s">
        <v>206</v>
      </c>
      <c r="H1759" t="s">
        <v>283</v>
      </c>
      <c r="I1759" t="s">
        <v>474</v>
      </c>
      <c r="J1759" t="s">
        <v>3098</v>
      </c>
      <c r="K1759" t="s">
        <v>56</v>
      </c>
      <c r="L1759" t="s">
        <v>68</v>
      </c>
      <c r="M1759" t="s">
        <v>129</v>
      </c>
      <c r="N1759" t="s">
        <v>213</v>
      </c>
      <c r="O1759" s="4">
        <v>6</v>
      </c>
      <c r="P1759" s="4">
        <v>18</v>
      </c>
      <c r="Q1759" t="s">
        <v>142</v>
      </c>
      <c r="R1759" s="2">
        <v>46180</v>
      </c>
      <c r="S1759" s="4">
        <v>23</v>
      </c>
      <c r="T1759" s="3">
        <v>237000000</v>
      </c>
      <c r="U1759" t="s">
        <v>42</v>
      </c>
      <c r="V1759" t="s">
        <v>70</v>
      </c>
      <c r="W1759" t="s">
        <v>438</v>
      </c>
      <c r="Y1759" t="s">
        <v>249</v>
      </c>
      <c r="Z1759" t="s">
        <v>3179</v>
      </c>
      <c r="AA1759" t="s">
        <v>159</v>
      </c>
      <c r="AB1759" t="s">
        <v>97</v>
      </c>
      <c r="AC1759" t="s">
        <v>159</v>
      </c>
    </row>
    <row r="1760" spans="1:29">
      <c r="A1760" t="s">
        <v>2177</v>
      </c>
      <c r="B1760" s="2">
        <v>46191</v>
      </c>
      <c r="C1760" t="s">
        <v>30</v>
      </c>
      <c r="D1760" t="s">
        <v>74</v>
      </c>
      <c r="E1760" t="s">
        <v>120</v>
      </c>
      <c r="F1760" t="s">
        <v>121</v>
      </c>
      <c r="G1760" t="s">
        <v>224</v>
      </c>
      <c r="H1760" t="s">
        <v>123</v>
      </c>
      <c r="I1760" t="s">
        <v>838</v>
      </c>
      <c r="J1760" t="s">
        <v>3160</v>
      </c>
      <c r="K1760" t="s">
        <v>105</v>
      </c>
      <c r="L1760" t="s">
        <v>187</v>
      </c>
      <c r="M1760" t="s">
        <v>39</v>
      </c>
      <c r="N1760" t="s">
        <v>94</v>
      </c>
      <c r="O1760" s="4">
        <v>4</v>
      </c>
      <c r="P1760" s="4">
        <v>5</v>
      </c>
      <c r="Q1760" t="s">
        <v>83</v>
      </c>
      <c r="R1760" s="2">
        <v>46190</v>
      </c>
      <c r="S1760" s="4">
        <v>13</v>
      </c>
      <c r="T1760" s="3">
        <v>239000000</v>
      </c>
      <c r="U1760" t="s">
        <v>42</v>
      </c>
      <c r="V1760" t="s">
        <v>59</v>
      </c>
      <c r="W1760" t="s">
        <v>170</v>
      </c>
      <c r="Y1760" t="s">
        <v>228</v>
      </c>
      <c r="Z1760" t="s">
        <v>3179</v>
      </c>
      <c r="AA1760" t="s">
        <v>97</v>
      </c>
      <c r="AB1760" t="s">
        <v>97</v>
      </c>
      <c r="AC1760" t="s">
        <v>97</v>
      </c>
    </row>
    <row r="1761" spans="1:29">
      <c r="A1761" t="s">
        <v>2178</v>
      </c>
      <c r="B1761" s="2">
        <v>46203</v>
      </c>
      <c r="C1761" t="s">
        <v>30</v>
      </c>
      <c r="D1761" t="s">
        <v>31</v>
      </c>
      <c r="E1761" t="s">
        <v>120</v>
      </c>
      <c r="F1761" t="s">
        <v>167</v>
      </c>
      <c r="G1761" t="s">
        <v>122</v>
      </c>
      <c r="H1761" t="s">
        <v>123</v>
      </c>
      <c r="I1761" t="s">
        <v>459</v>
      </c>
      <c r="J1761" t="s">
        <v>3093</v>
      </c>
      <c r="K1761" t="s">
        <v>105</v>
      </c>
      <c r="L1761" t="s">
        <v>38</v>
      </c>
      <c r="M1761" t="s">
        <v>39</v>
      </c>
      <c r="N1761" t="s">
        <v>130</v>
      </c>
      <c r="O1761" s="4">
        <v>5</v>
      </c>
      <c r="P1761" s="4">
        <v>9</v>
      </c>
      <c r="Q1761" t="s">
        <v>83</v>
      </c>
      <c r="R1761" s="2">
        <v>46199</v>
      </c>
      <c r="S1761" s="4">
        <v>4</v>
      </c>
      <c r="T1761" s="3">
        <v>279000000</v>
      </c>
      <c r="U1761" t="s">
        <v>42</v>
      </c>
      <c r="V1761" t="s">
        <v>70</v>
      </c>
      <c r="W1761" t="s">
        <v>355</v>
      </c>
      <c r="X1761" t="s">
        <v>253</v>
      </c>
      <c r="Y1761" t="s">
        <v>132</v>
      </c>
      <c r="Z1761" t="s">
        <v>3179</v>
      </c>
      <c r="AA1761" t="s">
        <v>97</v>
      </c>
      <c r="AB1761" t="s">
        <v>97</v>
      </c>
      <c r="AC1761" t="s">
        <v>97</v>
      </c>
    </row>
    <row r="1762" spans="1:29">
      <c r="A1762" t="s">
        <v>2179</v>
      </c>
      <c r="B1762" s="2">
        <v>46200</v>
      </c>
      <c r="C1762" t="s">
        <v>30</v>
      </c>
      <c r="D1762" t="s">
        <v>49</v>
      </c>
      <c r="E1762" t="s">
        <v>75</v>
      </c>
      <c r="F1762" t="s">
        <v>161</v>
      </c>
      <c r="G1762" t="s">
        <v>230</v>
      </c>
      <c r="H1762" t="s">
        <v>388</v>
      </c>
      <c r="I1762" t="s">
        <v>661</v>
      </c>
      <c r="J1762" t="s">
        <v>3144</v>
      </c>
      <c r="K1762" t="s">
        <v>37</v>
      </c>
      <c r="L1762" t="s">
        <v>169</v>
      </c>
      <c r="M1762" t="s">
        <v>129</v>
      </c>
      <c r="N1762" t="s">
        <v>82</v>
      </c>
      <c r="O1762" s="4">
        <v>1</v>
      </c>
      <c r="P1762" s="4">
        <v>9</v>
      </c>
      <c r="Q1762" t="s">
        <v>142</v>
      </c>
      <c r="R1762" s="2">
        <v>46196</v>
      </c>
      <c r="S1762" s="4">
        <v>7</v>
      </c>
      <c r="T1762" s="3">
        <v>69000000</v>
      </c>
      <c r="U1762" t="s">
        <v>177</v>
      </c>
      <c r="V1762" t="s">
        <v>43</v>
      </c>
      <c r="W1762" t="s">
        <v>84</v>
      </c>
      <c r="X1762" t="s">
        <v>308</v>
      </c>
      <c r="Y1762" t="s">
        <v>85</v>
      </c>
      <c r="Z1762" t="s">
        <v>3178</v>
      </c>
      <c r="AA1762" t="s">
        <v>86</v>
      </c>
      <c r="AB1762" t="s">
        <v>87</v>
      </c>
      <c r="AC1762" t="s">
        <v>86</v>
      </c>
    </row>
    <row r="1763" spans="1:29">
      <c r="A1763" t="s">
        <v>2180</v>
      </c>
      <c r="B1763" s="2">
        <v>46194</v>
      </c>
      <c r="C1763" t="s">
        <v>30</v>
      </c>
      <c r="D1763" t="s">
        <v>74</v>
      </c>
      <c r="E1763" t="s">
        <v>50</v>
      </c>
      <c r="F1763" t="s">
        <v>51</v>
      </c>
      <c r="G1763" t="s">
        <v>343</v>
      </c>
      <c r="H1763" t="s">
        <v>66</v>
      </c>
      <c r="I1763" t="s">
        <v>67</v>
      </c>
      <c r="J1763" t="s">
        <v>3010</v>
      </c>
      <c r="K1763" t="s">
        <v>92</v>
      </c>
      <c r="L1763" t="s">
        <v>80</v>
      </c>
      <c r="M1763" t="s">
        <v>81</v>
      </c>
      <c r="N1763" t="s">
        <v>130</v>
      </c>
      <c r="O1763" s="4">
        <v>5</v>
      </c>
      <c r="P1763" s="4">
        <v>7</v>
      </c>
      <c r="Q1763" t="s">
        <v>107</v>
      </c>
      <c r="R1763" s="2">
        <v>46186</v>
      </c>
      <c r="S1763" s="4">
        <v>17</v>
      </c>
      <c r="T1763" s="3">
        <v>111000000</v>
      </c>
      <c r="U1763" t="s">
        <v>42</v>
      </c>
      <c r="V1763" t="s">
        <v>143</v>
      </c>
      <c r="W1763" t="s">
        <v>131</v>
      </c>
      <c r="X1763" t="s">
        <v>117</v>
      </c>
      <c r="Y1763" t="s">
        <v>132</v>
      </c>
      <c r="Z1763" t="s">
        <v>3179</v>
      </c>
      <c r="AA1763" t="s">
        <v>62</v>
      </c>
      <c r="AB1763" t="s">
        <v>97</v>
      </c>
      <c r="AC1763" t="s">
        <v>62</v>
      </c>
    </row>
    <row r="1764" spans="1:29">
      <c r="A1764" t="s">
        <v>2181</v>
      </c>
      <c r="B1764" s="2">
        <v>46201</v>
      </c>
      <c r="C1764" t="s">
        <v>30</v>
      </c>
      <c r="D1764" t="s">
        <v>49</v>
      </c>
      <c r="E1764" t="s">
        <v>172</v>
      </c>
      <c r="F1764" t="s">
        <v>173</v>
      </c>
      <c r="G1764" t="s">
        <v>476</v>
      </c>
      <c r="H1764" t="s">
        <v>317</v>
      </c>
      <c r="I1764" t="s">
        <v>1124</v>
      </c>
      <c r="J1764" t="s">
        <v>3173</v>
      </c>
      <c r="K1764" t="s">
        <v>105</v>
      </c>
      <c r="L1764" t="s">
        <v>68</v>
      </c>
      <c r="M1764" t="s">
        <v>81</v>
      </c>
      <c r="N1764" t="s">
        <v>40</v>
      </c>
      <c r="O1764" s="4">
        <v>2</v>
      </c>
      <c r="P1764" s="4">
        <v>9</v>
      </c>
      <c r="Q1764" t="s">
        <v>58</v>
      </c>
      <c r="R1764" s="2">
        <v>46192</v>
      </c>
      <c r="S1764" s="4">
        <v>11</v>
      </c>
      <c r="T1764" s="3">
        <v>188000000</v>
      </c>
      <c r="U1764" t="s">
        <v>42</v>
      </c>
      <c r="V1764" t="s">
        <v>43</v>
      </c>
      <c r="W1764" t="s">
        <v>178</v>
      </c>
      <c r="Y1764" t="s">
        <v>45</v>
      </c>
      <c r="Z1764" t="s">
        <v>3178</v>
      </c>
      <c r="AA1764" t="s">
        <v>181</v>
      </c>
      <c r="AB1764" t="s">
        <v>87</v>
      </c>
      <c r="AC1764" t="s">
        <v>181</v>
      </c>
    </row>
    <row r="1765" spans="1:29">
      <c r="A1765" t="s">
        <v>2182</v>
      </c>
      <c r="B1765" s="2">
        <v>46184</v>
      </c>
      <c r="C1765" t="s">
        <v>30</v>
      </c>
      <c r="D1765" t="s">
        <v>99</v>
      </c>
      <c r="E1765" t="s">
        <v>50</v>
      </c>
      <c r="F1765" t="s">
        <v>51</v>
      </c>
      <c r="G1765" t="s">
        <v>234</v>
      </c>
      <c r="H1765" t="s">
        <v>53</v>
      </c>
      <c r="I1765" t="s">
        <v>787</v>
      </c>
      <c r="J1765" t="s">
        <v>3154</v>
      </c>
      <c r="K1765" t="s">
        <v>37</v>
      </c>
      <c r="L1765" t="s">
        <v>68</v>
      </c>
      <c r="M1765" t="s">
        <v>39</v>
      </c>
      <c r="N1765" t="s">
        <v>94</v>
      </c>
      <c r="O1765" s="4">
        <v>4</v>
      </c>
      <c r="P1765" s="4">
        <v>17</v>
      </c>
      <c r="Q1765" t="s">
        <v>138</v>
      </c>
      <c r="R1765" s="2">
        <v>46183</v>
      </c>
      <c r="S1765" s="4">
        <v>20</v>
      </c>
      <c r="T1765" s="3">
        <v>173000000</v>
      </c>
      <c r="U1765" t="s">
        <v>42</v>
      </c>
      <c r="V1765" t="s">
        <v>59</v>
      </c>
      <c r="W1765" t="s">
        <v>267</v>
      </c>
      <c r="X1765" t="s">
        <v>117</v>
      </c>
      <c r="Y1765" t="s">
        <v>108</v>
      </c>
      <c r="Z1765" t="s">
        <v>3179</v>
      </c>
      <c r="AA1765" t="s">
        <v>62</v>
      </c>
      <c r="AB1765" t="s">
        <v>97</v>
      </c>
      <c r="AC1765" t="s">
        <v>62</v>
      </c>
    </row>
    <row r="1766" spans="1:29">
      <c r="A1766" t="s">
        <v>2183</v>
      </c>
      <c r="B1766" s="2">
        <v>46195</v>
      </c>
      <c r="C1766" t="s">
        <v>30</v>
      </c>
      <c r="D1766" t="s">
        <v>49</v>
      </c>
      <c r="E1766" t="s">
        <v>172</v>
      </c>
      <c r="F1766" t="s">
        <v>195</v>
      </c>
      <c r="G1766" t="s">
        <v>338</v>
      </c>
      <c r="H1766" t="s">
        <v>241</v>
      </c>
      <c r="I1766" t="s">
        <v>559</v>
      </c>
      <c r="J1766" t="s">
        <v>3119</v>
      </c>
      <c r="K1766" t="s">
        <v>105</v>
      </c>
      <c r="L1766" t="s">
        <v>80</v>
      </c>
      <c r="M1766" t="s">
        <v>164</v>
      </c>
      <c r="N1766" t="s">
        <v>40</v>
      </c>
      <c r="O1766" s="4">
        <v>2</v>
      </c>
      <c r="P1766" s="4">
        <v>4</v>
      </c>
      <c r="Q1766" t="s">
        <v>107</v>
      </c>
      <c r="R1766" s="2">
        <v>46193</v>
      </c>
      <c r="S1766" s="4">
        <v>10</v>
      </c>
      <c r="T1766" s="3">
        <v>107000000</v>
      </c>
      <c r="U1766" t="s">
        <v>42</v>
      </c>
      <c r="V1766" t="s">
        <v>59</v>
      </c>
      <c r="W1766" t="s">
        <v>239</v>
      </c>
      <c r="Y1766" t="s">
        <v>309</v>
      </c>
      <c r="Z1766" t="s">
        <v>3176</v>
      </c>
      <c r="AA1766" t="s">
        <v>181</v>
      </c>
      <c r="AB1766" t="s">
        <v>47</v>
      </c>
      <c r="AC1766" t="s">
        <v>181</v>
      </c>
    </row>
    <row r="1767" spans="1:29">
      <c r="A1767" t="s">
        <v>2184</v>
      </c>
      <c r="B1767" s="2">
        <v>46198</v>
      </c>
      <c r="C1767" t="s">
        <v>30</v>
      </c>
      <c r="D1767" t="s">
        <v>49</v>
      </c>
      <c r="E1767" t="s">
        <v>152</v>
      </c>
      <c r="F1767" t="s">
        <v>153</v>
      </c>
      <c r="G1767" t="s">
        <v>154</v>
      </c>
      <c r="H1767" t="s">
        <v>207</v>
      </c>
      <c r="I1767" t="s">
        <v>208</v>
      </c>
      <c r="J1767" t="s">
        <v>3027</v>
      </c>
      <c r="K1767" t="s">
        <v>37</v>
      </c>
      <c r="L1767" t="s">
        <v>187</v>
      </c>
      <c r="M1767" t="s">
        <v>93</v>
      </c>
      <c r="N1767" t="s">
        <v>94</v>
      </c>
      <c r="O1767" s="4">
        <v>4</v>
      </c>
      <c r="P1767" s="4">
        <v>12</v>
      </c>
      <c r="Q1767" t="s">
        <v>58</v>
      </c>
      <c r="R1767" s="2">
        <v>46189</v>
      </c>
      <c r="S1767" s="4">
        <v>14</v>
      </c>
      <c r="T1767" s="3">
        <v>249000000</v>
      </c>
      <c r="U1767" t="s">
        <v>42</v>
      </c>
      <c r="V1767" t="s">
        <v>59</v>
      </c>
      <c r="W1767" t="s">
        <v>95</v>
      </c>
      <c r="Y1767" t="s">
        <v>96</v>
      </c>
      <c r="Z1767" t="s">
        <v>3179</v>
      </c>
      <c r="AA1767" t="s">
        <v>159</v>
      </c>
      <c r="AB1767" t="s">
        <v>97</v>
      </c>
      <c r="AC1767" t="s">
        <v>159</v>
      </c>
    </row>
    <row r="1768" spans="1:29">
      <c r="A1768" t="s">
        <v>2185</v>
      </c>
      <c r="B1768" s="2">
        <v>46200</v>
      </c>
      <c r="C1768" t="s">
        <v>30</v>
      </c>
      <c r="D1768" t="s">
        <v>49</v>
      </c>
      <c r="E1768" t="s">
        <v>32</v>
      </c>
      <c r="F1768" t="s">
        <v>273</v>
      </c>
      <c r="G1768" t="s">
        <v>257</v>
      </c>
      <c r="H1768" t="s">
        <v>258</v>
      </c>
      <c r="I1768" t="s">
        <v>651</v>
      </c>
      <c r="J1768" t="s">
        <v>3141</v>
      </c>
      <c r="K1768" t="s">
        <v>37</v>
      </c>
      <c r="L1768" t="s">
        <v>38</v>
      </c>
      <c r="M1768" t="s">
        <v>81</v>
      </c>
      <c r="N1768" t="s">
        <v>130</v>
      </c>
      <c r="O1768" s="4">
        <v>5</v>
      </c>
      <c r="P1768" s="4">
        <v>5</v>
      </c>
      <c r="Q1768" t="s">
        <v>58</v>
      </c>
      <c r="R1768" s="2">
        <v>46199</v>
      </c>
      <c r="S1768" s="4">
        <v>4</v>
      </c>
      <c r="T1768" s="3">
        <v>141000000</v>
      </c>
      <c r="U1768" t="s">
        <v>42</v>
      </c>
      <c r="V1768" t="s">
        <v>59</v>
      </c>
      <c r="W1768" t="s">
        <v>131</v>
      </c>
      <c r="Y1768" t="s">
        <v>254</v>
      </c>
      <c r="Z1768" t="s">
        <v>3179</v>
      </c>
      <c r="AA1768" t="s">
        <v>46</v>
      </c>
      <c r="AB1768" t="s">
        <v>97</v>
      </c>
      <c r="AC1768" t="s">
        <v>46</v>
      </c>
    </row>
    <row r="1769" spans="1:29">
      <c r="A1769" t="s">
        <v>2186</v>
      </c>
      <c r="B1769" s="2">
        <v>46182</v>
      </c>
      <c r="C1769" t="s">
        <v>30</v>
      </c>
      <c r="D1769" t="s">
        <v>99</v>
      </c>
      <c r="E1769" t="s">
        <v>75</v>
      </c>
      <c r="F1769" t="s">
        <v>183</v>
      </c>
      <c r="G1769" t="s">
        <v>387</v>
      </c>
      <c r="H1769" t="s">
        <v>185</v>
      </c>
      <c r="I1769" t="s">
        <v>186</v>
      </c>
      <c r="J1769" t="s">
        <v>3024</v>
      </c>
      <c r="K1769" t="s">
        <v>116</v>
      </c>
      <c r="L1769" t="s">
        <v>169</v>
      </c>
      <c r="M1769" t="s">
        <v>129</v>
      </c>
      <c r="N1769" t="s">
        <v>57</v>
      </c>
      <c r="O1769" s="4">
        <v>3</v>
      </c>
      <c r="P1769" s="4">
        <v>5</v>
      </c>
      <c r="Q1769" t="s">
        <v>83</v>
      </c>
      <c r="R1769" s="2">
        <v>46181</v>
      </c>
      <c r="S1769" s="4">
        <v>22</v>
      </c>
      <c r="T1769" s="3">
        <v>162000000</v>
      </c>
      <c r="U1769" t="s">
        <v>42</v>
      </c>
      <c r="V1769" t="s">
        <v>59</v>
      </c>
      <c r="W1769" t="s">
        <v>157</v>
      </c>
      <c r="Y1769" t="s">
        <v>61</v>
      </c>
      <c r="Z1769" t="s">
        <v>3177</v>
      </c>
      <c r="AA1769" t="s">
        <v>86</v>
      </c>
      <c r="AB1769" t="s">
        <v>63</v>
      </c>
      <c r="AC1769" t="s">
        <v>86</v>
      </c>
    </row>
    <row r="1770" spans="1:29">
      <c r="A1770" t="s">
        <v>2187</v>
      </c>
      <c r="B1770" s="2">
        <v>46183</v>
      </c>
      <c r="C1770" t="s">
        <v>30</v>
      </c>
      <c r="D1770" t="s">
        <v>99</v>
      </c>
      <c r="E1770" t="s">
        <v>75</v>
      </c>
      <c r="F1770" t="s">
        <v>183</v>
      </c>
      <c r="G1770" t="s">
        <v>162</v>
      </c>
      <c r="H1770" t="s">
        <v>388</v>
      </c>
      <c r="I1770" t="s">
        <v>630</v>
      </c>
      <c r="J1770" t="s">
        <v>3135</v>
      </c>
      <c r="K1770" t="s">
        <v>92</v>
      </c>
      <c r="L1770" t="s">
        <v>187</v>
      </c>
      <c r="M1770" t="s">
        <v>39</v>
      </c>
      <c r="N1770" t="s">
        <v>82</v>
      </c>
      <c r="O1770" s="4">
        <v>1</v>
      </c>
      <c r="P1770" s="4">
        <v>5</v>
      </c>
      <c r="Q1770" t="s">
        <v>142</v>
      </c>
      <c r="R1770" s="2">
        <v>46173</v>
      </c>
      <c r="S1770" s="4">
        <v>30</v>
      </c>
      <c r="T1770" s="3">
        <v>110000000</v>
      </c>
      <c r="U1770" t="s">
        <v>42</v>
      </c>
      <c r="V1770" t="s">
        <v>59</v>
      </c>
      <c r="W1770" t="s">
        <v>290</v>
      </c>
      <c r="Y1770" t="s">
        <v>291</v>
      </c>
      <c r="Z1770" t="s">
        <v>3178</v>
      </c>
      <c r="AA1770" t="s">
        <v>86</v>
      </c>
      <c r="AB1770" t="s">
        <v>87</v>
      </c>
      <c r="AC1770" t="s">
        <v>86</v>
      </c>
    </row>
    <row r="1771" spans="1:29">
      <c r="A1771" t="s">
        <v>2188</v>
      </c>
      <c r="B1771" s="2">
        <v>46182</v>
      </c>
      <c r="C1771" t="s">
        <v>30</v>
      </c>
      <c r="D1771" t="s">
        <v>99</v>
      </c>
      <c r="E1771" t="s">
        <v>50</v>
      </c>
      <c r="F1771" t="s">
        <v>351</v>
      </c>
      <c r="G1771" t="s">
        <v>52</v>
      </c>
      <c r="H1771" t="s">
        <v>90</v>
      </c>
      <c r="I1771" t="s">
        <v>497</v>
      </c>
      <c r="J1771" t="s">
        <v>3105</v>
      </c>
      <c r="K1771" t="s">
        <v>37</v>
      </c>
      <c r="L1771" t="s">
        <v>187</v>
      </c>
      <c r="M1771" t="s">
        <v>106</v>
      </c>
      <c r="N1771" t="s">
        <v>213</v>
      </c>
      <c r="O1771" s="4">
        <v>6</v>
      </c>
      <c r="P1771" s="4">
        <v>13</v>
      </c>
      <c r="Q1771" t="s">
        <v>142</v>
      </c>
      <c r="R1771" s="2">
        <v>46181</v>
      </c>
      <c r="S1771" s="4">
        <v>22</v>
      </c>
      <c r="T1771" s="3">
        <v>70000000</v>
      </c>
      <c r="U1771" t="s">
        <v>214</v>
      </c>
      <c r="V1771" t="s">
        <v>143</v>
      </c>
      <c r="W1771" t="s">
        <v>215</v>
      </c>
      <c r="Y1771" t="s">
        <v>432</v>
      </c>
      <c r="Z1771" t="s">
        <v>3179</v>
      </c>
      <c r="AA1771" t="s">
        <v>62</v>
      </c>
      <c r="AB1771" t="s">
        <v>97</v>
      </c>
      <c r="AC1771" t="s">
        <v>62</v>
      </c>
    </row>
    <row r="1772" spans="1:29">
      <c r="A1772" t="s">
        <v>2189</v>
      </c>
      <c r="B1772" s="2">
        <v>46188</v>
      </c>
      <c r="C1772" t="s">
        <v>30</v>
      </c>
      <c r="D1772" t="s">
        <v>74</v>
      </c>
      <c r="E1772" t="s">
        <v>50</v>
      </c>
      <c r="F1772" t="s">
        <v>351</v>
      </c>
      <c r="G1772" t="s">
        <v>270</v>
      </c>
      <c r="H1772" t="s">
        <v>90</v>
      </c>
      <c r="I1772" t="s">
        <v>91</v>
      </c>
      <c r="J1772" t="s">
        <v>3012</v>
      </c>
      <c r="K1772" t="s">
        <v>105</v>
      </c>
      <c r="L1772" t="s">
        <v>38</v>
      </c>
      <c r="M1772" t="s">
        <v>81</v>
      </c>
      <c r="N1772" t="s">
        <v>196</v>
      </c>
      <c r="O1772" s="4">
        <v>7</v>
      </c>
      <c r="P1772" s="4">
        <v>16</v>
      </c>
      <c r="Q1772" t="s">
        <v>58</v>
      </c>
      <c r="R1772" s="2">
        <v>46186</v>
      </c>
      <c r="S1772" s="4">
        <v>17</v>
      </c>
      <c r="T1772" s="3">
        <v>299000000</v>
      </c>
      <c r="U1772" t="s">
        <v>196</v>
      </c>
      <c r="V1772" t="s">
        <v>70</v>
      </c>
      <c r="W1772" t="s">
        <v>243</v>
      </c>
      <c r="Y1772" t="s">
        <v>210</v>
      </c>
      <c r="Z1772" t="s">
        <v>3181</v>
      </c>
      <c r="AA1772" t="s">
        <v>62</v>
      </c>
      <c r="AB1772" t="s">
        <v>199</v>
      </c>
      <c r="AC1772" t="s">
        <v>62</v>
      </c>
    </row>
    <row r="1773" spans="1:29">
      <c r="A1773" t="s">
        <v>2190</v>
      </c>
      <c r="B1773" s="2">
        <v>46188</v>
      </c>
      <c r="C1773" t="s">
        <v>30</v>
      </c>
      <c r="D1773" t="s">
        <v>74</v>
      </c>
      <c r="E1773" t="s">
        <v>50</v>
      </c>
      <c r="F1773" t="s">
        <v>89</v>
      </c>
      <c r="G1773" t="s">
        <v>52</v>
      </c>
      <c r="H1773" t="s">
        <v>66</v>
      </c>
      <c r="I1773" t="s">
        <v>849</v>
      </c>
      <c r="J1773" t="s">
        <v>3162</v>
      </c>
      <c r="K1773" t="s">
        <v>56</v>
      </c>
      <c r="L1773" t="s">
        <v>187</v>
      </c>
      <c r="M1773" t="s">
        <v>164</v>
      </c>
      <c r="N1773" t="s">
        <v>40</v>
      </c>
      <c r="O1773" s="4">
        <v>2</v>
      </c>
      <c r="P1773" s="4">
        <v>8</v>
      </c>
      <c r="Q1773" t="s">
        <v>69</v>
      </c>
      <c r="R1773" s="2">
        <v>46185</v>
      </c>
      <c r="S1773" s="4">
        <v>18</v>
      </c>
      <c r="T1773" s="3">
        <v>307000000</v>
      </c>
      <c r="U1773" t="s">
        <v>42</v>
      </c>
      <c r="V1773" t="s">
        <v>59</v>
      </c>
      <c r="W1773" t="s">
        <v>178</v>
      </c>
      <c r="Y1773" t="s">
        <v>45</v>
      </c>
      <c r="Z1773" t="s">
        <v>3178</v>
      </c>
      <c r="AA1773" t="s">
        <v>62</v>
      </c>
      <c r="AB1773" t="s">
        <v>87</v>
      </c>
      <c r="AC1773" t="s">
        <v>62</v>
      </c>
    </row>
    <row r="1774" spans="1:29">
      <c r="A1774" t="s">
        <v>2191</v>
      </c>
      <c r="B1774" s="2">
        <v>46183</v>
      </c>
      <c r="C1774" t="s">
        <v>30</v>
      </c>
      <c r="D1774" t="s">
        <v>99</v>
      </c>
      <c r="E1774" t="s">
        <v>75</v>
      </c>
      <c r="F1774" t="s">
        <v>183</v>
      </c>
      <c r="G1774" t="s">
        <v>387</v>
      </c>
      <c r="H1774" t="s">
        <v>388</v>
      </c>
      <c r="I1774" t="s">
        <v>576</v>
      </c>
      <c r="J1774" t="s">
        <v>3123</v>
      </c>
      <c r="K1774" t="s">
        <v>116</v>
      </c>
      <c r="L1774" t="s">
        <v>187</v>
      </c>
      <c r="M1774" t="s">
        <v>164</v>
      </c>
      <c r="N1774" t="s">
        <v>94</v>
      </c>
      <c r="O1774" s="4">
        <v>4</v>
      </c>
      <c r="P1774" s="4">
        <v>8</v>
      </c>
      <c r="Q1774" t="s">
        <v>58</v>
      </c>
      <c r="R1774" s="2">
        <v>46179</v>
      </c>
      <c r="S1774" s="4">
        <v>24</v>
      </c>
      <c r="T1774" s="3">
        <v>90000000</v>
      </c>
      <c r="U1774" t="s">
        <v>42</v>
      </c>
      <c r="V1774" t="s">
        <v>70</v>
      </c>
      <c r="W1774" t="s">
        <v>95</v>
      </c>
      <c r="Y1774" t="s">
        <v>228</v>
      </c>
      <c r="Z1774" t="s">
        <v>3179</v>
      </c>
      <c r="AA1774" t="s">
        <v>86</v>
      </c>
      <c r="AB1774" t="s">
        <v>97</v>
      </c>
      <c r="AC1774" t="s">
        <v>86</v>
      </c>
    </row>
    <row r="1775" spans="1:29">
      <c r="A1775" t="s">
        <v>2192</v>
      </c>
      <c r="B1775" s="2">
        <v>46176</v>
      </c>
      <c r="C1775" t="s">
        <v>30</v>
      </c>
      <c r="D1775" t="s">
        <v>134</v>
      </c>
      <c r="E1775" t="s">
        <v>75</v>
      </c>
      <c r="F1775" t="s">
        <v>161</v>
      </c>
      <c r="G1775" t="s">
        <v>77</v>
      </c>
      <c r="H1775" t="s">
        <v>388</v>
      </c>
      <c r="I1775" t="s">
        <v>661</v>
      </c>
      <c r="J1775" t="s">
        <v>3144</v>
      </c>
      <c r="K1775" t="s">
        <v>37</v>
      </c>
      <c r="L1775" t="s">
        <v>187</v>
      </c>
      <c r="M1775" t="s">
        <v>81</v>
      </c>
      <c r="N1775" t="s">
        <v>130</v>
      </c>
      <c r="O1775" s="4">
        <v>5</v>
      </c>
      <c r="P1775" s="4">
        <v>7</v>
      </c>
      <c r="Q1775" t="s">
        <v>58</v>
      </c>
      <c r="R1775" s="2">
        <v>46170</v>
      </c>
      <c r="S1775" s="4">
        <v>33</v>
      </c>
      <c r="T1775" s="3">
        <v>276000000</v>
      </c>
      <c r="U1775" t="s">
        <v>42</v>
      </c>
      <c r="V1775" t="s">
        <v>70</v>
      </c>
      <c r="W1775" t="s">
        <v>144</v>
      </c>
      <c r="Y1775" t="s">
        <v>132</v>
      </c>
      <c r="Z1775" t="s">
        <v>3179</v>
      </c>
      <c r="AA1775" t="s">
        <v>86</v>
      </c>
      <c r="AB1775" t="s">
        <v>97</v>
      </c>
      <c r="AC1775" t="s">
        <v>86</v>
      </c>
    </row>
    <row r="1776" spans="1:29">
      <c r="A1776" t="s">
        <v>2193</v>
      </c>
      <c r="B1776" s="2">
        <v>46191</v>
      </c>
      <c r="C1776" t="s">
        <v>30</v>
      </c>
      <c r="D1776" t="s">
        <v>74</v>
      </c>
      <c r="E1776" t="s">
        <v>111</v>
      </c>
      <c r="F1776" t="s">
        <v>112</v>
      </c>
      <c r="G1776" t="s">
        <v>126</v>
      </c>
      <c r="H1776" t="s">
        <v>191</v>
      </c>
      <c r="I1776" t="s">
        <v>467</v>
      </c>
      <c r="J1776" t="s">
        <v>3096</v>
      </c>
      <c r="K1776" t="s">
        <v>56</v>
      </c>
      <c r="L1776" t="s">
        <v>80</v>
      </c>
      <c r="M1776" t="s">
        <v>129</v>
      </c>
      <c r="N1776" t="s">
        <v>40</v>
      </c>
      <c r="O1776" s="4">
        <v>2</v>
      </c>
      <c r="P1776" s="4">
        <v>6</v>
      </c>
      <c r="Q1776" t="s">
        <v>41</v>
      </c>
      <c r="R1776" s="2">
        <v>46191</v>
      </c>
      <c r="S1776" s="4">
        <v>12</v>
      </c>
      <c r="T1776" s="3">
        <v>156000000</v>
      </c>
      <c r="U1776" t="s">
        <v>42</v>
      </c>
      <c r="V1776" t="s">
        <v>59</v>
      </c>
      <c r="W1776" t="s">
        <v>239</v>
      </c>
      <c r="Y1776" t="s">
        <v>309</v>
      </c>
      <c r="Z1776" t="s">
        <v>3178</v>
      </c>
      <c r="AA1776" t="s">
        <v>118</v>
      </c>
      <c r="AB1776" t="s">
        <v>87</v>
      </c>
      <c r="AC1776" t="s">
        <v>118</v>
      </c>
    </row>
    <row r="1777" spans="1:29">
      <c r="A1777" t="s">
        <v>2194</v>
      </c>
      <c r="B1777" s="2">
        <v>46189</v>
      </c>
      <c r="C1777" t="s">
        <v>30</v>
      </c>
      <c r="D1777" t="s">
        <v>74</v>
      </c>
      <c r="E1777" t="s">
        <v>100</v>
      </c>
      <c r="F1777" t="s">
        <v>146</v>
      </c>
      <c r="G1777" t="s">
        <v>147</v>
      </c>
      <c r="H1777" t="s">
        <v>148</v>
      </c>
      <c r="I1777" t="s">
        <v>490</v>
      </c>
      <c r="J1777" t="s">
        <v>3103</v>
      </c>
      <c r="K1777" t="s">
        <v>37</v>
      </c>
      <c r="L1777" t="s">
        <v>80</v>
      </c>
      <c r="M1777" t="s">
        <v>56</v>
      </c>
      <c r="N1777" t="s">
        <v>130</v>
      </c>
      <c r="O1777" s="4">
        <v>5</v>
      </c>
      <c r="P1777" s="4">
        <v>13</v>
      </c>
      <c r="Q1777" t="s">
        <v>107</v>
      </c>
      <c r="R1777" s="2">
        <v>46186</v>
      </c>
      <c r="S1777" s="4">
        <v>17</v>
      </c>
      <c r="T1777" s="3">
        <v>237000000</v>
      </c>
      <c r="U1777" t="s">
        <v>42</v>
      </c>
      <c r="V1777" t="s">
        <v>143</v>
      </c>
      <c r="W1777" t="s">
        <v>355</v>
      </c>
      <c r="Y1777" t="s">
        <v>254</v>
      </c>
      <c r="Z1777" t="s">
        <v>3179</v>
      </c>
      <c r="AA1777" t="s">
        <v>109</v>
      </c>
      <c r="AB1777" t="s">
        <v>97</v>
      </c>
      <c r="AC1777" t="s">
        <v>109</v>
      </c>
    </row>
    <row r="1778" spans="1:29">
      <c r="A1778" t="s">
        <v>2195</v>
      </c>
      <c r="B1778" s="2">
        <v>46194</v>
      </c>
      <c r="C1778" t="s">
        <v>30</v>
      </c>
      <c r="D1778" t="s">
        <v>74</v>
      </c>
      <c r="E1778" t="s">
        <v>152</v>
      </c>
      <c r="F1778" t="s">
        <v>205</v>
      </c>
      <c r="G1778" t="s">
        <v>328</v>
      </c>
      <c r="H1778" t="s">
        <v>207</v>
      </c>
      <c r="I1778" t="s">
        <v>365</v>
      </c>
      <c r="J1778" t="s">
        <v>3063</v>
      </c>
      <c r="K1778" t="s">
        <v>56</v>
      </c>
      <c r="L1778" t="s">
        <v>80</v>
      </c>
      <c r="M1778" t="s">
        <v>106</v>
      </c>
      <c r="N1778" t="s">
        <v>130</v>
      </c>
      <c r="O1778" s="4">
        <v>5</v>
      </c>
      <c r="P1778" s="4">
        <v>10</v>
      </c>
      <c r="Q1778" t="s">
        <v>83</v>
      </c>
      <c r="R1778" s="2">
        <v>46185</v>
      </c>
      <c r="S1778" s="4">
        <v>18</v>
      </c>
      <c r="T1778" s="3">
        <v>287000000</v>
      </c>
      <c r="U1778" t="s">
        <v>42</v>
      </c>
      <c r="V1778" t="s">
        <v>70</v>
      </c>
      <c r="W1778" t="s">
        <v>144</v>
      </c>
      <c r="Y1778" t="s">
        <v>334</v>
      </c>
      <c r="Z1778" t="s">
        <v>3179</v>
      </c>
      <c r="AA1778" t="s">
        <v>159</v>
      </c>
      <c r="AB1778" t="s">
        <v>97</v>
      </c>
      <c r="AC1778" t="s">
        <v>159</v>
      </c>
    </row>
    <row r="1779" spans="1:29">
      <c r="A1779" t="s">
        <v>2196</v>
      </c>
      <c r="B1779" s="2">
        <v>46194</v>
      </c>
      <c r="C1779" t="s">
        <v>30</v>
      </c>
      <c r="D1779" t="s">
        <v>74</v>
      </c>
      <c r="E1779" t="s">
        <v>32</v>
      </c>
      <c r="F1779" t="s">
        <v>273</v>
      </c>
      <c r="G1779" t="s">
        <v>34</v>
      </c>
      <c r="H1779" t="s">
        <v>303</v>
      </c>
      <c r="I1779" t="s">
        <v>1021</v>
      </c>
      <c r="J1779" t="s">
        <v>3171</v>
      </c>
      <c r="K1779" t="s">
        <v>56</v>
      </c>
      <c r="L1779" t="s">
        <v>68</v>
      </c>
      <c r="M1779" t="s">
        <v>56</v>
      </c>
      <c r="N1779" t="s">
        <v>130</v>
      </c>
      <c r="O1779" s="4">
        <v>5</v>
      </c>
      <c r="P1779" s="4">
        <v>6</v>
      </c>
      <c r="Q1779" t="s">
        <v>41</v>
      </c>
      <c r="R1779" s="2">
        <v>46194</v>
      </c>
      <c r="S1779" s="4">
        <v>9</v>
      </c>
      <c r="T1779" s="3">
        <v>451000000</v>
      </c>
      <c r="U1779" t="s">
        <v>426</v>
      </c>
      <c r="V1779" t="s">
        <v>59</v>
      </c>
      <c r="W1779" t="s">
        <v>355</v>
      </c>
      <c r="X1779" t="s">
        <v>179</v>
      </c>
      <c r="Y1779" t="s">
        <v>254</v>
      </c>
      <c r="Z1779" t="s">
        <v>3179</v>
      </c>
      <c r="AA1779" t="s">
        <v>46</v>
      </c>
      <c r="AB1779" t="s">
        <v>97</v>
      </c>
      <c r="AC1779" t="s">
        <v>46</v>
      </c>
    </row>
    <row r="1780" spans="1:29">
      <c r="A1780" t="s">
        <v>2197</v>
      </c>
      <c r="B1780" s="2">
        <v>46179</v>
      </c>
      <c r="C1780" t="s">
        <v>30</v>
      </c>
      <c r="D1780" t="s">
        <v>134</v>
      </c>
      <c r="E1780" t="s">
        <v>152</v>
      </c>
      <c r="F1780" t="s">
        <v>153</v>
      </c>
      <c r="G1780" t="s">
        <v>294</v>
      </c>
      <c r="H1780" t="s">
        <v>155</v>
      </c>
      <c r="I1780" t="s">
        <v>537</v>
      </c>
      <c r="J1780" t="s">
        <v>3113</v>
      </c>
      <c r="K1780" t="s">
        <v>105</v>
      </c>
      <c r="L1780" t="s">
        <v>68</v>
      </c>
      <c r="M1780" t="s">
        <v>129</v>
      </c>
      <c r="N1780" t="s">
        <v>213</v>
      </c>
      <c r="O1780" s="4">
        <v>6</v>
      </c>
      <c r="P1780" s="4">
        <v>17</v>
      </c>
      <c r="Q1780" t="s">
        <v>41</v>
      </c>
      <c r="R1780" s="2">
        <v>46178</v>
      </c>
      <c r="S1780" s="4">
        <v>25</v>
      </c>
      <c r="T1780" s="3">
        <v>341000000</v>
      </c>
      <c r="U1780" t="s">
        <v>260</v>
      </c>
      <c r="V1780" t="s">
        <v>70</v>
      </c>
      <c r="W1780" t="s">
        <v>390</v>
      </c>
      <c r="X1780" t="s">
        <v>261</v>
      </c>
      <c r="Y1780" t="s">
        <v>249</v>
      </c>
      <c r="Z1780" t="s">
        <v>3179</v>
      </c>
      <c r="AA1780" t="s">
        <v>159</v>
      </c>
      <c r="AB1780" t="s">
        <v>97</v>
      </c>
      <c r="AC1780" t="s">
        <v>159</v>
      </c>
    </row>
    <row r="1781" spans="1:29">
      <c r="A1781" t="s">
        <v>2198</v>
      </c>
      <c r="B1781" s="2">
        <v>46174</v>
      </c>
      <c r="C1781" t="s">
        <v>30</v>
      </c>
      <c r="D1781" t="s">
        <v>134</v>
      </c>
      <c r="E1781" t="s">
        <v>100</v>
      </c>
      <c r="F1781" t="s">
        <v>140</v>
      </c>
      <c r="G1781" t="s">
        <v>237</v>
      </c>
      <c r="H1781" t="s">
        <v>148</v>
      </c>
      <c r="I1781" t="s">
        <v>315</v>
      </c>
      <c r="J1781" t="s">
        <v>3049</v>
      </c>
      <c r="K1781" t="s">
        <v>37</v>
      </c>
      <c r="L1781" t="s">
        <v>80</v>
      </c>
      <c r="M1781" t="s">
        <v>129</v>
      </c>
      <c r="N1781" t="s">
        <v>94</v>
      </c>
      <c r="O1781" s="4">
        <v>4</v>
      </c>
      <c r="P1781" s="4">
        <v>12</v>
      </c>
      <c r="Q1781" t="s">
        <v>138</v>
      </c>
      <c r="R1781" s="2">
        <v>46164</v>
      </c>
      <c r="S1781" s="4">
        <v>39</v>
      </c>
      <c r="T1781" s="3">
        <v>213000000</v>
      </c>
      <c r="U1781" t="s">
        <v>260</v>
      </c>
      <c r="V1781" t="s">
        <v>59</v>
      </c>
      <c r="W1781" t="s">
        <v>170</v>
      </c>
      <c r="X1781" t="s">
        <v>381</v>
      </c>
      <c r="Y1781" t="s">
        <v>96</v>
      </c>
      <c r="Z1781" t="s">
        <v>3179</v>
      </c>
      <c r="AA1781" t="s">
        <v>109</v>
      </c>
      <c r="AB1781" t="s">
        <v>97</v>
      </c>
      <c r="AC1781" t="s">
        <v>109</v>
      </c>
    </row>
    <row r="1782" spans="1:29">
      <c r="A1782" t="s">
        <v>2199</v>
      </c>
      <c r="B1782" s="2">
        <v>46195</v>
      </c>
      <c r="C1782" t="s">
        <v>30</v>
      </c>
      <c r="D1782" t="s">
        <v>49</v>
      </c>
      <c r="E1782" t="s">
        <v>111</v>
      </c>
      <c r="F1782" t="s">
        <v>264</v>
      </c>
      <c r="G1782" t="s">
        <v>265</v>
      </c>
      <c r="H1782" t="s">
        <v>114</v>
      </c>
      <c r="I1782" t="s">
        <v>383</v>
      </c>
      <c r="J1782" t="s">
        <v>3070</v>
      </c>
      <c r="K1782" t="s">
        <v>56</v>
      </c>
      <c r="L1782" t="s">
        <v>38</v>
      </c>
      <c r="M1782" t="s">
        <v>106</v>
      </c>
      <c r="N1782" t="s">
        <v>40</v>
      </c>
      <c r="O1782" s="4">
        <v>2</v>
      </c>
      <c r="P1782" s="4">
        <v>9</v>
      </c>
      <c r="Q1782" t="s">
        <v>83</v>
      </c>
      <c r="R1782" s="2">
        <v>46193</v>
      </c>
      <c r="S1782" s="4">
        <v>10</v>
      </c>
      <c r="T1782" s="3">
        <v>144000000</v>
      </c>
      <c r="U1782" t="s">
        <v>42</v>
      </c>
      <c r="V1782" t="s">
        <v>43</v>
      </c>
      <c r="W1782" t="s">
        <v>239</v>
      </c>
      <c r="Y1782" t="s">
        <v>45</v>
      </c>
      <c r="Z1782" t="s">
        <v>3178</v>
      </c>
      <c r="AA1782" t="s">
        <v>118</v>
      </c>
      <c r="AB1782" t="s">
        <v>87</v>
      </c>
      <c r="AC1782" t="s">
        <v>118</v>
      </c>
    </row>
    <row r="1783" spans="1:29">
      <c r="A1783" t="s">
        <v>2200</v>
      </c>
      <c r="B1783" s="2">
        <v>46189</v>
      </c>
      <c r="C1783" t="s">
        <v>30</v>
      </c>
      <c r="D1783" t="s">
        <v>74</v>
      </c>
      <c r="E1783" t="s">
        <v>50</v>
      </c>
      <c r="F1783" t="s">
        <v>51</v>
      </c>
      <c r="G1783" t="s">
        <v>343</v>
      </c>
      <c r="H1783" t="s">
        <v>66</v>
      </c>
      <c r="I1783" t="s">
        <v>902</v>
      </c>
      <c r="J1783" t="s">
        <v>3165</v>
      </c>
      <c r="K1783" t="s">
        <v>37</v>
      </c>
      <c r="L1783" t="s">
        <v>68</v>
      </c>
      <c r="M1783" t="s">
        <v>106</v>
      </c>
      <c r="N1783" t="s">
        <v>94</v>
      </c>
      <c r="O1783" s="4">
        <v>4</v>
      </c>
      <c r="P1783" s="4">
        <v>8</v>
      </c>
      <c r="Q1783" t="s">
        <v>69</v>
      </c>
      <c r="R1783" s="2">
        <v>46179</v>
      </c>
      <c r="S1783" s="4">
        <v>24</v>
      </c>
      <c r="T1783" s="3">
        <v>142000000</v>
      </c>
      <c r="U1783" t="s">
        <v>42</v>
      </c>
      <c r="V1783" t="s">
        <v>59</v>
      </c>
      <c r="W1783" t="s">
        <v>188</v>
      </c>
      <c r="Y1783" t="s">
        <v>268</v>
      </c>
      <c r="Z1783" t="s">
        <v>3179</v>
      </c>
      <c r="AA1783" t="s">
        <v>62</v>
      </c>
      <c r="AB1783" t="s">
        <v>97</v>
      </c>
      <c r="AC1783" t="s">
        <v>62</v>
      </c>
    </row>
    <row r="1784" spans="1:29">
      <c r="A1784" t="s">
        <v>2201</v>
      </c>
      <c r="B1784" s="2">
        <v>46188</v>
      </c>
      <c r="C1784" t="s">
        <v>30</v>
      </c>
      <c r="D1784" t="s">
        <v>74</v>
      </c>
      <c r="E1784" t="s">
        <v>172</v>
      </c>
      <c r="F1784" t="s">
        <v>277</v>
      </c>
      <c r="G1784" t="s">
        <v>278</v>
      </c>
      <c r="H1784" t="s">
        <v>317</v>
      </c>
      <c r="I1784" t="s">
        <v>756</v>
      </c>
      <c r="J1784" t="s">
        <v>3152</v>
      </c>
      <c r="K1784" t="s">
        <v>56</v>
      </c>
      <c r="L1784" t="s">
        <v>80</v>
      </c>
      <c r="M1784" t="s">
        <v>39</v>
      </c>
      <c r="N1784" t="s">
        <v>213</v>
      </c>
      <c r="O1784" s="4">
        <v>6</v>
      </c>
      <c r="P1784" s="4">
        <v>6</v>
      </c>
      <c r="Q1784" t="s">
        <v>83</v>
      </c>
      <c r="R1784" s="2">
        <v>46188</v>
      </c>
      <c r="S1784" s="4">
        <v>15</v>
      </c>
      <c r="T1784" s="3">
        <v>160000000</v>
      </c>
      <c r="U1784" t="s">
        <v>214</v>
      </c>
      <c r="V1784" t="s">
        <v>70</v>
      </c>
      <c r="W1784" t="s">
        <v>248</v>
      </c>
      <c r="Y1784" t="s">
        <v>216</v>
      </c>
      <c r="Z1784" t="s">
        <v>3179</v>
      </c>
      <c r="AA1784" t="s">
        <v>181</v>
      </c>
      <c r="AB1784" t="s">
        <v>97</v>
      </c>
      <c r="AC1784" t="s">
        <v>181</v>
      </c>
    </row>
    <row r="1785" spans="1:29">
      <c r="A1785" t="s">
        <v>2202</v>
      </c>
      <c r="B1785" s="2">
        <v>46175</v>
      </c>
      <c r="C1785" t="s">
        <v>30</v>
      </c>
      <c r="D1785" t="s">
        <v>134</v>
      </c>
      <c r="E1785" t="s">
        <v>100</v>
      </c>
      <c r="F1785" t="s">
        <v>140</v>
      </c>
      <c r="G1785" t="s">
        <v>212</v>
      </c>
      <c r="H1785" t="s">
        <v>103</v>
      </c>
      <c r="I1785" t="s">
        <v>104</v>
      </c>
      <c r="J1785" t="s">
        <v>3013</v>
      </c>
      <c r="K1785" t="s">
        <v>37</v>
      </c>
      <c r="L1785" t="s">
        <v>68</v>
      </c>
      <c r="M1785" t="s">
        <v>81</v>
      </c>
      <c r="N1785" t="s">
        <v>94</v>
      </c>
      <c r="O1785" s="4">
        <v>4</v>
      </c>
      <c r="P1785" s="4">
        <v>22</v>
      </c>
      <c r="Q1785" t="s">
        <v>41</v>
      </c>
      <c r="R1785" s="2">
        <v>46174</v>
      </c>
      <c r="S1785" s="4">
        <v>29</v>
      </c>
      <c r="T1785" s="3">
        <v>260000000</v>
      </c>
      <c r="U1785" t="s">
        <v>42</v>
      </c>
      <c r="V1785" t="s">
        <v>70</v>
      </c>
      <c r="W1785" t="s">
        <v>95</v>
      </c>
      <c r="Y1785" t="s">
        <v>96</v>
      </c>
      <c r="Z1785" t="s">
        <v>3179</v>
      </c>
      <c r="AA1785" t="s">
        <v>109</v>
      </c>
      <c r="AB1785" t="s">
        <v>97</v>
      </c>
      <c r="AC1785" t="s">
        <v>109</v>
      </c>
    </row>
    <row r="1786" spans="1:29">
      <c r="A1786" t="s">
        <v>2203</v>
      </c>
      <c r="B1786" s="2">
        <v>46175</v>
      </c>
      <c r="C1786" t="s">
        <v>30</v>
      </c>
      <c r="D1786" t="s">
        <v>134</v>
      </c>
      <c r="E1786" t="s">
        <v>32</v>
      </c>
      <c r="F1786" t="s">
        <v>256</v>
      </c>
      <c r="G1786" t="s">
        <v>361</v>
      </c>
      <c r="H1786" t="s">
        <v>258</v>
      </c>
      <c r="I1786" t="s">
        <v>568</v>
      </c>
      <c r="J1786" t="s">
        <v>3121</v>
      </c>
      <c r="K1786" t="s">
        <v>37</v>
      </c>
      <c r="L1786" t="s">
        <v>55</v>
      </c>
      <c r="M1786" t="s">
        <v>106</v>
      </c>
      <c r="N1786" t="s">
        <v>82</v>
      </c>
      <c r="O1786" s="4">
        <v>1</v>
      </c>
      <c r="P1786" s="4">
        <v>2</v>
      </c>
      <c r="Q1786" t="s">
        <v>142</v>
      </c>
      <c r="R1786" s="2">
        <v>46167</v>
      </c>
      <c r="S1786" s="4">
        <v>36</v>
      </c>
      <c r="T1786" s="3">
        <v>62000000</v>
      </c>
      <c r="U1786" t="s">
        <v>42</v>
      </c>
      <c r="V1786" t="s">
        <v>43</v>
      </c>
      <c r="W1786" t="s">
        <v>404</v>
      </c>
      <c r="Y1786" t="s">
        <v>305</v>
      </c>
      <c r="Z1786" t="s">
        <v>3176</v>
      </c>
      <c r="AA1786" t="s">
        <v>46</v>
      </c>
      <c r="AB1786" t="s">
        <v>47</v>
      </c>
      <c r="AC1786" t="s">
        <v>46</v>
      </c>
    </row>
    <row r="1787" spans="1:29">
      <c r="A1787" t="s">
        <v>2204</v>
      </c>
      <c r="B1787" s="2">
        <v>46174</v>
      </c>
      <c r="C1787" t="s">
        <v>30</v>
      </c>
      <c r="D1787" t="s">
        <v>134</v>
      </c>
      <c r="E1787" t="s">
        <v>75</v>
      </c>
      <c r="F1787" t="s">
        <v>76</v>
      </c>
      <c r="G1787" t="s">
        <v>387</v>
      </c>
      <c r="H1787" t="s">
        <v>185</v>
      </c>
      <c r="I1787" t="s">
        <v>795</v>
      </c>
      <c r="J1787" t="s">
        <v>3155</v>
      </c>
      <c r="K1787" t="s">
        <v>92</v>
      </c>
      <c r="L1787" t="s">
        <v>187</v>
      </c>
      <c r="M1787" t="s">
        <v>129</v>
      </c>
      <c r="N1787" t="s">
        <v>82</v>
      </c>
      <c r="O1787" s="4">
        <v>1</v>
      </c>
      <c r="P1787" s="4">
        <v>9</v>
      </c>
      <c r="Q1787" t="s">
        <v>83</v>
      </c>
      <c r="R1787" s="2">
        <v>46174</v>
      </c>
      <c r="S1787" s="4">
        <v>29</v>
      </c>
      <c r="T1787" s="3">
        <v>158000000</v>
      </c>
      <c r="U1787" t="s">
        <v>42</v>
      </c>
      <c r="V1787" t="s">
        <v>43</v>
      </c>
      <c r="W1787" t="s">
        <v>359</v>
      </c>
      <c r="Y1787" t="s">
        <v>85</v>
      </c>
      <c r="Z1787" t="s">
        <v>3178</v>
      </c>
      <c r="AA1787" t="s">
        <v>86</v>
      </c>
      <c r="AB1787" t="s">
        <v>87</v>
      </c>
      <c r="AC1787" t="s">
        <v>86</v>
      </c>
    </row>
    <row r="1788" spans="1:29">
      <c r="A1788" t="s">
        <v>2205</v>
      </c>
      <c r="B1788" s="2">
        <v>46199</v>
      </c>
      <c r="C1788" t="s">
        <v>30</v>
      </c>
      <c r="D1788" t="s">
        <v>49</v>
      </c>
      <c r="E1788" t="s">
        <v>120</v>
      </c>
      <c r="F1788" t="s">
        <v>246</v>
      </c>
      <c r="G1788" t="s">
        <v>420</v>
      </c>
      <c r="H1788" t="s">
        <v>300</v>
      </c>
      <c r="I1788" t="s">
        <v>421</v>
      </c>
      <c r="J1788" t="s">
        <v>3080</v>
      </c>
      <c r="K1788" t="s">
        <v>116</v>
      </c>
      <c r="L1788" t="s">
        <v>38</v>
      </c>
      <c r="M1788" t="s">
        <v>106</v>
      </c>
      <c r="N1788" t="s">
        <v>130</v>
      </c>
      <c r="O1788" s="4">
        <v>5</v>
      </c>
      <c r="P1788" s="4">
        <v>13</v>
      </c>
      <c r="Q1788" t="s">
        <v>41</v>
      </c>
      <c r="R1788" s="2">
        <v>46193</v>
      </c>
      <c r="S1788" s="4">
        <v>10</v>
      </c>
      <c r="T1788" s="3">
        <v>49000000</v>
      </c>
      <c r="U1788" t="s">
        <v>42</v>
      </c>
      <c r="V1788" t="s">
        <v>143</v>
      </c>
      <c r="W1788" t="s">
        <v>355</v>
      </c>
      <c r="Y1788" t="s">
        <v>254</v>
      </c>
      <c r="Z1788" t="s">
        <v>3179</v>
      </c>
      <c r="AA1788" t="s">
        <v>97</v>
      </c>
      <c r="AB1788" t="s">
        <v>97</v>
      </c>
      <c r="AC1788" t="s">
        <v>97</v>
      </c>
    </row>
    <row r="1789" spans="1:29">
      <c r="A1789" t="s">
        <v>2206</v>
      </c>
      <c r="B1789" s="2">
        <v>46189</v>
      </c>
      <c r="C1789" t="s">
        <v>30</v>
      </c>
      <c r="D1789" t="s">
        <v>74</v>
      </c>
      <c r="E1789" t="s">
        <v>120</v>
      </c>
      <c r="F1789" t="s">
        <v>167</v>
      </c>
      <c r="G1789" t="s">
        <v>227</v>
      </c>
      <c r="H1789" t="s">
        <v>123</v>
      </c>
      <c r="I1789" t="s">
        <v>459</v>
      </c>
      <c r="J1789" t="s">
        <v>3093</v>
      </c>
      <c r="K1789" t="s">
        <v>37</v>
      </c>
      <c r="L1789" t="s">
        <v>38</v>
      </c>
      <c r="M1789" t="s">
        <v>93</v>
      </c>
      <c r="N1789" t="s">
        <v>40</v>
      </c>
      <c r="O1789" s="4">
        <v>2</v>
      </c>
      <c r="P1789" s="4">
        <v>11</v>
      </c>
      <c r="Q1789" t="s">
        <v>69</v>
      </c>
      <c r="R1789" s="2">
        <v>46179</v>
      </c>
      <c r="S1789" s="4">
        <v>24</v>
      </c>
      <c r="T1789" s="3">
        <v>248000000</v>
      </c>
      <c r="U1789" t="s">
        <v>42</v>
      </c>
      <c r="V1789" t="s">
        <v>59</v>
      </c>
      <c r="W1789" t="s">
        <v>178</v>
      </c>
      <c r="Y1789" t="s">
        <v>180</v>
      </c>
      <c r="Z1789" t="s">
        <v>3178</v>
      </c>
      <c r="AA1789" t="s">
        <v>97</v>
      </c>
      <c r="AB1789" t="s">
        <v>87</v>
      </c>
      <c r="AC1789" t="s">
        <v>97</v>
      </c>
    </row>
    <row r="1790" spans="1:29">
      <c r="A1790" t="s">
        <v>2207</v>
      </c>
      <c r="B1790" s="2">
        <v>46197</v>
      </c>
      <c r="C1790" t="s">
        <v>30</v>
      </c>
      <c r="D1790" t="s">
        <v>49</v>
      </c>
      <c r="E1790" t="s">
        <v>172</v>
      </c>
      <c r="F1790" t="s">
        <v>173</v>
      </c>
      <c r="G1790" t="s">
        <v>278</v>
      </c>
      <c r="H1790" t="s">
        <v>317</v>
      </c>
      <c r="I1790" t="s">
        <v>1124</v>
      </c>
      <c r="J1790" t="s">
        <v>3173</v>
      </c>
      <c r="K1790" t="s">
        <v>37</v>
      </c>
      <c r="L1790" t="s">
        <v>68</v>
      </c>
      <c r="M1790" t="s">
        <v>164</v>
      </c>
      <c r="N1790" t="s">
        <v>82</v>
      </c>
      <c r="O1790" s="4">
        <v>1</v>
      </c>
      <c r="P1790" s="4">
        <v>4</v>
      </c>
      <c r="Q1790" t="s">
        <v>41</v>
      </c>
      <c r="R1790" s="2">
        <v>46193</v>
      </c>
      <c r="S1790" s="4">
        <v>10</v>
      </c>
      <c r="T1790" s="3">
        <v>248000000</v>
      </c>
      <c r="U1790" t="s">
        <v>42</v>
      </c>
      <c r="V1790" t="s">
        <v>43</v>
      </c>
      <c r="W1790" t="s">
        <v>290</v>
      </c>
      <c r="Y1790" t="s">
        <v>85</v>
      </c>
      <c r="Z1790" t="s">
        <v>3176</v>
      </c>
      <c r="AA1790" t="s">
        <v>181</v>
      </c>
      <c r="AB1790" t="s">
        <v>47</v>
      </c>
      <c r="AC1790" t="s">
        <v>181</v>
      </c>
    </row>
    <row r="1791" spans="1:29">
      <c r="A1791" t="s">
        <v>2208</v>
      </c>
      <c r="B1791" s="2">
        <v>46187</v>
      </c>
      <c r="C1791" t="s">
        <v>30</v>
      </c>
      <c r="D1791" t="s">
        <v>99</v>
      </c>
      <c r="E1791" t="s">
        <v>111</v>
      </c>
      <c r="F1791" t="s">
        <v>264</v>
      </c>
      <c r="G1791" t="s">
        <v>251</v>
      </c>
      <c r="H1791" t="s">
        <v>191</v>
      </c>
      <c r="I1791" t="s">
        <v>578</v>
      </c>
      <c r="J1791" t="s">
        <v>3124</v>
      </c>
      <c r="K1791" t="s">
        <v>37</v>
      </c>
      <c r="L1791" t="s">
        <v>55</v>
      </c>
      <c r="M1791" t="s">
        <v>56</v>
      </c>
      <c r="N1791" t="s">
        <v>196</v>
      </c>
      <c r="O1791" s="4">
        <v>7</v>
      </c>
      <c r="P1791" s="4">
        <v>13</v>
      </c>
      <c r="Q1791" t="s">
        <v>58</v>
      </c>
      <c r="R1791" s="2">
        <v>46181</v>
      </c>
      <c r="S1791" s="4">
        <v>22</v>
      </c>
      <c r="T1791" s="3">
        <v>167000000</v>
      </c>
      <c r="U1791" t="s">
        <v>196</v>
      </c>
      <c r="V1791" t="s">
        <v>70</v>
      </c>
      <c r="W1791" t="s">
        <v>243</v>
      </c>
      <c r="Y1791" t="s">
        <v>244</v>
      </c>
      <c r="Z1791" t="s">
        <v>3181</v>
      </c>
      <c r="AA1791" t="s">
        <v>118</v>
      </c>
      <c r="AB1791" t="s">
        <v>199</v>
      </c>
      <c r="AC1791" t="s">
        <v>118</v>
      </c>
    </row>
    <row r="1792" spans="1:29">
      <c r="A1792" t="s">
        <v>2209</v>
      </c>
      <c r="B1792" s="2">
        <v>46188</v>
      </c>
      <c r="C1792" t="s">
        <v>30</v>
      </c>
      <c r="D1792" t="s">
        <v>74</v>
      </c>
      <c r="E1792" t="s">
        <v>32</v>
      </c>
      <c r="F1792" t="s">
        <v>256</v>
      </c>
      <c r="G1792" t="s">
        <v>218</v>
      </c>
      <c r="H1792" t="s">
        <v>303</v>
      </c>
      <c r="I1792" t="s">
        <v>304</v>
      </c>
      <c r="J1792" t="s">
        <v>3046</v>
      </c>
      <c r="K1792" t="s">
        <v>92</v>
      </c>
      <c r="L1792" t="s">
        <v>80</v>
      </c>
      <c r="M1792" t="s">
        <v>56</v>
      </c>
      <c r="N1792" t="s">
        <v>40</v>
      </c>
      <c r="O1792" s="4">
        <v>2</v>
      </c>
      <c r="P1792" s="4">
        <v>4</v>
      </c>
      <c r="Q1792" t="s">
        <v>83</v>
      </c>
      <c r="R1792" s="2">
        <v>46188</v>
      </c>
      <c r="S1792" s="4">
        <v>15</v>
      </c>
      <c r="T1792" s="3">
        <v>220000000</v>
      </c>
      <c r="U1792" t="s">
        <v>42</v>
      </c>
      <c r="V1792" t="s">
        <v>43</v>
      </c>
      <c r="W1792" t="s">
        <v>178</v>
      </c>
      <c r="Y1792" t="s">
        <v>180</v>
      </c>
      <c r="Z1792" t="s">
        <v>3176</v>
      </c>
      <c r="AA1792" t="s">
        <v>46</v>
      </c>
      <c r="AB1792" t="s">
        <v>47</v>
      </c>
      <c r="AC1792" t="s">
        <v>46</v>
      </c>
    </row>
    <row r="1793" spans="1:29">
      <c r="A1793" t="s">
        <v>2210</v>
      </c>
      <c r="B1793" s="2">
        <v>46174</v>
      </c>
      <c r="C1793" t="s">
        <v>30</v>
      </c>
      <c r="D1793" t="s">
        <v>134</v>
      </c>
      <c r="E1793" t="s">
        <v>111</v>
      </c>
      <c r="F1793" t="s">
        <v>190</v>
      </c>
      <c r="G1793" t="s">
        <v>348</v>
      </c>
      <c r="H1793" t="s">
        <v>127</v>
      </c>
      <c r="I1793" t="s">
        <v>349</v>
      </c>
      <c r="J1793" t="s">
        <v>3059</v>
      </c>
      <c r="K1793" t="s">
        <v>56</v>
      </c>
      <c r="L1793" t="s">
        <v>80</v>
      </c>
      <c r="M1793" t="s">
        <v>164</v>
      </c>
      <c r="N1793" t="s">
        <v>196</v>
      </c>
      <c r="O1793" s="4">
        <v>7</v>
      </c>
      <c r="P1793" s="4">
        <v>9</v>
      </c>
      <c r="Q1793" t="s">
        <v>69</v>
      </c>
      <c r="R1793" s="2">
        <v>46174</v>
      </c>
      <c r="S1793" s="4">
        <v>29</v>
      </c>
      <c r="T1793" s="3">
        <v>503000000</v>
      </c>
      <c r="U1793" t="s">
        <v>196</v>
      </c>
      <c r="V1793" t="s">
        <v>70</v>
      </c>
      <c r="W1793" t="s">
        <v>243</v>
      </c>
      <c r="Y1793" t="s">
        <v>198</v>
      </c>
      <c r="Z1793" t="s">
        <v>3181</v>
      </c>
      <c r="AA1793" t="s">
        <v>118</v>
      </c>
      <c r="AB1793" t="s">
        <v>199</v>
      </c>
      <c r="AC1793" t="s">
        <v>118</v>
      </c>
    </row>
    <row r="1794" spans="1:29">
      <c r="A1794" t="s">
        <v>2211</v>
      </c>
      <c r="B1794" s="2">
        <v>46183</v>
      </c>
      <c r="C1794" t="s">
        <v>30</v>
      </c>
      <c r="D1794" t="s">
        <v>99</v>
      </c>
      <c r="E1794" t="s">
        <v>75</v>
      </c>
      <c r="F1794" t="s">
        <v>183</v>
      </c>
      <c r="G1794" t="s">
        <v>387</v>
      </c>
      <c r="H1794" t="s">
        <v>185</v>
      </c>
      <c r="I1794" t="s">
        <v>186</v>
      </c>
      <c r="J1794" t="s">
        <v>3024</v>
      </c>
      <c r="K1794" t="s">
        <v>37</v>
      </c>
      <c r="L1794" t="s">
        <v>55</v>
      </c>
      <c r="M1794" t="s">
        <v>81</v>
      </c>
      <c r="N1794" t="s">
        <v>130</v>
      </c>
      <c r="O1794" s="4">
        <v>5</v>
      </c>
      <c r="P1794" s="4">
        <v>7</v>
      </c>
      <c r="Q1794" t="s">
        <v>142</v>
      </c>
      <c r="R1794" s="2">
        <v>46182</v>
      </c>
      <c r="S1794" s="4">
        <v>21</v>
      </c>
      <c r="T1794" s="3">
        <v>149000000</v>
      </c>
      <c r="U1794" t="s">
        <v>42</v>
      </c>
      <c r="V1794" t="s">
        <v>143</v>
      </c>
      <c r="W1794" t="s">
        <v>131</v>
      </c>
      <c r="X1794" t="s">
        <v>117</v>
      </c>
      <c r="Y1794" t="s">
        <v>334</v>
      </c>
      <c r="Z1794" t="s">
        <v>3179</v>
      </c>
      <c r="AA1794" t="s">
        <v>86</v>
      </c>
      <c r="AB1794" t="s">
        <v>97</v>
      </c>
      <c r="AC1794" t="s">
        <v>86</v>
      </c>
    </row>
    <row r="1795" spans="1:29">
      <c r="A1795" t="s">
        <v>2212</v>
      </c>
      <c r="B1795" s="2">
        <v>46200</v>
      </c>
      <c r="C1795" t="s">
        <v>30</v>
      </c>
      <c r="D1795" t="s">
        <v>49</v>
      </c>
      <c r="E1795" t="s">
        <v>152</v>
      </c>
      <c r="F1795" t="s">
        <v>153</v>
      </c>
      <c r="G1795" t="s">
        <v>294</v>
      </c>
      <c r="H1795" t="s">
        <v>283</v>
      </c>
      <c r="I1795" t="s">
        <v>287</v>
      </c>
      <c r="J1795" t="s">
        <v>3042</v>
      </c>
      <c r="K1795" t="s">
        <v>37</v>
      </c>
      <c r="L1795" t="s">
        <v>38</v>
      </c>
      <c r="M1795" t="s">
        <v>106</v>
      </c>
      <c r="N1795" t="s">
        <v>82</v>
      </c>
      <c r="O1795" s="4">
        <v>1</v>
      </c>
      <c r="P1795" s="4">
        <v>16</v>
      </c>
      <c r="Q1795" t="s">
        <v>58</v>
      </c>
      <c r="R1795" s="2">
        <v>46200</v>
      </c>
      <c r="S1795" s="4">
        <v>3</v>
      </c>
      <c r="T1795" s="3">
        <v>139000000</v>
      </c>
      <c r="U1795" t="s">
        <v>42</v>
      </c>
      <c r="V1795" t="s">
        <v>43</v>
      </c>
      <c r="W1795" t="s">
        <v>404</v>
      </c>
      <c r="Y1795" t="s">
        <v>305</v>
      </c>
      <c r="Z1795" t="s">
        <v>3180</v>
      </c>
      <c r="AA1795" t="s">
        <v>159</v>
      </c>
      <c r="AB1795" t="s">
        <v>193</v>
      </c>
      <c r="AC1795" t="s">
        <v>159</v>
      </c>
    </row>
    <row r="1796" spans="1:29">
      <c r="A1796" t="s">
        <v>2213</v>
      </c>
      <c r="B1796" s="2">
        <v>46198</v>
      </c>
      <c r="C1796" t="s">
        <v>30</v>
      </c>
      <c r="D1796" t="s">
        <v>49</v>
      </c>
      <c r="E1796" t="s">
        <v>172</v>
      </c>
      <c r="F1796" t="s">
        <v>173</v>
      </c>
      <c r="G1796" t="s">
        <v>174</v>
      </c>
      <c r="H1796" t="s">
        <v>317</v>
      </c>
      <c r="I1796" t="s">
        <v>478</v>
      </c>
      <c r="J1796" t="s">
        <v>3099</v>
      </c>
      <c r="K1796" t="s">
        <v>37</v>
      </c>
      <c r="L1796" t="s">
        <v>187</v>
      </c>
      <c r="M1796" t="s">
        <v>93</v>
      </c>
      <c r="N1796" t="s">
        <v>40</v>
      </c>
      <c r="O1796" s="4">
        <v>2</v>
      </c>
      <c r="P1796" s="4">
        <v>7</v>
      </c>
      <c r="Q1796" t="s">
        <v>69</v>
      </c>
      <c r="R1796" s="2">
        <v>46191</v>
      </c>
      <c r="S1796" s="4">
        <v>12</v>
      </c>
      <c r="T1796" s="3">
        <v>151000000</v>
      </c>
      <c r="U1796" t="s">
        <v>42</v>
      </c>
      <c r="V1796" t="s">
        <v>43</v>
      </c>
      <c r="W1796" t="s">
        <v>298</v>
      </c>
      <c r="Y1796" t="s">
        <v>281</v>
      </c>
      <c r="Z1796" t="s">
        <v>3178</v>
      </c>
      <c r="AA1796" t="s">
        <v>181</v>
      </c>
      <c r="AB1796" t="s">
        <v>87</v>
      </c>
      <c r="AC1796" t="s">
        <v>181</v>
      </c>
    </row>
    <row r="1797" spans="1:29">
      <c r="A1797" t="s">
        <v>2214</v>
      </c>
      <c r="B1797" s="2">
        <v>46177</v>
      </c>
      <c r="C1797" t="s">
        <v>30</v>
      </c>
      <c r="D1797" t="s">
        <v>134</v>
      </c>
      <c r="E1797" t="s">
        <v>32</v>
      </c>
      <c r="F1797" t="s">
        <v>256</v>
      </c>
      <c r="G1797" t="s">
        <v>218</v>
      </c>
      <c r="H1797" t="s">
        <v>303</v>
      </c>
      <c r="I1797" t="s">
        <v>304</v>
      </c>
      <c r="J1797" t="s">
        <v>3046</v>
      </c>
      <c r="K1797" t="s">
        <v>116</v>
      </c>
      <c r="L1797" t="s">
        <v>169</v>
      </c>
      <c r="M1797" t="s">
        <v>81</v>
      </c>
      <c r="N1797" t="s">
        <v>196</v>
      </c>
      <c r="O1797" s="4">
        <v>7</v>
      </c>
      <c r="P1797" s="4">
        <v>7</v>
      </c>
      <c r="Q1797" t="s">
        <v>138</v>
      </c>
      <c r="R1797" s="2">
        <v>46174</v>
      </c>
      <c r="S1797" s="4">
        <v>29</v>
      </c>
      <c r="T1797" s="3">
        <v>109000000</v>
      </c>
      <c r="U1797" t="s">
        <v>196</v>
      </c>
      <c r="V1797" t="s">
        <v>70</v>
      </c>
      <c r="W1797" t="s">
        <v>675</v>
      </c>
      <c r="Y1797" t="s">
        <v>244</v>
      </c>
      <c r="Z1797" t="s">
        <v>3181</v>
      </c>
      <c r="AA1797" t="s">
        <v>46</v>
      </c>
      <c r="AB1797" t="s">
        <v>199</v>
      </c>
      <c r="AC1797" t="s">
        <v>46</v>
      </c>
    </row>
    <row r="1798" spans="1:29">
      <c r="A1798" t="s">
        <v>2215</v>
      </c>
      <c r="B1798" s="2">
        <v>46188</v>
      </c>
      <c r="C1798" t="s">
        <v>30</v>
      </c>
      <c r="D1798" t="s">
        <v>74</v>
      </c>
      <c r="E1798" t="s">
        <v>120</v>
      </c>
      <c r="F1798" t="s">
        <v>167</v>
      </c>
      <c r="G1798" t="s">
        <v>224</v>
      </c>
      <c r="H1798" t="s">
        <v>123</v>
      </c>
      <c r="I1798" t="s">
        <v>124</v>
      </c>
      <c r="J1798" t="s">
        <v>3015</v>
      </c>
      <c r="K1798" t="s">
        <v>105</v>
      </c>
      <c r="L1798" t="s">
        <v>187</v>
      </c>
      <c r="M1798" t="s">
        <v>81</v>
      </c>
      <c r="N1798" t="s">
        <v>130</v>
      </c>
      <c r="O1798" s="4">
        <v>5</v>
      </c>
      <c r="P1798" s="4">
        <v>6</v>
      </c>
      <c r="Q1798" t="s">
        <v>83</v>
      </c>
      <c r="R1798" s="2">
        <v>46182</v>
      </c>
      <c r="S1798" s="4">
        <v>21</v>
      </c>
      <c r="T1798" s="3">
        <v>366000000</v>
      </c>
      <c r="U1798" t="s">
        <v>42</v>
      </c>
      <c r="V1798" t="s">
        <v>143</v>
      </c>
      <c r="W1798" t="s">
        <v>355</v>
      </c>
      <c r="Y1798" t="s">
        <v>334</v>
      </c>
      <c r="Z1798" t="s">
        <v>3179</v>
      </c>
      <c r="AA1798" t="s">
        <v>97</v>
      </c>
      <c r="AB1798" t="s">
        <v>97</v>
      </c>
      <c r="AC1798" t="s">
        <v>97</v>
      </c>
    </row>
    <row r="1799" spans="1:29">
      <c r="A1799" t="s">
        <v>2216</v>
      </c>
      <c r="B1799" s="2">
        <v>46193</v>
      </c>
      <c r="C1799" t="s">
        <v>30</v>
      </c>
      <c r="D1799" t="s">
        <v>74</v>
      </c>
      <c r="E1799" t="s">
        <v>172</v>
      </c>
      <c r="F1799" t="s">
        <v>195</v>
      </c>
      <c r="G1799" t="s">
        <v>338</v>
      </c>
      <c r="H1799" t="s">
        <v>175</v>
      </c>
      <c r="I1799" t="s">
        <v>358</v>
      </c>
      <c r="J1799" t="s">
        <v>3062</v>
      </c>
      <c r="K1799" t="s">
        <v>56</v>
      </c>
      <c r="L1799" t="s">
        <v>187</v>
      </c>
      <c r="M1799" t="s">
        <v>39</v>
      </c>
      <c r="N1799" t="s">
        <v>57</v>
      </c>
      <c r="O1799" s="4">
        <v>3</v>
      </c>
      <c r="P1799" s="4">
        <v>3</v>
      </c>
      <c r="Q1799" t="s">
        <v>41</v>
      </c>
      <c r="R1799" s="2">
        <v>46186</v>
      </c>
      <c r="S1799" s="4">
        <v>17</v>
      </c>
      <c r="T1799" s="3">
        <v>324000000</v>
      </c>
      <c r="U1799" t="s">
        <v>42</v>
      </c>
      <c r="V1799" t="s">
        <v>59</v>
      </c>
      <c r="W1799" t="s">
        <v>60</v>
      </c>
      <c r="Y1799" t="s">
        <v>158</v>
      </c>
      <c r="Z1799" t="s">
        <v>3177</v>
      </c>
      <c r="AA1799" t="s">
        <v>181</v>
      </c>
      <c r="AB1799" t="s">
        <v>63</v>
      </c>
      <c r="AC1799" t="s">
        <v>181</v>
      </c>
    </row>
    <row r="1800" spans="1:29">
      <c r="A1800" t="s">
        <v>2217</v>
      </c>
      <c r="B1800" s="2">
        <v>46184</v>
      </c>
      <c r="C1800" t="s">
        <v>30</v>
      </c>
      <c r="D1800" t="s">
        <v>99</v>
      </c>
      <c r="E1800" t="s">
        <v>100</v>
      </c>
      <c r="F1800" t="s">
        <v>101</v>
      </c>
      <c r="G1800" t="s">
        <v>313</v>
      </c>
      <c r="H1800" t="s">
        <v>201</v>
      </c>
      <c r="I1800" t="s">
        <v>202</v>
      </c>
      <c r="J1800" t="s">
        <v>3026</v>
      </c>
      <c r="K1800" t="s">
        <v>37</v>
      </c>
      <c r="L1800" t="s">
        <v>80</v>
      </c>
      <c r="M1800" t="s">
        <v>81</v>
      </c>
      <c r="N1800" t="s">
        <v>196</v>
      </c>
      <c r="O1800" s="4">
        <v>7</v>
      </c>
      <c r="P1800" s="4">
        <v>20</v>
      </c>
      <c r="Q1800" t="s">
        <v>138</v>
      </c>
      <c r="R1800" s="2">
        <v>46175</v>
      </c>
      <c r="S1800" s="4">
        <v>28</v>
      </c>
      <c r="T1800" s="3">
        <v>75000000</v>
      </c>
      <c r="U1800" t="s">
        <v>196</v>
      </c>
      <c r="V1800" t="s">
        <v>70</v>
      </c>
      <c r="W1800" t="s">
        <v>243</v>
      </c>
      <c r="Y1800" t="s">
        <v>369</v>
      </c>
      <c r="Z1800" t="s">
        <v>3181</v>
      </c>
      <c r="AA1800" t="s">
        <v>109</v>
      </c>
      <c r="AB1800" t="s">
        <v>199</v>
      </c>
      <c r="AC1800" t="s">
        <v>109</v>
      </c>
    </row>
    <row r="1801" spans="1:29">
      <c r="A1801" t="s">
        <v>2218</v>
      </c>
      <c r="B1801" s="2">
        <v>46190</v>
      </c>
      <c r="C1801" t="s">
        <v>30</v>
      </c>
      <c r="D1801" t="s">
        <v>74</v>
      </c>
      <c r="E1801" t="s">
        <v>100</v>
      </c>
      <c r="F1801" t="s">
        <v>146</v>
      </c>
      <c r="G1801" t="s">
        <v>102</v>
      </c>
      <c r="H1801" t="s">
        <v>103</v>
      </c>
      <c r="I1801" t="s">
        <v>141</v>
      </c>
      <c r="J1801" t="s">
        <v>3018</v>
      </c>
      <c r="K1801" t="s">
        <v>105</v>
      </c>
      <c r="L1801" t="s">
        <v>169</v>
      </c>
      <c r="M1801" t="s">
        <v>93</v>
      </c>
      <c r="N1801" t="s">
        <v>94</v>
      </c>
      <c r="O1801" s="4">
        <v>4</v>
      </c>
      <c r="P1801" s="4">
        <v>18</v>
      </c>
      <c r="Q1801" t="s">
        <v>41</v>
      </c>
      <c r="R1801" s="2">
        <v>46189</v>
      </c>
      <c r="S1801" s="4">
        <v>14</v>
      </c>
      <c r="T1801" s="3">
        <v>142000000</v>
      </c>
      <c r="U1801" t="s">
        <v>42</v>
      </c>
      <c r="V1801" t="s">
        <v>70</v>
      </c>
      <c r="W1801" t="s">
        <v>188</v>
      </c>
      <c r="Y1801" t="s">
        <v>228</v>
      </c>
      <c r="Z1801" t="s">
        <v>3179</v>
      </c>
      <c r="AA1801" t="s">
        <v>109</v>
      </c>
      <c r="AB1801" t="s">
        <v>97</v>
      </c>
      <c r="AC1801" t="s">
        <v>109</v>
      </c>
    </row>
    <row r="1802" spans="1:29">
      <c r="A1802" t="s">
        <v>2219</v>
      </c>
      <c r="B1802" s="2">
        <v>46194</v>
      </c>
      <c r="C1802" t="s">
        <v>30</v>
      </c>
      <c r="D1802" t="s">
        <v>74</v>
      </c>
      <c r="E1802" t="s">
        <v>32</v>
      </c>
      <c r="F1802" t="s">
        <v>33</v>
      </c>
      <c r="G1802" t="s">
        <v>218</v>
      </c>
      <c r="H1802" t="s">
        <v>35</v>
      </c>
      <c r="I1802" t="s">
        <v>595</v>
      </c>
      <c r="J1802" t="s">
        <v>3128</v>
      </c>
      <c r="K1802" t="s">
        <v>56</v>
      </c>
      <c r="L1802" t="s">
        <v>80</v>
      </c>
      <c r="M1802" t="s">
        <v>106</v>
      </c>
      <c r="N1802" t="s">
        <v>82</v>
      </c>
      <c r="O1802" s="4">
        <v>1</v>
      </c>
      <c r="P1802" s="4">
        <v>1</v>
      </c>
      <c r="Q1802" t="s">
        <v>138</v>
      </c>
      <c r="R1802" s="2">
        <v>46185</v>
      </c>
      <c r="S1802" s="4">
        <v>18</v>
      </c>
      <c r="T1802" s="3">
        <v>366000000</v>
      </c>
      <c r="U1802" t="s">
        <v>260</v>
      </c>
      <c r="V1802" t="s">
        <v>43</v>
      </c>
      <c r="W1802" t="s">
        <v>84</v>
      </c>
      <c r="X1802" t="s">
        <v>179</v>
      </c>
      <c r="Y1802" t="s">
        <v>291</v>
      </c>
      <c r="Z1802" t="s">
        <v>3176</v>
      </c>
      <c r="AA1802" t="s">
        <v>46</v>
      </c>
      <c r="AB1802" t="s">
        <v>47</v>
      </c>
      <c r="AC1802" t="s">
        <v>46</v>
      </c>
    </row>
    <row r="1803" spans="1:29">
      <c r="A1803" t="s">
        <v>2220</v>
      </c>
      <c r="B1803" s="2">
        <v>46189</v>
      </c>
      <c r="C1803" t="s">
        <v>30</v>
      </c>
      <c r="D1803" t="s">
        <v>74</v>
      </c>
      <c r="E1803" t="s">
        <v>172</v>
      </c>
      <c r="F1803" t="s">
        <v>277</v>
      </c>
      <c r="G1803" t="s">
        <v>278</v>
      </c>
      <c r="H1803" t="s">
        <v>241</v>
      </c>
      <c r="I1803" t="s">
        <v>559</v>
      </c>
      <c r="J1803" t="s">
        <v>3119</v>
      </c>
      <c r="K1803" t="s">
        <v>56</v>
      </c>
      <c r="L1803" t="s">
        <v>187</v>
      </c>
      <c r="M1803" t="s">
        <v>56</v>
      </c>
      <c r="N1803" t="s">
        <v>40</v>
      </c>
      <c r="O1803" s="4">
        <v>2</v>
      </c>
      <c r="P1803" s="4">
        <v>16</v>
      </c>
      <c r="Q1803" t="s">
        <v>83</v>
      </c>
      <c r="R1803" s="2">
        <v>46187</v>
      </c>
      <c r="S1803" s="4">
        <v>16</v>
      </c>
      <c r="T1803" s="3">
        <v>200000000</v>
      </c>
      <c r="U1803" t="s">
        <v>42</v>
      </c>
      <c r="V1803" t="s">
        <v>59</v>
      </c>
      <c r="W1803" t="s">
        <v>239</v>
      </c>
      <c r="Y1803" t="s">
        <v>281</v>
      </c>
      <c r="Z1803" t="s">
        <v>3180</v>
      </c>
      <c r="AA1803" t="s">
        <v>181</v>
      </c>
      <c r="AB1803" t="s">
        <v>193</v>
      </c>
      <c r="AC1803" t="s">
        <v>181</v>
      </c>
    </row>
    <row r="1804" spans="1:29">
      <c r="A1804" t="s">
        <v>2221</v>
      </c>
      <c r="B1804" s="2">
        <v>46181</v>
      </c>
      <c r="C1804" t="s">
        <v>30</v>
      </c>
      <c r="D1804" t="s">
        <v>99</v>
      </c>
      <c r="E1804" t="s">
        <v>152</v>
      </c>
      <c r="F1804" t="s">
        <v>205</v>
      </c>
      <c r="G1804" t="s">
        <v>154</v>
      </c>
      <c r="H1804" t="s">
        <v>207</v>
      </c>
      <c r="I1804" t="s">
        <v>208</v>
      </c>
      <c r="J1804" t="s">
        <v>3027</v>
      </c>
      <c r="K1804" t="s">
        <v>105</v>
      </c>
      <c r="L1804" t="s">
        <v>187</v>
      </c>
      <c r="M1804" t="s">
        <v>106</v>
      </c>
      <c r="N1804" t="s">
        <v>40</v>
      </c>
      <c r="O1804" s="4">
        <v>2</v>
      </c>
      <c r="P1804" s="4">
        <v>10</v>
      </c>
      <c r="Q1804" t="s">
        <v>41</v>
      </c>
      <c r="R1804" s="2">
        <v>46174</v>
      </c>
      <c r="S1804" s="4">
        <v>29</v>
      </c>
      <c r="T1804" s="3">
        <v>107000000</v>
      </c>
      <c r="U1804" t="s">
        <v>42</v>
      </c>
      <c r="V1804" t="s">
        <v>43</v>
      </c>
      <c r="W1804" t="s">
        <v>298</v>
      </c>
      <c r="Y1804" t="s">
        <v>45</v>
      </c>
      <c r="Z1804" t="s">
        <v>3178</v>
      </c>
      <c r="AA1804" t="s">
        <v>159</v>
      </c>
      <c r="AB1804" t="s">
        <v>87</v>
      </c>
      <c r="AC1804" t="s">
        <v>159</v>
      </c>
    </row>
    <row r="1805" spans="1:29">
      <c r="A1805" t="s">
        <v>2222</v>
      </c>
      <c r="B1805" s="2">
        <v>46201</v>
      </c>
      <c r="C1805" t="s">
        <v>30</v>
      </c>
      <c r="D1805" t="s">
        <v>49</v>
      </c>
      <c r="E1805" t="s">
        <v>152</v>
      </c>
      <c r="F1805" t="s">
        <v>221</v>
      </c>
      <c r="G1805" t="s">
        <v>328</v>
      </c>
      <c r="H1805" t="s">
        <v>207</v>
      </c>
      <c r="I1805" t="s">
        <v>773</v>
      </c>
      <c r="J1805" t="s">
        <v>3153</v>
      </c>
      <c r="K1805" t="s">
        <v>37</v>
      </c>
      <c r="L1805" t="s">
        <v>55</v>
      </c>
      <c r="M1805" t="s">
        <v>81</v>
      </c>
      <c r="N1805" t="s">
        <v>82</v>
      </c>
      <c r="O1805" s="4">
        <v>1</v>
      </c>
      <c r="P1805" s="4">
        <v>11</v>
      </c>
      <c r="Q1805" t="s">
        <v>58</v>
      </c>
      <c r="R1805" s="2">
        <v>46191</v>
      </c>
      <c r="S1805" s="4">
        <v>12</v>
      </c>
      <c r="T1805" s="3">
        <v>96000000</v>
      </c>
      <c r="U1805" t="s">
        <v>42</v>
      </c>
      <c r="V1805" t="s">
        <v>43</v>
      </c>
      <c r="W1805" t="s">
        <v>404</v>
      </c>
      <c r="Y1805" t="s">
        <v>291</v>
      </c>
      <c r="Z1805" t="s">
        <v>3178</v>
      </c>
      <c r="AA1805" t="s">
        <v>159</v>
      </c>
      <c r="AB1805" t="s">
        <v>87</v>
      </c>
      <c r="AC1805" t="s">
        <v>159</v>
      </c>
    </row>
    <row r="1806" spans="1:29">
      <c r="A1806" t="s">
        <v>2223</v>
      </c>
      <c r="B1806" s="2">
        <v>46199</v>
      </c>
      <c r="C1806" t="s">
        <v>30</v>
      </c>
      <c r="D1806" t="s">
        <v>49</v>
      </c>
      <c r="E1806" t="s">
        <v>50</v>
      </c>
      <c r="F1806" t="s">
        <v>51</v>
      </c>
      <c r="G1806" t="s">
        <v>270</v>
      </c>
      <c r="H1806" t="s">
        <v>66</v>
      </c>
      <c r="I1806" t="s">
        <v>849</v>
      </c>
      <c r="J1806" t="s">
        <v>3162</v>
      </c>
      <c r="K1806" t="s">
        <v>37</v>
      </c>
      <c r="L1806" t="s">
        <v>187</v>
      </c>
      <c r="M1806" t="s">
        <v>39</v>
      </c>
      <c r="N1806" t="s">
        <v>57</v>
      </c>
      <c r="O1806" s="4">
        <v>3</v>
      </c>
      <c r="P1806" s="4">
        <v>12</v>
      </c>
      <c r="Q1806" t="s">
        <v>41</v>
      </c>
      <c r="R1806" s="2">
        <v>46197</v>
      </c>
      <c r="S1806" s="4">
        <v>6</v>
      </c>
      <c r="T1806" s="3">
        <v>228000000</v>
      </c>
      <c r="U1806" t="s">
        <v>42</v>
      </c>
      <c r="V1806" t="s">
        <v>59</v>
      </c>
      <c r="W1806" t="s">
        <v>157</v>
      </c>
      <c r="Y1806" t="s">
        <v>165</v>
      </c>
      <c r="Z1806" t="s">
        <v>3180</v>
      </c>
      <c r="AA1806" t="s">
        <v>62</v>
      </c>
      <c r="AB1806" t="s">
        <v>193</v>
      </c>
      <c r="AC1806" t="s">
        <v>62</v>
      </c>
    </row>
    <row r="1807" spans="1:29">
      <c r="A1807" t="s">
        <v>2224</v>
      </c>
      <c r="B1807" s="2">
        <v>46184</v>
      </c>
      <c r="C1807" t="s">
        <v>30</v>
      </c>
      <c r="D1807" t="s">
        <v>99</v>
      </c>
      <c r="E1807" t="s">
        <v>120</v>
      </c>
      <c r="F1807" t="s">
        <v>246</v>
      </c>
      <c r="G1807" t="s">
        <v>420</v>
      </c>
      <c r="H1807" t="s">
        <v>300</v>
      </c>
      <c r="I1807" t="s">
        <v>421</v>
      </c>
      <c r="J1807" t="s">
        <v>3080</v>
      </c>
      <c r="K1807" t="s">
        <v>37</v>
      </c>
      <c r="L1807" t="s">
        <v>80</v>
      </c>
      <c r="M1807" t="s">
        <v>81</v>
      </c>
      <c r="N1807" t="s">
        <v>82</v>
      </c>
      <c r="O1807" s="4">
        <v>1</v>
      </c>
      <c r="P1807" s="4">
        <v>9</v>
      </c>
      <c r="Q1807" t="s">
        <v>83</v>
      </c>
      <c r="R1807" s="2">
        <v>46181</v>
      </c>
      <c r="S1807" s="4">
        <v>22</v>
      </c>
      <c r="T1807" s="3">
        <v>242000000</v>
      </c>
      <c r="U1807" t="s">
        <v>42</v>
      </c>
      <c r="V1807" t="s">
        <v>59</v>
      </c>
      <c r="W1807" t="s">
        <v>84</v>
      </c>
      <c r="Y1807" t="s">
        <v>330</v>
      </c>
      <c r="Z1807" t="s">
        <v>3178</v>
      </c>
      <c r="AA1807" t="s">
        <v>97</v>
      </c>
      <c r="AB1807" t="s">
        <v>87</v>
      </c>
      <c r="AC1807" t="s">
        <v>97</v>
      </c>
    </row>
    <row r="1808" spans="1:29">
      <c r="A1808" t="s">
        <v>2225</v>
      </c>
      <c r="B1808" s="2">
        <v>46190</v>
      </c>
      <c r="C1808" t="s">
        <v>30</v>
      </c>
      <c r="D1808" t="s">
        <v>74</v>
      </c>
      <c r="E1808" t="s">
        <v>172</v>
      </c>
      <c r="F1808" t="s">
        <v>277</v>
      </c>
      <c r="G1808" t="s">
        <v>278</v>
      </c>
      <c r="H1808" t="s">
        <v>241</v>
      </c>
      <c r="I1808" t="s">
        <v>242</v>
      </c>
      <c r="J1808" t="s">
        <v>3034</v>
      </c>
      <c r="K1808" t="s">
        <v>92</v>
      </c>
      <c r="L1808" t="s">
        <v>169</v>
      </c>
      <c r="M1808" t="s">
        <v>39</v>
      </c>
      <c r="N1808" t="s">
        <v>94</v>
      </c>
      <c r="O1808" s="4">
        <v>4</v>
      </c>
      <c r="P1808" s="4">
        <v>11</v>
      </c>
      <c r="Q1808" t="s">
        <v>107</v>
      </c>
      <c r="R1808" s="2">
        <v>46185</v>
      </c>
      <c r="S1808" s="4">
        <v>18</v>
      </c>
      <c r="T1808" s="3">
        <v>209000000</v>
      </c>
      <c r="U1808" t="s">
        <v>42</v>
      </c>
      <c r="V1808" t="s">
        <v>59</v>
      </c>
      <c r="W1808" t="s">
        <v>95</v>
      </c>
      <c r="X1808" t="s">
        <v>253</v>
      </c>
      <c r="Y1808" t="s">
        <v>96</v>
      </c>
      <c r="Z1808" t="s">
        <v>3179</v>
      </c>
      <c r="AA1808" t="s">
        <v>181</v>
      </c>
      <c r="AB1808" t="s">
        <v>97</v>
      </c>
      <c r="AC1808" t="s">
        <v>181</v>
      </c>
    </row>
    <row r="1809" spans="1:29">
      <c r="A1809" t="s">
        <v>2226</v>
      </c>
      <c r="B1809" s="2">
        <v>46175</v>
      </c>
      <c r="C1809" t="s">
        <v>30</v>
      </c>
      <c r="D1809" t="s">
        <v>134</v>
      </c>
      <c r="E1809" t="s">
        <v>172</v>
      </c>
      <c r="F1809" t="s">
        <v>195</v>
      </c>
      <c r="G1809" t="s">
        <v>338</v>
      </c>
      <c r="H1809" t="s">
        <v>241</v>
      </c>
      <c r="I1809" t="s">
        <v>441</v>
      </c>
      <c r="J1809" t="s">
        <v>3085</v>
      </c>
      <c r="K1809" t="s">
        <v>56</v>
      </c>
      <c r="L1809" t="s">
        <v>150</v>
      </c>
      <c r="M1809" t="s">
        <v>129</v>
      </c>
      <c r="N1809" t="s">
        <v>40</v>
      </c>
      <c r="O1809" s="4">
        <v>2</v>
      </c>
      <c r="P1809" s="4">
        <v>3</v>
      </c>
      <c r="Q1809" t="s">
        <v>83</v>
      </c>
      <c r="R1809" s="2">
        <v>46167</v>
      </c>
      <c r="S1809" s="4">
        <v>36</v>
      </c>
      <c r="T1809" s="3">
        <v>410000000</v>
      </c>
      <c r="U1809" t="s">
        <v>42</v>
      </c>
      <c r="V1809" t="s">
        <v>43</v>
      </c>
      <c r="W1809" t="s">
        <v>44</v>
      </c>
      <c r="Y1809" t="s">
        <v>281</v>
      </c>
      <c r="Z1809" t="s">
        <v>3176</v>
      </c>
      <c r="AA1809" t="s">
        <v>181</v>
      </c>
      <c r="AB1809" t="s">
        <v>47</v>
      </c>
      <c r="AC1809" t="s">
        <v>181</v>
      </c>
    </row>
    <row r="1810" spans="1:29">
      <c r="A1810" t="s">
        <v>2227</v>
      </c>
      <c r="B1810" s="2">
        <v>46180</v>
      </c>
      <c r="C1810" t="s">
        <v>30</v>
      </c>
      <c r="D1810" t="s">
        <v>134</v>
      </c>
      <c r="E1810" t="s">
        <v>111</v>
      </c>
      <c r="F1810" t="s">
        <v>264</v>
      </c>
      <c r="G1810" t="s">
        <v>251</v>
      </c>
      <c r="H1810" t="s">
        <v>127</v>
      </c>
      <c r="I1810" t="s">
        <v>461</v>
      </c>
      <c r="J1810" t="s">
        <v>3094</v>
      </c>
      <c r="K1810" t="s">
        <v>37</v>
      </c>
      <c r="L1810" t="s">
        <v>68</v>
      </c>
      <c r="M1810" t="s">
        <v>129</v>
      </c>
      <c r="N1810" t="s">
        <v>40</v>
      </c>
      <c r="O1810" s="4">
        <v>2</v>
      </c>
      <c r="P1810" s="4">
        <v>4</v>
      </c>
      <c r="Q1810" t="s">
        <v>142</v>
      </c>
      <c r="R1810" s="2">
        <v>46173</v>
      </c>
      <c r="S1810" s="4">
        <v>30</v>
      </c>
      <c r="T1810" s="3">
        <v>220000000</v>
      </c>
      <c r="U1810" t="s">
        <v>42</v>
      </c>
      <c r="V1810" t="s">
        <v>59</v>
      </c>
      <c r="W1810" t="s">
        <v>178</v>
      </c>
      <c r="Y1810" t="s">
        <v>281</v>
      </c>
      <c r="Z1810" t="s">
        <v>3176</v>
      </c>
      <c r="AA1810" t="s">
        <v>118</v>
      </c>
      <c r="AB1810" t="s">
        <v>47</v>
      </c>
      <c r="AC1810" t="s">
        <v>118</v>
      </c>
    </row>
    <row r="1811" spans="1:29">
      <c r="A1811" t="s">
        <v>2228</v>
      </c>
      <c r="B1811" s="2">
        <v>46177</v>
      </c>
      <c r="C1811" t="s">
        <v>30</v>
      </c>
      <c r="D1811" t="s">
        <v>134</v>
      </c>
      <c r="E1811" t="s">
        <v>32</v>
      </c>
      <c r="F1811" t="s">
        <v>256</v>
      </c>
      <c r="G1811" t="s">
        <v>361</v>
      </c>
      <c r="H1811" t="s">
        <v>35</v>
      </c>
      <c r="I1811" t="s">
        <v>219</v>
      </c>
      <c r="J1811" t="s">
        <v>3028</v>
      </c>
      <c r="K1811" t="s">
        <v>105</v>
      </c>
      <c r="L1811" t="s">
        <v>150</v>
      </c>
      <c r="M1811" t="s">
        <v>106</v>
      </c>
      <c r="N1811" t="s">
        <v>130</v>
      </c>
      <c r="O1811" s="4">
        <v>5</v>
      </c>
      <c r="P1811" s="4">
        <v>3</v>
      </c>
      <c r="Q1811" t="s">
        <v>107</v>
      </c>
      <c r="R1811" s="2">
        <v>46167</v>
      </c>
      <c r="S1811" s="4">
        <v>36</v>
      </c>
      <c r="T1811" s="3">
        <v>71000000</v>
      </c>
      <c r="U1811" t="s">
        <v>42</v>
      </c>
      <c r="V1811" t="s">
        <v>70</v>
      </c>
      <c r="W1811" t="s">
        <v>144</v>
      </c>
      <c r="X1811" t="s">
        <v>117</v>
      </c>
      <c r="Y1811" t="s">
        <v>254</v>
      </c>
      <c r="Z1811" t="s">
        <v>3179</v>
      </c>
      <c r="AA1811" t="s">
        <v>46</v>
      </c>
      <c r="AB1811" t="s">
        <v>97</v>
      </c>
      <c r="AC1811" t="s">
        <v>46</v>
      </c>
    </row>
    <row r="1812" spans="1:29">
      <c r="A1812" t="s">
        <v>2229</v>
      </c>
      <c r="B1812" s="2">
        <v>46185</v>
      </c>
      <c r="C1812" t="s">
        <v>30</v>
      </c>
      <c r="D1812" t="s">
        <v>99</v>
      </c>
      <c r="E1812" t="s">
        <v>100</v>
      </c>
      <c r="F1812" t="s">
        <v>140</v>
      </c>
      <c r="G1812" t="s">
        <v>102</v>
      </c>
      <c r="H1812" t="s">
        <v>103</v>
      </c>
      <c r="I1812" t="s">
        <v>411</v>
      </c>
      <c r="J1812" t="s">
        <v>3077</v>
      </c>
      <c r="K1812" t="s">
        <v>37</v>
      </c>
      <c r="L1812" t="s">
        <v>68</v>
      </c>
      <c r="M1812" t="s">
        <v>39</v>
      </c>
      <c r="N1812" t="s">
        <v>57</v>
      </c>
      <c r="O1812" s="4">
        <v>3</v>
      </c>
      <c r="P1812" s="4">
        <v>10</v>
      </c>
      <c r="Q1812" t="s">
        <v>69</v>
      </c>
      <c r="R1812" s="2">
        <v>46179</v>
      </c>
      <c r="S1812" s="4">
        <v>24</v>
      </c>
      <c r="T1812" s="3">
        <v>129000000</v>
      </c>
      <c r="U1812" t="s">
        <v>42</v>
      </c>
      <c r="V1812" t="s">
        <v>59</v>
      </c>
      <c r="W1812" t="s">
        <v>60</v>
      </c>
      <c r="Y1812" t="s">
        <v>165</v>
      </c>
      <c r="Z1812" t="s">
        <v>3177</v>
      </c>
      <c r="AA1812" t="s">
        <v>109</v>
      </c>
      <c r="AB1812" t="s">
        <v>63</v>
      </c>
      <c r="AC1812" t="s">
        <v>109</v>
      </c>
    </row>
    <row r="1813" spans="1:29">
      <c r="A1813" t="s">
        <v>2230</v>
      </c>
      <c r="B1813" s="2">
        <v>46192</v>
      </c>
      <c r="C1813" t="s">
        <v>30</v>
      </c>
      <c r="D1813" t="s">
        <v>74</v>
      </c>
      <c r="E1813" t="s">
        <v>120</v>
      </c>
      <c r="F1813" t="s">
        <v>167</v>
      </c>
      <c r="G1813" t="s">
        <v>122</v>
      </c>
      <c r="H1813" t="s">
        <v>136</v>
      </c>
      <c r="I1813" t="s">
        <v>581</v>
      </c>
      <c r="J1813" t="s">
        <v>3125</v>
      </c>
      <c r="K1813" t="s">
        <v>116</v>
      </c>
      <c r="L1813" t="s">
        <v>80</v>
      </c>
      <c r="M1813" t="s">
        <v>56</v>
      </c>
      <c r="N1813" t="s">
        <v>196</v>
      </c>
      <c r="O1813" s="4">
        <v>7</v>
      </c>
      <c r="P1813" s="4">
        <v>13</v>
      </c>
      <c r="Q1813" t="s">
        <v>58</v>
      </c>
      <c r="R1813" s="2">
        <v>46187</v>
      </c>
      <c r="S1813" s="4">
        <v>16</v>
      </c>
      <c r="T1813" s="3">
        <v>42000000</v>
      </c>
      <c r="U1813" t="s">
        <v>196</v>
      </c>
      <c r="V1813" t="s">
        <v>70</v>
      </c>
      <c r="W1813" t="s">
        <v>197</v>
      </c>
      <c r="Y1813" t="s">
        <v>369</v>
      </c>
      <c r="Z1813" t="s">
        <v>3181</v>
      </c>
      <c r="AA1813" t="s">
        <v>97</v>
      </c>
      <c r="AB1813" t="s">
        <v>199</v>
      </c>
      <c r="AC1813" t="s">
        <v>97</v>
      </c>
    </row>
    <row r="1814" spans="1:29">
      <c r="A1814" t="s">
        <v>2231</v>
      </c>
      <c r="B1814" s="2">
        <v>46174</v>
      </c>
      <c r="C1814" t="s">
        <v>30</v>
      </c>
      <c r="D1814" t="s">
        <v>134</v>
      </c>
      <c r="E1814" t="s">
        <v>32</v>
      </c>
      <c r="F1814" t="s">
        <v>273</v>
      </c>
      <c r="G1814" t="s">
        <v>218</v>
      </c>
      <c r="H1814" t="s">
        <v>303</v>
      </c>
      <c r="I1814" t="s">
        <v>487</v>
      </c>
      <c r="J1814" t="s">
        <v>3102</v>
      </c>
      <c r="K1814" t="s">
        <v>116</v>
      </c>
      <c r="L1814" t="s">
        <v>150</v>
      </c>
      <c r="M1814" t="s">
        <v>93</v>
      </c>
      <c r="N1814" t="s">
        <v>57</v>
      </c>
      <c r="O1814" s="4">
        <v>3</v>
      </c>
      <c r="P1814" s="4">
        <v>4</v>
      </c>
      <c r="Q1814" t="s">
        <v>41</v>
      </c>
      <c r="R1814" s="2">
        <v>46171</v>
      </c>
      <c r="S1814" s="4">
        <v>32</v>
      </c>
      <c r="T1814" s="3">
        <v>91000000</v>
      </c>
      <c r="U1814" t="s">
        <v>42</v>
      </c>
      <c r="V1814" t="s">
        <v>43</v>
      </c>
      <c r="W1814" t="s">
        <v>71</v>
      </c>
      <c r="Y1814" t="s">
        <v>165</v>
      </c>
      <c r="Z1814" t="s">
        <v>3177</v>
      </c>
      <c r="AA1814" t="s">
        <v>46</v>
      </c>
      <c r="AB1814" t="s">
        <v>63</v>
      </c>
      <c r="AC1814" t="s">
        <v>46</v>
      </c>
    </row>
    <row r="1815" spans="1:29">
      <c r="A1815" t="s">
        <v>2232</v>
      </c>
      <c r="B1815" s="2">
        <v>46183</v>
      </c>
      <c r="C1815" t="s">
        <v>30</v>
      </c>
      <c r="D1815" t="s">
        <v>99</v>
      </c>
      <c r="E1815" t="s">
        <v>120</v>
      </c>
      <c r="F1815" t="s">
        <v>167</v>
      </c>
      <c r="G1815" t="s">
        <v>135</v>
      </c>
      <c r="H1815" t="s">
        <v>136</v>
      </c>
      <c r="I1815" t="s">
        <v>658</v>
      </c>
      <c r="J1815" t="s">
        <v>3143</v>
      </c>
      <c r="K1815" t="s">
        <v>37</v>
      </c>
      <c r="L1815" t="s">
        <v>55</v>
      </c>
      <c r="M1815" t="s">
        <v>129</v>
      </c>
      <c r="N1815" t="s">
        <v>196</v>
      </c>
      <c r="O1815" s="4">
        <v>7</v>
      </c>
      <c r="P1815" s="4">
        <v>16</v>
      </c>
      <c r="Q1815" t="s">
        <v>41</v>
      </c>
      <c r="R1815" s="2">
        <v>46177</v>
      </c>
      <c r="S1815" s="4">
        <v>26</v>
      </c>
      <c r="T1815" s="3">
        <v>217000000</v>
      </c>
      <c r="U1815" t="s">
        <v>196</v>
      </c>
      <c r="V1815" t="s">
        <v>70</v>
      </c>
      <c r="W1815" t="s">
        <v>243</v>
      </c>
      <c r="Y1815" t="s">
        <v>198</v>
      </c>
      <c r="Z1815" t="s">
        <v>3181</v>
      </c>
      <c r="AA1815" t="s">
        <v>97</v>
      </c>
      <c r="AB1815" t="s">
        <v>199</v>
      </c>
      <c r="AC1815" t="s">
        <v>97</v>
      </c>
    </row>
    <row r="1816" spans="1:29">
      <c r="A1816" t="s">
        <v>2233</v>
      </c>
      <c r="B1816" s="2">
        <v>46186</v>
      </c>
      <c r="C1816" t="s">
        <v>30</v>
      </c>
      <c r="D1816" t="s">
        <v>99</v>
      </c>
      <c r="E1816" t="s">
        <v>100</v>
      </c>
      <c r="F1816" t="s">
        <v>146</v>
      </c>
      <c r="G1816" t="s">
        <v>313</v>
      </c>
      <c r="H1816" t="s">
        <v>148</v>
      </c>
      <c r="I1816" t="s">
        <v>315</v>
      </c>
      <c r="J1816" t="s">
        <v>3049</v>
      </c>
      <c r="K1816" t="s">
        <v>92</v>
      </c>
      <c r="L1816" t="s">
        <v>68</v>
      </c>
      <c r="M1816" t="s">
        <v>129</v>
      </c>
      <c r="N1816" t="s">
        <v>94</v>
      </c>
      <c r="O1816" s="4">
        <v>4</v>
      </c>
      <c r="P1816" s="4">
        <v>17</v>
      </c>
      <c r="Q1816" t="s">
        <v>58</v>
      </c>
      <c r="R1816" s="2">
        <v>46179</v>
      </c>
      <c r="S1816" s="4">
        <v>24</v>
      </c>
      <c r="T1816" s="3">
        <v>173000000</v>
      </c>
      <c r="U1816" t="s">
        <v>426</v>
      </c>
      <c r="V1816" t="s">
        <v>59</v>
      </c>
      <c r="W1816" t="s">
        <v>267</v>
      </c>
      <c r="X1816" t="s">
        <v>422</v>
      </c>
      <c r="Y1816" t="s">
        <v>268</v>
      </c>
      <c r="Z1816" t="s">
        <v>3179</v>
      </c>
      <c r="AA1816" t="s">
        <v>109</v>
      </c>
      <c r="AB1816" t="s">
        <v>97</v>
      </c>
      <c r="AC1816" t="s">
        <v>109</v>
      </c>
    </row>
    <row r="1817" spans="1:29">
      <c r="A1817" t="s">
        <v>2234</v>
      </c>
      <c r="B1817" s="2">
        <v>46201</v>
      </c>
      <c r="C1817" t="s">
        <v>30</v>
      </c>
      <c r="D1817" t="s">
        <v>49</v>
      </c>
      <c r="E1817" t="s">
        <v>120</v>
      </c>
      <c r="F1817" t="s">
        <v>121</v>
      </c>
      <c r="G1817" t="s">
        <v>224</v>
      </c>
      <c r="H1817" t="s">
        <v>300</v>
      </c>
      <c r="I1817" t="s">
        <v>421</v>
      </c>
      <c r="J1817" t="s">
        <v>3080</v>
      </c>
      <c r="K1817" t="s">
        <v>92</v>
      </c>
      <c r="L1817" t="s">
        <v>187</v>
      </c>
      <c r="M1817" t="s">
        <v>56</v>
      </c>
      <c r="N1817" t="s">
        <v>130</v>
      </c>
      <c r="O1817" s="4">
        <v>5</v>
      </c>
      <c r="P1817" s="4">
        <v>14</v>
      </c>
      <c r="Q1817" t="s">
        <v>142</v>
      </c>
      <c r="R1817" s="2">
        <v>46195</v>
      </c>
      <c r="S1817" s="4">
        <v>8</v>
      </c>
      <c r="T1817" s="3">
        <v>122000000</v>
      </c>
      <c r="U1817" t="s">
        <v>42</v>
      </c>
      <c r="V1817" t="s">
        <v>70</v>
      </c>
      <c r="W1817" t="s">
        <v>252</v>
      </c>
      <c r="X1817" t="s">
        <v>117</v>
      </c>
      <c r="Y1817" t="s">
        <v>334</v>
      </c>
      <c r="Z1817" t="s">
        <v>3179</v>
      </c>
      <c r="AA1817" t="s">
        <v>97</v>
      </c>
      <c r="AB1817" t="s">
        <v>97</v>
      </c>
      <c r="AC1817" t="s">
        <v>97</v>
      </c>
    </row>
    <row r="1818" spans="1:29">
      <c r="A1818" t="s">
        <v>2235</v>
      </c>
      <c r="B1818" s="2">
        <v>46203</v>
      </c>
      <c r="C1818" t="s">
        <v>30</v>
      </c>
      <c r="D1818" t="s">
        <v>31</v>
      </c>
      <c r="E1818" t="s">
        <v>120</v>
      </c>
      <c r="F1818" t="s">
        <v>246</v>
      </c>
      <c r="G1818" t="s">
        <v>227</v>
      </c>
      <c r="H1818" t="s">
        <v>123</v>
      </c>
      <c r="I1818" t="s">
        <v>397</v>
      </c>
      <c r="J1818" t="s">
        <v>3073</v>
      </c>
      <c r="K1818" t="s">
        <v>116</v>
      </c>
      <c r="L1818" t="s">
        <v>80</v>
      </c>
      <c r="M1818" t="s">
        <v>129</v>
      </c>
      <c r="N1818" t="s">
        <v>213</v>
      </c>
      <c r="O1818" s="4">
        <v>6</v>
      </c>
      <c r="P1818" s="4">
        <v>12</v>
      </c>
      <c r="Q1818" t="s">
        <v>41</v>
      </c>
      <c r="R1818" s="2">
        <v>46198</v>
      </c>
      <c r="S1818" s="4">
        <v>5</v>
      </c>
      <c r="T1818" s="3">
        <v>118000000</v>
      </c>
      <c r="U1818" t="s">
        <v>214</v>
      </c>
      <c r="V1818" t="s">
        <v>70</v>
      </c>
      <c r="W1818" t="s">
        <v>390</v>
      </c>
      <c r="Y1818" t="s">
        <v>432</v>
      </c>
      <c r="Z1818" t="s">
        <v>3179</v>
      </c>
      <c r="AA1818" t="s">
        <v>97</v>
      </c>
      <c r="AB1818" t="s">
        <v>97</v>
      </c>
      <c r="AC1818" t="s">
        <v>97</v>
      </c>
    </row>
    <row r="1819" spans="1:29">
      <c r="A1819" t="s">
        <v>2236</v>
      </c>
      <c r="B1819" s="2">
        <v>46186</v>
      </c>
      <c r="C1819" t="s">
        <v>30</v>
      </c>
      <c r="D1819" t="s">
        <v>99</v>
      </c>
      <c r="E1819" t="s">
        <v>100</v>
      </c>
      <c r="F1819" t="s">
        <v>101</v>
      </c>
      <c r="G1819" t="s">
        <v>102</v>
      </c>
      <c r="H1819" t="s">
        <v>201</v>
      </c>
      <c r="I1819" t="s">
        <v>453</v>
      </c>
      <c r="J1819" t="s">
        <v>3090</v>
      </c>
      <c r="K1819" t="s">
        <v>105</v>
      </c>
      <c r="L1819" t="s">
        <v>187</v>
      </c>
      <c r="M1819" t="s">
        <v>93</v>
      </c>
      <c r="N1819" t="s">
        <v>213</v>
      </c>
      <c r="O1819" s="4">
        <v>6</v>
      </c>
      <c r="P1819" s="4">
        <v>17</v>
      </c>
      <c r="Q1819" t="s">
        <v>58</v>
      </c>
      <c r="R1819" s="2">
        <v>46176</v>
      </c>
      <c r="S1819" s="4">
        <v>27</v>
      </c>
      <c r="T1819" s="3">
        <v>210000000</v>
      </c>
      <c r="U1819" t="s">
        <v>42</v>
      </c>
      <c r="V1819" t="s">
        <v>70</v>
      </c>
      <c r="W1819" t="s">
        <v>215</v>
      </c>
      <c r="Y1819" t="s">
        <v>216</v>
      </c>
      <c r="Z1819" t="s">
        <v>3179</v>
      </c>
      <c r="AA1819" t="s">
        <v>109</v>
      </c>
      <c r="AB1819" t="s">
        <v>97</v>
      </c>
      <c r="AC1819" t="s">
        <v>109</v>
      </c>
    </row>
    <row r="1820" spans="1:29">
      <c r="A1820" t="s">
        <v>2237</v>
      </c>
      <c r="B1820" s="2">
        <v>46191</v>
      </c>
      <c r="C1820" t="s">
        <v>30</v>
      </c>
      <c r="D1820" t="s">
        <v>74</v>
      </c>
      <c r="E1820" t="s">
        <v>32</v>
      </c>
      <c r="F1820" t="s">
        <v>273</v>
      </c>
      <c r="G1820" t="s">
        <v>34</v>
      </c>
      <c r="H1820" t="s">
        <v>35</v>
      </c>
      <c r="I1820" t="s">
        <v>36</v>
      </c>
      <c r="J1820" t="s">
        <v>3008</v>
      </c>
      <c r="K1820" t="s">
        <v>37</v>
      </c>
      <c r="L1820" t="s">
        <v>150</v>
      </c>
      <c r="M1820" t="s">
        <v>81</v>
      </c>
      <c r="N1820" t="s">
        <v>94</v>
      </c>
      <c r="O1820" s="4">
        <v>4</v>
      </c>
      <c r="P1820" s="4">
        <v>4</v>
      </c>
      <c r="Q1820" t="s">
        <v>83</v>
      </c>
      <c r="R1820" s="2">
        <v>46184</v>
      </c>
      <c r="S1820" s="4">
        <v>19</v>
      </c>
      <c r="T1820" s="3">
        <v>182000000</v>
      </c>
      <c r="U1820" t="s">
        <v>42</v>
      </c>
      <c r="V1820" t="s">
        <v>70</v>
      </c>
      <c r="W1820" t="s">
        <v>95</v>
      </c>
      <c r="Y1820" t="s">
        <v>228</v>
      </c>
      <c r="Z1820" t="s">
        <v>3179</v>
      </c>
      <c r="AA1820" t="s">
        <v>46</v>
      </c>
      <c r="AB1820" t="s">
        <v>97</v>
      </c>
      <c r="AC1820" t="s">
        <v>46</v>
      </c>
    </row>
    <row r="1821" spans="1:29">
      <c r="A1821" t="s">
        <v>2238</v>
      </c>
      <c r="B1821" s="2">
        <v>46195</v>
      </c>
      <c r="C1821" t="s">
        <v>30</v>
      </c>
      <c r="D1821" t="s">
        <v>49</v>
      </c>
      <c r="E1821" t="s">
        <v>152</v>
      </c>
      <c r="F1821" t="s">
        <v>205</v>
      </c>
      <c r="G1821" t="s">
        <v>206</v>
      </c>
      <c r="H1821" t="s">
        <v>283</v>
      </c>
      <c r="I1821" t="s">
        <v>474</v>
      </c>
      <c r="J1821" t="s">
        <v>3098</v>
      </c>
      <c r="K1821" t="s">
        <v>37</v>
      </c>
      <c r="L1821" t="s">
        <v>169</v>
      </c>
      <c r="M1821" t="s">
        <v>106</v>
      </c>
      <c r="N1821" t="s">
        <v>196</v>
      </c>
      <c r="O1821" s="4">
        <v>7</v>
      </c>
      <c r="P1821" s="4">
        <v>16</v>
      </c>
      <c r="Q1821" t="s">
        <v>142</v>
      </c>
      <c r="R1821" s="2">
        <v>46194</v>
      </c>
      <c r="S1821" s="4">
        <v>9</v>
      </c>
      <c r="T1821" s="3">
        <v>279000000</v>
      </c>
      <c r="U1821" t="s">
        <v>196</v>
      </c>
      <c r="V1821" t="s">
        <v>70</v>
      </c>
      <c r="W1821" t="s">
        <v>675</v>
      </c>
      <c r="Y1821" t="s">
        <v>210</v>
      </c>
      <c r="Z1821" t="s">
        <v>3181</v>
      </c>
      <c r="AA1821" t="s">
        <v>159</v>
      </c>
      <c r="AB1821" t="s">
        <v>199</v>
      </c>
      <c r="AC1821" t="s">
        <v>159</v>
      </c>
    </row>
    <row r="1822" spans="1:29">
      <c r="A1822" t="s">
        <v>2239</v>
      </c>
      <c r="B1822" s="2">
        <v>46201</v>
      </c>
      <c r="C1822" t="s">
        <v>30</v>
      </c>
      <c r="D1822" t="s">
        <v>49</v>
      </c>
      <c r="E1822" t="s">
        <v>120</v>
      </c>
      <c r="F1822" t="s">
        <v>167</v>
      </c>
      <c r="G1822" t="s">
        <v>122</v>
      </c>
      <c r="H1822" t="s">
        <v>136</v>
      </c>
      <c r="I1822" t="s">
        <v>275</v>
      </c>
      <c r="J1822" t="s">
        <v>3039</v>
      </c>
      <c r="K1822" t="s">
        <v>92</v>
      </c>
      <c r="L1822" t="s">
        <v>80</v>
      </c>
      <c r="M1822" t="s">
        <v>56</v>
      </c>
      <c r="N1822" t="s">
        <v>94</v>
      </c>
      <c r="O1822" s="4">
        <v>4</v>
      </c>
      <c r="P1822" s="4">
        <v>12</v>
      </c>
      <c r="Q1822" t="s">
        <v>58</v>
      </c>
      <c r="R1822" s="2">
        <v>46200</v>
      </c>
      <c r="S1822" s="4">
        <v>3</v>
      </c>
      <c r="T1822" s="3">
        <v>225000000</v>
      </c>
      <c r="U1822" t="s">
        <v>42</v>
      </c>
      <c r="V1822" t="s">
        <v>70</v>
      </c>
      <c r="W1822" t="s">
        <v>170</v>
      </c>
      <c r="X1822" t="s">
        <v>117</v>
      </c>
      <c r="Y1822" t="s">
        <v>228</v>
      </c>
      <c r="Z1822" t="s">
        <v>3179</v>
      </c>
      <c r="AA1822" t="s">
        <v>97</v>
      </c>
      <c r="AB1822" t="s">
        <v>97</v>
      </c>
      <c r="AC1822" t="s">
        <v>97</v>
      </c>
    </row>
    <row r="1823" spans="1:29">
      <c r="A1823" t="s">
        <v>2240</v>
      </c>
      <c r="B1823" s="2">
        <v>46175</v>
      </c>
      <c r="C1823" t="s">
        <v>30</v>
      </c>
      <c r="D1823" t="s">
        <v>134</v>
      </c>
      <c r="E1823" t="s">
        <v>100</v>
      </c>
      <c r="F1823" t="s">
        <v>101</v>
      </c>
      <c r="G1823" t="s">
        <v>313</v>
      </c>
      <c r="H1823" t="s">
        <v>201</v>
      </c>
      <c r="I1823" t="s">
        <v>608</v>
      </c>
      <c r="J1823" t="s">
        <v>3132</v>
      </c>
      <c r="K1823" t="s">
        <v>56</v>
      </c>
      <c r="L1823" t="s">
        <v>68</v>
      </c>
      <c r="M1823" t="s">
        <v>106</v>
      </c>
      <c r="N1823" t="s">
        <v>130</v>
      </c>
      <c r="O1823" s="4">
        <v>5</v>
      </c>
      <c r="P1823" s="4">
        <v>16</v>
      </c>
      <c r="Q1823" t="s">
        <v>41</v>
      </c>
      <c r="R1823" s="2">
        <v>46173</v>
      </c>
      <c r="S1823" s="4">
        <v>30</v>
      </c>
      <c r="T1823" s="3">
        <v>147000000</v>
      </c>
      <c r="U1823" t="s">
        <v>42</v>
      </c>
      <c r="V1823" t="s">
        <v>70</v>
      </c>
      <c r="W1823" t="s">
        <v>144</v>
      </c>
      <c r="Y1823" t="s">
        <v>254</v>
      </c>
      <c r="Z1823" t="s">
        <v>3179</v>
      </c>
      <c r="AA1823" t="s">
        <v>109</v>
      </c>
      <c r="AB1823" t="s">
        <v>97</v>
      </c>
      <c r="AC1823" t="s">
        <v>109</v>
      </c>
    </row>
    <row r="1824" spans="1:29">
      <c r="A1824" t="s">
        <v>2241</v>
      </c>
      <c r="B1824" s="2">
        <v>46201</v>
      </c>
      <c r="C1824" t="s">
        <v>30</v>
      </c>
      <c r="D1824" t="s">
        <v>49</v>
      </c>
      <c r="E1824" t="s">
        <v>172</v>
      </c>
      <c r="F1824" t="s">
        <v>277</v>
      </c>
      <c r="G1824" t="s">
        <v>278</v>
      </c>
      <c r="H1824" t="s">
        <v>175</v>
      </c>
      <c r="I1824" t="s">
        <v>358</v>
      </c>
      <c r="J1824" t="s">
        <v>3062</v>
      </c>
      <c r="K1824" t="s">
        <v>92</v>
      </c>
      <c r="L1824" t="s">
        <v>187</v>
      </c>
      <c r="M1824" t="s">
        <v>106</v>
      </c>
      <c r="N1824" t="s">
        <v>130</v>
      </c>
      <c r="O1824" s="4">
        <v>5</v>
      </c>
      <c r="P1824" s="4">
        <v>7</v>
      </c>
      <c r="Q1824" t="s">
        <v>69</v>
      </c>
      <c r="R1824" s="2">
        <v>46194</v>
      </c>
      <c r="S1824" s="4">
        <v>9</v>
      </c>
      <c r="T1824" s="3">
        <v>126000000</v>
      </c>
      <c r="U1824" t="s">
        <v>42</v>
      </c>
      <c r="V1824" t="s">
        <v>70</v>
      </c>
      <c r="W1824" t="s">
        <v>252</v>
      </c>
      <c r="X1824" t="s">
        <v>117</v>
      </c>
      <c r="Y1824" t="s">
        <v>254</v>
      </c>
      <c r="Z1824" t="s">
        <v>3179</v>
      </c>
      <c r="AA1824" t="s">
        <v>181</v>
      </c>
      <c r="AB1824" t="s">
        <v>97</v>
      </c>
      <c r="AC1824" t="s">
        <v>181</v>
      </c>
    </row>
    <row r="1825" spans="1:29">
      <c r="A1825" t="s">
        <v>2242</v>
      </c>
      <c r="B1825" s="2">
        <v>46184</v>
      </c>
      <c r="C1825" t="s">
        <v>30</v>
      </c>
      <c r="D1825" t="s">
        <v>99</v>
      </c>
      <c r="E1825" t="s">
        <v>111</v>
      </c>
      <c r="F1825" t="s">
        <v>264</v>
      </c>
      <c r="G1825" t="s">
        <v>126</v>
      </c>
      <c r="H1825" t="s">
        <v>191</v>
      </c>
      <c r="I1825" t="s">
        <v>578</v>
      </c>
      <c r="J1825" t="s">
        <v>3124</v>
      </c>
      <c r="K1825" t="s">
        <v>56</v>
      </c>
      <c r="L1825" t="s">
        <v>187</v>
      </c>
      <c r="M1825" t="s">
        <v>164</v>
      </c>
      <c r="N1825" t="s">
        <v>94</v>
      </c>
      <c r="O1825" s="4">
        <v>4</v>
      </c>
      <c r="P1825" s="4">
        <v>9</v>
      </c>
      <c r="Q1825" t="s">
        <v>69</v>
      </c>
      <c r="R1825" s="2">
        <v>46176</v>
      </c>
      <c r="S1825" s="4">
        <v>27</v>
      </c>
      <c r="T1825" s="3">
        <v>221000000</v>
      </c>
      <c r="U1825" t="s">
        <v>260</v>
      </c>
      <c r="V1825" t="s">
        <v>59</v>
      </c>
      <c r="W1825" t="s">
        <v>267</v>
      </c>
      <c r="X1825" t="s">
        <v>261</v>
      </c>
      <c r="Y1825" t="s">
        <v>108</v>
      </c>
      <c r="Z1825" t="s">
        <v>3179</v>
      </c>
      <c r="AA1825" t="s">
        <v>118</v>
      </c>
      <c r="AB1825" t="s">
        <v>97</v>
      </c>
      <c r="AC1825" t="s">
        <v>118</v>
      </c>
    </row>
    <row r="1826" spans="1:29">
      <c r="A1826" t="s">
        <v>2243</v>
      </c>
      <c r="B1826" s="2">
        <v>46189</v>
      </c>
      <c r="C1826" t="s">
        <v>30</v>
      </c>
      <c r="D1826" t="s">
        <v>74</v>
      </c>
      <c r="E1826" t="s">
        <v>75</v>
      </c>
      <c r="F1826" t="s">
        <v>183</v>
      </c>
      <c r="G1826" t="s">
        <v>162</v>
      </c>
      <c r="H1826" t="s">
        <v>185</v>
      </c>
      <c r="I1826" t="s">
        <v>186</v>
      </c>
      <c r="J1826" t="s">
        <v>3024</v>
      </c>
      <c r="K1826" t="s">
        <v>92</v>
      </c>
      <c r="L1826" t="s">
        <v>150</v>
      </c>
      <c r="M1826" t="s">
        <v>164</v>
      </c>
      <c r="N1826" t="s">
        <v>130</v>
      </c>
      <c r="O1826" s="4">
        <v>5</v>
      </c>
      <c r="P1826" s="4">
        <v>13</v>
      </c>
      <c r="Q1826" t="s">
        <v>69</v>
      </c>
      <c r="R1826" s="2">
        <v>46186</v>
      </c>
      <c r="S1826" s="4">
        <v>17</v>
      </c>
      <c r="T1826" s="3">
        <v>139000000</v>
      </c>
      <c r="U1826" t="s">
        <v>42</v>
      </c>
      <c r="V1826" t="s">
        <v>70</v>
      </c>
      <c r="W1826" t="s">
        <v>355</v>
      </c>
      <c r="Y1826" t="s">
        <v>334</v>
      </c>
      <c r="Z1826" t="s">
        <v>3179</v>
      </c>
      <c r="AA1826" t="s">
        <v>86</v>
      </c>
      <c r="AB1826" t="s">
        <v>97</v>
      </c>
      <c r="AC1826" t="s">
        <v>86</v>
      </c>
    </row>
    <row r="1827" spans="1:29">
      <c r="A1827" t="s">
        <v>2244</v>
      </c>
      <c r="B1827" s="2">
        <v>46180</v>
      </c>
      <c r="C1827" t="s">
        <v>30</v>
      </c>
      <c r="D1827" t="s">
        <v>134</v>
      </c>
      <c r="E1827" t="s">
        <v>75</v>
      </c>
      <c r="F1827" t="s">
        <v>76</v>
      </c>
      <c r="G1827" t="s">
        <v>387</v>
      </c>
      <c r="H1827" t="s">
        <v>388</v>
      </c>
      <c r="I1827" t="s">
        <v>576</v>
      </c>
      <c r="J1827" t="s">
        <v>3123</v>
      </c>
      <c r="K1827" t="s">
        <v>37</v>
      </c>
      <c r="L1827" t="s">
        <v>55</v>
      </c>
      <c r="M1827" t="s">
        <v>164</v>
      </c>
      <c r="N1827" t="s">
        <v>82</v>
      </c>
      <c r="O1827" s="4">
        <v>1</v>
      </c>
      <c r="P1827" s="4">
        <v>6</v>
      </c>
      <c r="Q1827" t="s">
        <v>107</v>
      </c>
      <c r="R1827" s="2">
        <v>46175</v>
      </c>
      <c r="S1827" s="4">
        <v>28</v>
      </c>
      <c r="T1827" s="3">
        <v>128000000</v>
      </c>
      <c r="U1827" t="s">
        <v>42</v>
      </c>
      <c r="V1827" t="s">
        <v>43</v>
      </c>
      <c r="W1827" t="s">
        <v>84</v>
      </c>
      <c r="Y1827" t="s">
        <v>291</v>
      </c>
      <c r="Z1827" t="s">
        <v>3178</v>
      </c>
      <c r="AA1827" t="s">
        <v>86</v>
      </c>
      <c r="AB1827" t="s">
        <v>87</v>
      </c>
      <c r="AC1827" t="s">
        <v>86</v>
      </c>
    </row>
    <row r="1828" spans="1:29">
      <c r="A1828" t="s">
        <v>2245</v>
      </c>
      <c r="B1828" s="2">
        <v>46199</v>
      </c>
      <c r="C1828" t="s">
        <v>30</v>
      </c>
      <c r="D1828" t="s">
        <v>49</v>
      </c>
      <c r="E1828" t="s">
        <v>32</v>
      </c>
      <c r="F1828" t="s">
        <v>33</v>
      </c>
      <c r="G1828" t="s">
        <v>463</v>
      </c>
      <c r="H1828" t="s">
        <v>303</v>
      </c>
      <c r="I1828" t="s">
        <v>483</v>
      </c>
      <c r="J1828" t="s">
        <v>3100</v>
      </c>
      <c r="K1828" t="s">
        <v>56</v>
      </c>
      <c r="L1828" t="s">
        <v>150</v>
      </c>
      <c r="M1828" t="s">
        <v>93</v>
      </c>
      <c r="N1828" t="s">
        <v>94</v>
      </c>
      <c r="O1828" s="4">
        <v>4</v>
      </c>
      <c r="P1828" s="4">
        <v>6</v>
      </c>
      <c r="Q1828" t="s">
        <v>69</v>
      </c>
      <c r="R1828" s="2">
        <v>46196</v>
      </c>
      <c r="S1828" s="4">
        <v>7</v>
      </c>
      <c r="T1828" s="3">
        <v>326000000</v>
      </c>
      <c r="U1828" t="s">
        <v>42</v>
      </c>
      <c r="V1828" t="s">
        <v>59</v>
      </c>
      <c r="W1828" t="s">
        <v>267</v>
      </c>
      <c r="Y1828" t="s">
        <v>268</v>
      </c>
      <c r="Z1828" t="s">
        <v>3179</v>
      </c>
      <c r="AA1828" t="s">
        <v>46</v>
      </c>
      <c r="AB1828" t="s">
        <v>97</v>
      </c>
      <c r="AC1828" t="s">
        <v>46</v>
      </c>
    </row>
    <row r="1829" spans="1:29">
      <c r="A1829" t="s">
        <v>2246</v>
      </c>
      <c r="B1829" s="2">
        <v>46183</v>
      </c>
      <c r="C1829" t="s">
        <v>30</v>
      </c>
      <c r="D1829" t="s">
        <v>99</v>
      </c>
      <c r="E1829" t="s">
        <v>152</v>
      </c>
      <c r="F1829" t="s">
        <v>153</v>
      </c>
      <c r="G1829" t="s">
        <v>206</v>
      </c>
      <c r="H1829" t="s">
        <v>155</v>
      </c>
      <c r="I1829" t="s">
        <v>434</v>
      </c>
      <c r="J1829" t="s">
        <v>3083</v>
      </c>
      <c r="K1829" t="s">
        <v>56</v>
      </c>
      <c r="L1829" t="s">
        <v>169</v>
      </c>
      <c r="M1829" t="s">
        <v>129</v>
      </c>
      <c r="N1829" t="s">
        <v>94</v>
      </c>
      <c r="O1829" s="4">
        <v>4</v>
      </c>
      <c r="P1829" s="4">
        <v>16</v>
      </c>
      <c r="Q1829" t="s">
        <v>58</v>
      </c>
      <c r="R1829" s="2">
        <v>46179</v>
      </c>
      <c r="S1829" s="4">
        <v>24</v>
      </c>
      <c r="T1829" s="3">
        <v>455000000</v>
      </c>
      <c r="U1829" t="s">
        <v>260</v>
      </c>
      <c r="V1829" t="s">
        <v>59</v>
      </c>
      <c r="W1829" t="s">
        <v>170</v>
      </c>
      <c r="X1829" t="s">
        <v>179</v>
      </c>
      <c r="Y1829" t="s">
        <v>268</v>
      </c>
      <c r="Z1829" t="s">
        <v>3179</v>
      </c>
      <c r="AA1829" t="s">
        <v>159</v>
      </c>
      <c r="AB1829" t="s">
        <v>97</v>
      </c>
      <c r="AC1829" t="s">
        <v>159</v>
      </c>
    </row>
    <row r="1830" spans="1:29">
      <c r="A1830" t="s">
        <v>2247</v>
      </c>
      <c r="B1830" s="2">
        <v>46198</v>
      </c>
      <c r="C1830" t="s">
        <v>30</v>
      </c>
      <c r="D1830" t="s">
        <v>49</v>
      </c>
      <c r="E1830" t="s">
        <v>32</v>
      </c>
      <c r="F1830" t="s">
        <v>33</v>
      </c>
      <c r="G1830" t="s">
        <v>218</v>
      </c>
      <c r="H1830" t="s">
        <v>258</v>
      </c>
      <c r="I1830" t="s">
        <v>593</v>
      </c>
      <c r="J1830" t="s">
        <v>3127</v>
      </c>
      <c r="K1830" t="s">
        <v>92</v>
      </c>
      <c r="L1830" t="s">
        <v>150</v>
      </c>
      <c r="M1830" t="s">
        <v>164</v>
      </c>
      <c r="N1830" t="s">
        <v>40</v>
      </c>
      <c r="O1830" s="4">
        <v>2</v>
      </c>
      <c r="P1830" s="4">
        <v>4</v>
      </c>
      <c r="Q1830" t="s">
        <v>58</v>
      </c>
      <c r="R1830" s="2">
        <v>46188</v>
      </c>
      <c r="S1830" s="4">
        <v>15</v>
      </c>
      <c r="T1830" s="3">
        <v>134000000</v>
      </c>
      <c r="U1830" t="s">
        <v>42</v>
      </c>
      <c r="V1830" t="s">
        <v>43</v>
      </c>
      <c r="W1830" t="s">
        <v>44</v>
      </c>
      <c r="Y1830" t="s">
        <v>281</v>
      </c>
      <c r="Z1830" t="s">
        <v>3176</v>
      </c>
      <c r="AA1830" t="s">
        <v>46</v>
      </c>
      <c r="AB1830" t="s">
        <v>47</v>
      </c>
      <c r="AC1830" t="s">
        <v>46</v>
      </c>
    </row>
    <row r="1831" spans="1:29">
      <c r="A1831" t="s">
        <v>2248</v>
      </c>
      <c r="B1831" s="2">
        <v>46195</v>
      </c>
      <c r="C1831" t="s">
        <v>30</v>
      </c>
      <c r="D1831" t="s">
        <v>49</v>
      </c>
      <c r="E1831" t="s">
        <v>111</v>
      </c>
      <c r="F1831" t="s">
        <v>112</v>
      </c>
      <c r="G1831" t="s">
        <v>265</v>
      </c>
      <c r="H1831" t="s">
        <v>127</v>
      </c>
      <c r="I1831" t="s">
        <v>128</v>
      </c>
      <c r="J1831" t="s">
        <v>3016</v>
      </c>
      <c r="K1831" t="s">
        <v>105</v>
      </c>
      <c r="L1831" t="s">
        <v>169</v>
      </c>
      <c r="M1831" t="s">
        <v>39</v>
      </c>
      <c r="N1831" t="s">
        <v>94</v>
      </c>
      <c r="O1831" s="4">
        <v>4</v>
      </c>
      <c r="P1831" s="4">
        <v>13</v>
      </c>
      <c r="Q1831" t="s">
        <v>69</v>
      </c>
      <c r="R1831" s="2">
        <v>46187</v>
      </c>
      <c r="S1831" s="4">
        <v>16</v>
      </c>
      <c r="T1831" s="3">
        <v>374000000</v>
      </c>
      <c r="U1831" t="s">
        <v>42</v>
      </c>
      <c r="V1831" t="s">
        <v>70</v>
      </c>
      <c r="W1831" t="s">
        <v>267</v>
      </c>
      <c r="Y1831" t="s">
        <v>108</v>
      </c>
      <c r="Z1831" t="s">
        <v>3179</v>
      </c>
      <c r="AA1831" t="s">
        <v>118</v>
      </c>
      <c r="AB1831" t="s">
        <v>97</v>
      </c>
      <c r="AC1831" t="s">
        <v>118</v>
      </c>
    </row>
    <row r="1832" spans="1:29">
      <c r="A1832" t="s">
        <v>2249</v>
      </c>
      <c r="B1832" s="2">
        <v>46191</v>
      </c>
      <c r="C1832" t="s">
        <v>30</v>
      </c>
      <c r="D1832" t="s">
        <v>74</v>
      </c>
      <c r="E1832" t="s">
        <v>100</v>
      </c>
      <c r="F1832" t="s">
        <v>140</v>
      </c>
      <c r="G1832" t="s">
        <v>147</v>
      </c>
      <c r="H1832" t="s">
        <v>201</v>
      </c>
      <c r="I1832" t="s">
        <v>371</v>
      </c>
      <c r="J1832" t="s">
        <v>3065</v>
      </c>
      <c r="K1832" t="s">
        <v>56</v>
      </c>
      <c r="L1832" t="s">
        <v>187</v>
      </c>
      <c r="M1832" t="s">
        <v>39</v>
      </c>
      <c r="N1832" t="s">
        <v>213</v>
      </c>
      <c r="O1832" s="4">
        <v>6</v>
      </c>
      <c r="P1832" s="4">
        <v>21</v>
      </c>
      <c r="Q1832" t="s">
        <v>83</v>
      </c>
      <c r="R1832" s="2">
        <v>46189</v>
      </c>
      <c r="S1832" s="4">
        <v>14</v>
      </c>
      <c r="T1832" s="3">
        <v>308000000</v>
      </c>
      <c r="U1832" t="s">
        <v>214</v>
      </c>
      <c r="V1832" t="s">
        <v>70</v>
      </c>
      <c r="W1832" t="s">
        <v>438</v>
      </c>
      <c r="Y1832" t="s">
        <v>216</v>
      </c>
      <c r="Z1832" t="s">
        <v>3179</v>
      </c>
      <c r="AA1832" t="s">
        <v>109</v>
      </c>
      <c r="AB1832" t="s">
        <v>97</v>
      </c>
      <c r="AC1832" t="s">
        <v>109</v>
      </c>
    </row>
    <row r="1833" spans="1:29">
      <c r="A1833" t="s">
        <v>2250</v>
      </c>
      <c r="B1833" s="2">
        <v>46195</v>
      </c>
      <c r="C1833" t="s">
        <v>30</v>
      </c>
      <c r="D1833" t="s">
        <v>49</v>
      </c>
      <c r="E1833" t="s">
        <v>152</v>
      </c>
      <c r="F1833" t="s">
        <v>205</v>
      </c>
      <c r="G1833" t="s">
        <v>294</v>
      </c>
      <c r="H1833" t="s">
        <v>283</v>
      </c>
      <c r="I1833" t="s">
        <v>663</v>
      </c>
      <c r="J1833" t="s">
        <v>3145</v>
      </c>
      <c r="K1833" t="s">
        <v>37</v>
      </c>
      <c r="L1833" t="s">
        <v>38</v>
      </c>
      <c r="M1833" t="s">
        <v>56</v>
      </c>
      <c r="N1833" t="s">
        <v>82</v>
      </c>
      <c r="O1833" s="4">
        <v>1</v>
      </c>
      <c r="P1833" s="4">
        <v>15</v>
      </c>
      <c r="Q1833" t="s">
        <v>107</v>
      </c>
      <c r="R1833" s="2">
        <v>46189</v>
      </c>
      <c r="S1833" s="4">
        <v>14</v>
      </c>
      <c r="T1833" s="3">
        <v>244000000</v>
      </c>
      <c r="U1833" t="s">
        <v>42</v>
      </c>
      <c r="V1833" t="s">
        <v>43</v>
      </c>
      <c r="W1833" t="s">
        <v>359</v>
      </c>
      <c r="Y1833" t="s">
        <v>305</v>
      </c>
      <c r="Z1833" t="s">
        <v>3180</v>
      </c>
      <c r="AA1833" t="s">
        <v>159</v>
      </c>
      <c r="AB1833" t="s">
        <v>193</v>
      </c>
      <c r="AC1833" t="s">
        <v>159</v>
      </c>
    </row>
    <row r="1834" spans="1:29">
      <c r="A1834" t="s">
        <v>2251</v>
      </c>
      <c r="B1834" s="2">
        <v>46198</v>
      </c>
      <c r="C1834" t="s">
        <v>30</v>
      </c>
      <c r="D1834" t="s">
        <v>49</v>
      </c>
      <c r="E1834" t="s">
        <v>172</v>
      </c>
      <c r="F1834" t="s">
        <v>277</v>
      </c>
      <c r="G1834" t="s">
        <v>278</v>
      </c>
      <c r="H1834" t="s">
        <v>317</v>
      </c>
      <c r="I1834" t="s">
        <v>478</v>
      </c>
      <c r="J1834" t="s">
        <v>3099</v>
      </c>
      <c r="K1834" t="s">
        <v>37</v>
      </c>
      <c r="L1834" t="s">
        <v>80</v>
      </c>
      <c r="M1834" t="s">
        <v>81</v>
      </c>
      <c r="N1834" t="s">
        <v>57</v>
      </c>
      <c r="O1834" s="4">
        <v>3</v>
      </c>
      <c r="P1834" s="4">
        <v>3</v>
      </c>
      <c r="Q1834" t="s">
        <v>138</v>
      </c>
      <c r="R1834" s="2">
        <v>46194</v>
      </c>
      <c r="S1834" s="4">
        <v>9</v>
      </c>
      <c r="T1834" s="3">
        <v>198000000</v>
      </c>
      <c r="U1834" t="s">
        <v>42</v>
      </c>
      <c r="V1834" t="s">
        <v>59</v>
      </c>
      <c r="W1834" t="s">
        <v>71</v>
      </c>
      <c r="Y1834" t="s">
        <v>72</v>
      </c>
      <c r="Z1834" t="s">
        <v>3177</v>
      </c>
      <c r="AA1834" t="s">
        <v>181</v>
      </c>
      <c r="AB1834" t="s">
        <v>63</v>
      </c>
      <c r="AC1834" t="s">
        <v>181</v>
      </c>
    </row>
    <row r="1835" spans="1:29">
      <c r="A1835" t="s">
        <v>2252</v>
      </c>
      <c r="B1835" s="2">
        <v>46196</v>
      </c>
      <c r="C1835" t="s">
        <v>30</v>
      </c>
      <c r="D1835" t="s">
        <v>49</v>
      </c>
      <c r="E1835" t="s">
        <v>152</v>
      </c>
      <c r="F1835" t="s">
        <v>153</v>
      </c>
      <c r="G1835" t="s">
        <v>294</v>
      </c>
      <c r="H1835" t="s">
        <v>207</v>
      </c>
      <c r="I1835" t="s">
        <v>773</v>
      </c>
      <c r="J1835" t="s">
        <v>3153</v>
      </c>
      <c r="K1835" t="s">
        <v>37</v>
      </c>
      <c r="L1835" t="s">
        <v>187</v>
      </c>
      <c r="M1835" t="s">
        <v>39</v>
      </c>
      <c r="N1835" t="s">
        <v>94</v>
      </c>
      <c r="O1835" s="4">
        <v>4</v>
      </c>
      <c r="P1835" s="4">
        <v>16</v>
      </c>
      <c r="Q1835" t="s">
        <v>138</v>
      </c>
      <c r="R1835" s="2">
        <v>46194</v>
      </c>
      <c r="S1835" s="4">
        <v>9</v>
      </c>
      <c r="T1835" s="3">
        <v>186000000</v>
      </c>
      <c r="U1835" t="s">
        <v>426</v>
      </c>
      <c r="V1835" t="s">
        <v>59</v>
      </c>
      <c r="W1835" t="s">
        <v>267</v>
      </c>
      <c r="X1835" t="s">
        <v>520</v>
      </c>
      <c r="Y1835" t="s">
        <v>268</v>
      </c>
      <c r="Z1835" t="s">
        <v>3179</v>
      </c>
      <c r="AA1835" t="s">
        <v>159</v>
      </c>
      <c r="AB1835" t="s">
        <v>97</v>
      </c>
      <c r="AC1835" t="s">
        <v>159</v>
      </c>
    </row>
    <row r="1836" spans="1:29">
      <c r="A1836" t="s">
        <v>2253</v>
      </c>
      <c r="B1836" s="2">
        <v>46175</v>
      </c>
      <c r="C1836" t="s">
        <v>30</v>
      </c>
      <c r="D1836" t="s">
        <v>134</v>
      </c>
      <c r="E1836" t="s">
        <v>75</v>
      </c>
      <c r="F1836" t="s">
        <v>76</v>
      </c>
      <c r="G1836" t="s">
        <v>77</v>
      </c>
      <c r="H1836" t="s">
        <v>78</v>
      </c>
      <c r="I1836" t="s">
        <v>79</v>
      </c>
      <c r="J1836" t="s">
        <v>3011</v>
      </c>
      <c r="K1836" t="s">
        <v>92</v>
      </c>
      <c r="L1836" t="s">
        <v>150</v>
      </c>
      <c r="M1836" t="s">
        <v>129</v>
      </c>
      <c r="N1836" t="s">
        <v>94</v>
      </c>
      <c r="O1836" s="4">
        <v>4</v>
      </c>
      <c r="P1836" s="4">
        <v>11</v>
      </c>
      <c r="Q1836" t="s">
        <v>83</v>
      </c>
      <c r="R1836" s="2">
        <v>46170</v>
      </c>
      <c r="S1836" s="4">
        <v>33</v>
      </c>
      <c r="T1836" s="3">
        <v>168000000</v>
      </c>
      <c r="U1836" t="s">
        <v>42</v>
      </c>
      <c r="V1836" t="s">
        <v>59</v>
      </c>
      <c r="W1836" t="s">
        <v>95</v>
      </c>
      <c r="Y1836" t="s">
        <v>268</v>
      </c>
      <c r="Z1836" t="s">
        <v>3179</v>
      </c>
      <c r="AA1836" t="s">
        <v>86</v>
      </c>
      <c r="AB1836" t="s">
        <v>97</v>
      </c>
      <c r="AC1836" t="s">
        <v>86</v>
      </c>
    </row>
    <row r="1837" spans="1:29">
      <c r="A1837" t="s">
        <v>2254</v>
      </c>
      <c r="B1837" s="2">
        <v>46198</v>
      </c>
      <c r="C1837" t="s">
        <v>30</v>
      </c>
      <c r="D1837" t="s">
        <v>49</v>
      </c>
      <c r="E1837" t="s">
        <v>152</v>
      </c>
      <c r="F1837" t="s">
        <v>153</v>
      </c>
      <c r="G1837" t="s">
        <v>154</v>
      </c>
      <c r="H1837" t="s">
        <v>283</v>
      </c>
      <c r="I1837" t="s">
        <v>474</v>
      </c>
      <c r="J1837" t="s">
        <v>3098</v>
      </c>
      <c r="K1837" t="s">
        <v>105</v>
      </c>
      <c r="L1837" t="s">
        <v>80</v>
      </c>
      <c r="M1837" t="s">
        <v>39</v>
      </c>
      <c r="N1837" t="s">
        <v>40</v>
      </c>
      <c r="O1837" s="4">
        <v>2</v>
      </c>
      <c r="P1837" s="4">
        <v>6</v>
      </c>
      <c r="Q1837" t="s">
        <v>107</v>
      </c>
      <c r="R1837" s="2">
        <v>46193</v>
      </c>
      <c r="S1837" s="4">
        <v>10</v>
      </c>
      <c r="T1837" s="3">
        <v>57000000</v>
      </c>
      <c r="U1837" t="s">
        <v>42</v>
      </c>
      <c r="V1837" t="s">
        <v>59</v>
      </c>
      <c r="W1837" t="s">
        <v>44</v>
      </c>
      <c r="Y1837" t="s">
        <v>281</v>
      </c>
      <c r="Z1837" t="s">
        <v>3178</v>
      </c>
      <c r="AA1837" t="s">
        <v>159</v>
      </c>
      <c r="AB1837" t="s">
        <v>87</v>
      </c>
      <c r="AC1837" t="s">
        <v>159</v>
      </c>
    </row>
    <row r="1838" spans="1:29">
      <c r="A1838" t="s">
        <v>2255</v>
      </c>
      <c r="B1838" s="2">
        <v>46178</v>
      </c>
      <c r="C1838" t="s">
        <v>30</v>
      </c>
      <c r="D1838" t="s">
        <v>134</v>
      </c>
      <c r="E1838" t="s">
        <v>111</v>
      </c>
      <c r="F1838" t="s">
        <v>264</v>
      </c>
      <c r="G1838" t="s">
        <v>265</v>
      </c>
      <c r="H1838" t="s">
        <v>127</v>
      </c>
      <c r="I1838" t="s">
        <v>734</v>
      </c>
      <c r="J1838" t="s">
        <v>3150</v>
      </c>
      <c r="K1838" t="s">
        <v>105</v>
      </c>
      <c r="L1838" t="s">
        <v>169</v>
      </c>
      <c r="M1838" t="s">
        <v>93</v>
      </c>
      <c r="N1838" t="s">
        <v>94</v>
      </c>
      <c r="O1838" s="4">
        <v>4</v>
      </c>
      <c r="P1838" s="4">
        <v>9</v>
      </c>
      <c r="Q1838" t="s">
        <v>69</v>
      </c>
      <c r="R1838" s="2">
        <v>46174</v>
      </c>
      <c r="S1838" s="4">
        <v>29</v>
      </c>
      <c r="T1838" s="3">
        <v>349000000</v>
      </c>
      <c r="U1838" t="s">
        <v>42</v>
      </c>
      <c r="V1838" t="s">
        <v>59</v>
      </c>
      <c r="W1838" t="s">
        <v>170</v>
      </c>
      <c r="X1838" t="s">
        <v>117</v>
      </c>
      <c r="Y1838" t="s">
        <v>268</v>
      </c>
      <c r="Z1838" t="s">
        <v>3179</v>
      </c>
      <c r="AA1838" t="s">
        <v>118</v>
      </c>
      <c r="AB1838" t="s">
        <v>97</v>
      </c>
      <c r="AC1838" t="s">
        <v>118</v>
      </c>
    </row>
    <row r="1839" spans="1:29">
      <c r="A1839" t="s">
        <v>2256</v>
      </c>
      <c r="B1839" s="2">
        <v>46189</v>
      </c>
      <c r="C1839" t="s">
        <v>30</v>
      </c>
      <c r="D1839" t="s">
        <v>74</v>
      </c>
      <c r="E1839" t="s">
        <v>172</v>
      </c>
      <c r="F1839" t="s">
        <v>173</v>
      </c>
      <c r="G1839" t="s">
        <v>476</v>
      </c>
      <c r="H1839" t="s">
        <v>175</v>
      </c>
      <c r="I1839" t="s">
        <v>176</v>
      </c>
      <c r="J1839" t="s">
        <v>3023</v>
      </c>
      <c r="K1839" t="s">
        <v>56</v>
      </c>
      <c r="L1839" t="s">
        <v>55</v>
      </c>
      <c r="M1839" t="s">
        <v>129</v>
      </c>
      <c r="N1839" t="s">
        <v>57</v>
      </c>
      <c r="O1839" s="4">
        <v>3</v>
      </c>
      <c r="P1839" s="4">
        <v>9</v>
      </c>
      <c r="Q1839" t="s">
        <v>83</v>
      </c>
      <c r="R1839" s="2">
        <v>46181</v>
      </c>
      <c r="S1839" s="4">
        <v>22</v>
      </c>
      <c r="T1839" s="3">
        <v>131000000</v>
      </c>
      <c r="U1839" t="s">
        <v>42</v>
      </c>
      <c r="V1839" t="s">
        <v>59</v>
      </c>
      <c r="W1839" t="s">
        <v>60</v>
      </c>
      <c r="Y1839" t="s">
        <v>158</v>
      </c>
      <c r="Z1839" t="s">
        <v>3177</v>
      </c>
      <c r="AA1839" t="s">
        <v>181</v>
      </c>
      <c r="AB1839" t="s">
        <v>63</v>
      </c>
      <c r="AC1839" t="s">
        <v>181</v>
      </c>
    </row>
    <row r="1840" spans="1:29">
      <c r="A1840" t="s">
        <v>2257</v>
      </c>
      <c r="B1840" s="2">
        <v>46174</v>
      </c>
      <c r="C1840" t="s">
        <v>30</v>
      </c>
      <c r="D1840" t="s">
        <v>134</v>
      </c>
      <c r="E1840" t="s">
        <v>120</v>
      </c>
      <c r="F1840" t="s">
        <v>246</v>
      </c>
      <c r="G1840" t="s">
        <v>122</v>
      </c>
      <c r="H1840" t="s">
        <v>123</v>
      </c>
      <c r="I1840" t="s">
        <v>336</v>
      </c>
      <c r="J1840" t="s">
        <v>3055</v>
      </c>
      <c r="K1840" t="s">
        <v>37</v>
      </c>
      <c r="L1840" t="s">
        <v>187</v>
      </c>
      <c r="M1840" t="s">
        <v>106</v>
      </c>
      <c r="N1840" t="s">
        <v>94</v>
      </c>
      <c r="O1840" s="4">
        <v>4</v>
      </c>
      <c r="P1840" s="4">
        <v>5</v>
      </c>
      <c r="Q1840" t="s">
        <v>107</v>
      </c>
      <c r="R1840" s="2">
        <v>46170</v>
      </c>
      <c r="S1840" s="4">
        <v>33</v>
      </c>
      <c r="T1840" s="3">
        <v>268000000</v>
      </c>
      <c r="U1840" t="s">
        <v>260</v>
      </c>
      <c r="V1840" t="s">
        <v>59</v>
      </c>
      <c r="W1840" t="s">
        <v>170</v>
      </c>
      <c r="X1840" t="s">
        <v>179</v>
      </c>
      <c r="Y1840" t="s">
        <v>96</v>
      </c>
      <c r="Z1840" t="s">
        <v>3179</v>
      </c>
      <c r="AA1840" t="s">
        <v>97</v>
      </c>
      <c r="AB1840" t="s">
        <v>97</v>
      </c>
      <c r="AC1840" t="s">
        <v>97</v>
      </c>
    </row>
    <row r="1841" spans="1:29">
      <c r="A1841" t="s">
        <v>2258</v>
      </c>
      <c r="B1841" s="2">
        <v>46176</v>
      </c>
      <c r="C1841" t="s">
        <v>30</v>
      </c>
      <c r="D1841" t="s">
        <v>134</v>
      </c>
      <c r="E1841" t="s">
        <v>111</v>
      </c>
      <c r="F1841" t="s">
        <v>190</v>
      </c>
      <c r="G1841" t="s">
        <v>265</v>
      </c>
      <c r="H1841" t="s">
        <v>127</v>
      </c>
      <c r="I1841" t="s">
        <v>349</v>
      </c>
      <c r="J1841" t="s">
        <v>3059</v>
      </c>
      <c r="K1841" t="s">
        <v>56</v>
      </c>
      <c r="L1841" t="s">
        <v>80</v>
      </c>
      <c r="M1841" t="s">
        <v>39</v>
      </c>
      <c r="N1841" t="s">
        <v>213</v>
      </c>
      <c r="O1841" s="4">
        <v>6</v>
      </c>
      <c r="P1841" s="4">
        <v>10</v>
      </c>
      <c r="Q1841" t="s">
        <v>107</v>
      </c>
      <c r="R1841" s="2">
        <v>46167</v>
      </c>
      <c r="S1841" s="4">
        <v>36</v>
      </c>
      <c r="T1841" s="3">
        <v>128000000</v>
      </c>
      <c r="U1841" t="s">
        <v>214</v>
      </c>
      <c r="V1841" t="s">
        <v>143</v>
      </c>
      <c r="W1841" t="s">
        <v>248</v>
      </c>
      <c r="Y1841" t="s">
        <v>249</v>
      </c>
      <c r="Z1841" t="s">
        <v>3179</v>
      </c>
      <c r="AA1841" t="s">
        <v>118</v>
      </c>
      <c r="AB1841" t="s">
        <v>97</v>
      </c>
      <c r="AC1841" t="s">
        <v>118</v>
      </c>
    </row>
    <row r="1842" spans="1:29">
      <c r="A1842" t="s">
        <v>2259</v>
      </c>
      <c r="B1842" s="2">
        <v>46202</v>
      </c>
      <c r="C1842" t="s">
        <v>30</v>
      </c>
      <c r="D1842" t="s">
        <v>31</v>
      </c>
      <c r="E1842" t="s">
        <v>75</v>
      </c>
      <c r="F1842" t="s">
        <v>161</v>
      </c>
      <c r="G1842" t="s">
        <v>162</v>
      </c>
      <c r="H1842" t="s">
        <v>185</v>
      </c>
      <c r="I1842" t="s">
        <v>721</v>
      </c>
      <c r="J1842" t="s">
        <v>3147</v>
      </c>
      <c r="K1842" t="s">
        <v>37</v>
      </c>
      <c r="L1842" t="s">
        <v>80</v>
      </c>
      <c r="M1842" t="s">
        <v>93</v>
      </c>
      <c r="N1842" t="s">
        <v>57</v>
      </c>
      <c r="O1842" s="4">
        <v>3</v>
      </c>
      <c r="P1842" s="4">
        <v>9</v>
      </c>
      <c r="Q1842" t="s">
        <v>107</v>
      </c>
      <c r="R1842" s="2">
        <v>46195</v>
      </c>
      <c r="S1842" s="4">
        <v>8</v>
      </c>
      <c r="T1842" s="3">
        <v>71000000</v>
      </c>
      <c r="U1842" t="s">
        <v>42</v>
      </c>
      <c r="V1842" t="s">
        <v>59</v>
      </c>
      <c r="W1842" t="s">
        <v>60</v>
      </c>
      <c r="Y1842" t="s">
        <v>165</v>
      </c>
      <c r="Z1842" t="s">
        <v>3177</v>
      </c>
      <c r="AA1842" t="s">
        <v>86</v>
      </c>
      <c r="AB1842" t="s">
        <v>63</v>
      </c>
      <c r="AC1842" t="s">
        <v>86</v>
      </c>
    </row>
    <row r="1843" spans="1:29">
      <c r="A1843" t="s">
        <v>2260</v>
      </c>
      <c r="B1843" s="2">
        <v>46177</v>
      </c>
      <c r="C1843" t="s">
        <v>30</v>
      </c>
      <c r="D1843" t="s">
        <v>134</v>
      </c>
      <c r="E1843" t="s">
        <v>50</v>
      </c>
      <c r="F1843" t="s">
        <v>89</v>
      </c>
      <c r="G1843" t="s">
        <v>65</v>
      </c>
      <c r="H1843" t="s">
        <v>53</v>
      </c>
      <c r="I1843" t="s">
        <v>54</v>
      </c>
      <c r="J1843" t="s">
        <v>3009</v>
      </c>
      <c r="K1843" t="s">
        <v>92</v>
      </c>
      <c r="L1843" t="s">
        <v>187</v>
      </c>
      <c r="M1843" t="s">
        <v>56</v>
      </c>
      <c r="N1843" t="s">
        <v>213</v>
      </c>
      <c r="O1843" s="4">
        <v>6</v>
      </c>
      <c r="P1843" s="4">
        <v>12</v>
      </c>
      <c r="Q1843" t="s">
        <v>41</v>
      </c>
      <c r="R1843" s="2">
        <v>46167</v>
      </c>
      <c r="S1843" s="4">
        <v>36</v>
      </c>
      <c r="T1843" s="3">
        <v>170000000</v>
      </c>
      <c r="U1843" t="s">
        <v>214</v>
      </c>
      <c r="V1843" t="s">
        <v>59</v>
      </c>
      <c r="W1843" t="s">
        <v>215</v>
      </c>
      <c r="Y1843" t="s">
        <v>432</v>
      </c>
      <c r="Z1843" t="s">
        <v>3179</v>
      </c>
      <c r="AA1843" t="s">
        <v>62</v>
      </c>
      <c r="AB1843" t="s">
        <v>97</v>
      </c>
      <c r="AC1843" t="s">
        <v>62</v>
      </c>
    </row>
    <row r="1844" spans="1:29">
      <c r="A1844" t="s">
        <v>2261</v>
      </c>
      <c r="B1844" s="2">
        <v>46179</v>
      </c>
      <c r="C1844" t="s">
        <v>30</v>
      </c>
      <c r="D1844" t="s">
        <v>134</v>
      </c>
      <c r="E1844" t="s">
        <v>50</v>
      </c>
      <c r="F1844" t="s">
        <v>51</v>
      </c>
      <c r="G1844" t="s">
        <v>270</v>
      </c>
      <c r="H1844" t="s">
        <v>66</v>
      </c>
      <c r="I1844" t="s">
        <v>902</v>
      </c>
      <c r="J1844" t="s">
        <v>3165</v>
      </c>
      <c r="K1844" t="s">
        <v>56</v>
      </c>
      <c r="L1844" t="s">
        <v>187</v>
      </c>
      <c r="M1844" t="s">
        <v>39</v>
      </c>
      <c r="N1844" t="s">
        <v>94</v>
      </c>
      <c r="O1844" s="4">
        <v>4</v>
      </c>
      <c r="P1844" s="4">
        <v>11</v>
      </c>
      <c r="Q1844" t="s">
        <v>142</v>
      </c>
      <c r="R1844" s="2">
        <v>46169</v>
      </c>
      <c r="S1844" s="4">
        <v>34</v>
      </c>
      <c r="T1844" s="3">
        <v>242000000</v>
      </c>
      <c r="U1844" t="s">
        <v>42</v>
      </c>
      <c r="V1844" t="s">
        <v>59</v>
      </c>
      <c r="W1844" t="s">
        <v>267</v>
      </c>
      <c r="X1844" t="s">
        <v>253</v>
      </c>
      <c r="Y1844" t="s">
        <v>228</v>
      </c>
      <c r="Z1844" t="s">
        <v>3179</v>
      </c>
      <c r="AA1844" t="s">
        <v>62</v>
      </c>
      <c r="AB1844" t="s">
        <v>97</v>
      </c>
      <c r="AC1844" t="s">
        <v>62</v>
      </c>
    </row>
    <row r="1845" spans="1:29">
      <c r="A1845" t="s">
        <v>2262</v>
      </c>
      <c r="B1845" s="2">
        <v>46203</v>
      </c>
      <c r="C1845" t="s">
        <v>30</v>
      </c>
      <c r="D1845" t="s">
        <v>31</v>
      </c>
      <c r="E1845" t="s">
        <v>111</v>
      </c>
      <c r="F1845" t="s">
        <v>264</v>
      </c>
      <c r="G1845" t="s">
        <v>126</v>
      </c>
      <c r="H1845" t="s">
        <v>191</v>
      </c>
      <c r="I1845" t="s">
        <v>449</v>
      </c>
      <c r="J1845" t="s">
        <v>3089</v>
      </c>
      <c r="K1845" t="s">
        <v>56</v>
      </c>
      <c r="L1845" t="s">
        <v>80</v>
      </c>
      <c r="M1845" t="s">
        <v>129</v>
      </c>
      <c r="N1845" t="s">
        <v>94</v>
      </c>
      <c r="O1845" s="4">
        <v>4</v>
      </c>
      <c r="P1845" s="4">
        <v>11</v>
      </c>
      <c r="Q1845" t="s">
        <v>107</v>
      </c>
      <c r="R1845" s="2">
        <v>46193</v>
      </c>
      <c r="S1845" s="4">
        <v>10</v>
      </c>
      <c r="T1845" s="3">
        <v>173000000</v>
      </c>
      <c r="U1845" t="s">
        <v>42</v>
      </c>
      <c r="V1845" t="s">
        <v>70</v>
      </c>
      <c r="W1845" t="s">
        <v>95</v>
      </c>
      <c r="X1845" t="s">
        <v>253</v>
      </c>
      <c r="Y1845" t="s">
        <v>108</v>
      </c>
      <c r="Z1845" t="s">
        <v>3179</v>
      </c>
      <c r="AA1845" t="s">
        <v>118</v>
      </c>
      <c r="AB1845" t="s">
        <v>97</v>
      </c>
      <c r="AC1845" t="s">
        <v>118</v>
      </c>
    </row>
    <row r="1846" spans="1:29">
      <c r="A1846" t="s">
        <v>2263</v>
      </c>
      <c r="B1846" s="2">
        <v>46174</v>
      </c>
      <c r="C1846" t="s">
        <v>30</v>
      </c>
      <c r="D1846" t="s">
        <v>134</v>
      </c>
      <c r="E1846" t="s">
        <v>32</v>
      </c>
      <c r="F1846" t="s">
        <v>273</v>
      </c>
      <c r="G1846" t="s">
        <v>218</v>
      </c>
      <c r="H1846" t="s">
        <v>35</v>
      </c>
      <c r="I1846" t="s">
        <v>862</v>
      </c>
      <c r="J1846" t="s">
        <v>3164</v>
      </c>
      <c r="K1846" t="s">
        <v>56</v>
      </c>
      <c r="L1846" t="s">
        <v>55</v>
      </c>
      <c r="M1846" t="s">
        <v>39</v>
      </c>
      <c r="N1846" t="s">
        <v>82</v>
      </c>
      <c r="O1846" s="4">
        <v>1</v>
      </c>
      <c r="P1846" s="4">
        <v>2</v>
      </c>
      <c r="Q1846" t="s">
        <v>142</v>
      </c>
      <c r="R1846" s="2">
        <v>46170</v>
      </c>
      <c r="S1846" s="4">
        <v>33</v>
      </c>
      <c r="T1846" s="3">
        <v>295000000</v>
      </c>
      <c r="U1846" t="s">
        <v>42</v>
      </c>
      <c r="V1846" t="s">
        <v>43</v>
      </c>
      <c r="W1846" t="s">
        <v>84</v>
      </c>
      <c r="Y1846" t="s">
        <v>85</v>
      </c>
      <c r="Z1846" t="s">
        <v>3176</v>
      </c>
      <c r="AA1846" t="s">
        <v>46</v>
      </c>
      <c r="AB1846" t="s">
        <v>47</v>
      </c>
      <c r="AC1846" t="s">
        <v>46</v>
      </c>
    </row>
    <row r="1847" spans="1:29">
      <c r="A1847" t="s">
        <v>2264</v>
      </c>
      <c r="B1847" s="2">
        <v>46191</v>
      </c>
      <c r="C1847" t="s">
        <v>30</v>
      </c>
      <c r="D1847" t="s">
        <v>74</v>
      </c>
      <c r="E1847" t="s">
        <v>75</v>
      </c>
      <c r="F1847" t="s">
        <v>183</v>
      </c>
      <c r="G1847" t="s">
        <v>184</v>
      </c>
      <c r="H1847" t="s">
        <v>78</v>
      </c>
      <c r="I1847" t="s">
        <v>494</v>
      </c>
      <c r="J1847" t="s">
        <v>3104</v>
      </c>
      <c r="K1847" t="s">
        <v>56</v>
      </c>
      <c r="L1847" t="s">
        <v>68</v>
      </c>
      <c r="M1847" t="s">
        <v>39</v>
      </c>
      <c r="N1847" t="s">
        <v>130</v>
      </c>
      <c r="O1847" s="4">
        <v>5</v>
      </c>
      <c r="P1847" s="4">
        <v>12</v>
      </c>
      <c r="Q1847" t="s">
        <v>69</v>
      </c>
      <c r="R1847" s="2">
        <v>46190</v>
      </c>
      <c r="S1847" s="4">
        <v>13</v>
      </c>
      <c r="T1847" s="3">
        <v>417000000</v>
      </c>
      <c r="U1847" t="s">
        <v>42</v>
      </c>
      <c r="V1847" t="s">
        <v>143</v>
      </c>
      <c r="W1847" t="s">
        <v>144</v>
      </c>
      <c r="Y1847" t="s">
        <v>334</v>
      </c>
      <c r="Z1847" t="s">
        <v>3179</v>
      </c>
      <c r="AA1847" t="s">
        <v>86</v>
      </c>
      <c r="AB1847" t="s">
        <v>97</v>
      </c>
      <c r="AC1847" t="s">
        <v>86</v>
      </c>
    </row>
    <row r="1848" spans="1:29">
      <c r="A1848" t="s">
        <v>2265</v>
      </c>
      <c r="B1848" s="2">
        <v>46178</v>
      </c>
      <c r="C1848" t="s">
        <v>30</v>
      </c>
      <c r="D1848" t="s">
        <v>134</v>
      </c>
      <c r="E1848" t="s">
        <v>32</v>
      </c>
      <c r="F1848" t="s">
        <v>256</v>
      </c>
      <c r="G1848" t="s">
        <v>463</v>
      </c>
      <c r="H1848" t="s">
        <v>35</v>
      </c>
      <c r="I1848" t="s">
        <v>323</v>
      </c>
      <c r="J1848" t="s">
        <v>3052</v>
      </c>
      <c r="K1848" t="s">
        <v>37</v>
      </c>
      <c r="L1848" t="s">
        <v>68</v>
      </c>
      <c r="M1848" t="s">
        <v>164</v>
      </c>
      <c r="N1848" t="s">
        <v>130</v>
      </c>
      <c r="O1848" s="4">
        <v>5</v>
      </c>
      <c r="P1848" s="4">
        <v>5</v>
      </c>
      <c r="Q1848" t="s">
        <v>69</v>
      </c>
      <c r="R1848" s="2">
        <v>46169</v>
      </c>
      <c r="S1848" s="4">
        <v>34</v>
      </c>
      <c r="T1848" s="3">
        <v>185000000</v>
      </c>
      <c r="U1848" t="s">
        <v>42</v>
      </c>
      <c r="V1848" t="s">
        <v>59</v>
      </c>
      <c r="W1848" t="s">
        <v>252</v>
      </c>
      <c r="Y1848" t="s">
        <v>334</v>
      </c>
      <c r="Z1848" t="s">
        <v>3179</v>
      </c>
      <c r="AA1848" t="s">
        <v>46</v>
      </c>
      <c r="AB1848" t="s">
        <v>97</v>
      </c>
      <c r="AC1848" t="s">
        <v>46</v>
      </c>
    </row>
    <row r="1849" spans="1:29">
      <c r="A1849" t="s">
        <v>2266</v>
      </c>
      <c r="B1849" s="2">
        <v>46197</v>
      </c>
      <c r="C1849" t="s">
        <v>30</v>
      </c>
      <c r="D1849" t="s">
        <v>49</v>
      </c>
      <c r="E1849" t="s">
        <v>50</v>
      </c>
      <c r="F1849" t="s">
        <v>89</v>
      </c>
      <c r="G1849" t="s">
        <v>343</v>
      </c>
      <c r="H1849" t="s">
        <v>53</v>
      </c>
      <c r="I1849" t="s">
        <v>307</v>
      </c>
      <c r="J1849" t="s">
        <v>3047</v>
      </c>
      <c r="K1849" t="s">
        <v>37</v>
      </c>
      <c r="L1849" t="s">
        <v>80</v>
      </c>
      <c r="M1849" t="s">
        <v>129</v>
      </c>
      <c r="N1849" t="s">
        <v>40</v>
      </c>
      <c r="O1849" s="4">
        <v>2</v>
      </c>
      <c r="P1849" s="4">
        <v>13</v>
      </c>
      <c r="Q1849" t="s">
        <v>142</v>
      </c>
      <c r="R1849" s="2">
        <v>46188</v>
      </c>
      <c r="S1849" s="4">
        <v>15</v>
      </c>
      <c r="T1849" s="3">
        <v>103000000</v>
      </c>
      <c r="U1849" t="s">
        <v>42</v>
      </c>
      <c r="V1849" t="s">
        <v>43</v>
      </c>
      <c r="W1849" t="s">
        <v>298</v>
      </c>
      <c r="Y1849" t="s">
        <v>281</v>
      </c>
      <c r="Z1849" t="s">
        <v>3180</v>
      </c>
      <c r="AA1849" t="s">
        <v>62</v>
      </c>
      <c r="AB1849" t="s">
        <v>193</v>
      </c>
      <c r="AC1849" t="s">
        <v>62</v>
      </c>
    </row>
    <row r="1850" spans="1:29">
      <c r="A1850" t="s">
        <v>2267</v>
      </c>
      <c r="B1850" s="2">
        <v>46186</v>
      </c>
      <c r="C1850" t="s">
        <v>30</v>
      </c>
      <c r="D1850" t="s">
        <v>99</v>
      </c>
      <c r="E1850" t="s">
        <v>50</v>
      </c>
      <c r="F1850" t="s">
        <v>89</v>
      </c>
      <c r="G1850" t="s">
        <v>270</v>
      </c>
      <c r="H1850" t="s">
        <v>90</v>
      </c>
      <c r="I1850" t="s">
        <v>585</v>
      </c>
      <c r="J1850" t="s">
        <v>3126</v>
      </c>
      <c r="K1850" t="s">
        <v>92</v>
      </c>
      <c r="L1850" t="s">
        <v>55</v>
      </c>
      <c r="M1850" t="s">
        <v>39</v>
      </c>
      <c r="N1850" t="s">
        <v>130</v>
      </c>
      <c r="O1850" s="4">
        <v>5</v>
      </c>
      <c r="P1850" s="4">
        <v>8</v>
      </c>
      <c r="Q1850" t="s">
        <v>58</v>
      </c>
      <c r="R1850" s="2">
        <v>46180</v>
      </c>
      <c r="S1850" s="4">
        <v>23</v>
      </c>
      <c r="T1850" s="3">
        <v>136000000</v>
      </c>
      <c r="U1850" t="s">
        <v>42</v>
      </c>
      <c r="V1850" t="s">
        <v>70</v>
      </c>
      <c r="W1850" t="s">
        <v>355</v>
      </c>
      <c r="Y1850" t="s">
        <v>132</v>
      </c>
      <c r="Z1850" t="s">
        <v>3179</v>
      </c>
      <c r="AA1850" t="s">
        <v>62</v>
      </c>
      <c r="AB1850" t="s">
        <v>97</v>
      </c>
      <c r="AC1850" t="s">
        <v>62</v>
      </c>
    </row>
    <row r="1851" spans="1:29">
      <c r="A1851" t="s">
        <v>2268</v>
      </c>
      <c r="B1851" s="2">
        <v>46185</v>
      </c>
      <c r="C1851" t="s">
        <v>30</v>
      </c>
      <c r="D1851" t="s">
        <v>99</v>
      </c>
      <c r="E1851" t="s">
        <v>120</v>
      </c>
      <c r="F1851" t="s">
        <v>121</v>
      </c>
      <c r="G1851" t="s">
        <v>227</v>
      </c>
      <c r="H1851" t="s">
        <v>123</v>
      </c>
      <c r="I1851" t="s">
        <v>336</v>
      </c>
      <c r="J1851" t="s">
        <v>3055</v>
      </c>
      <c r="K1851" t="s">
        <v>37</v>
      </c>
      <c r="L1851" t="s">
        <v>55</v>
      </c>
      <c r="M1851" t="s">
        <v>129</v>
      </c>
      <c r="N1851" t="s">
        <v>40</v>
      </c>
      <c r="O1851" s="4">
        <v>2</v>
      </c>
      <c r="P1851" s="4">
        <v>11</v>
      </c>
      <c r="Q1851" t="s">
        <v>138</v>
      </c>
      <c r="R1851" s="2">
        <v>46180</v>
      </c>
      <c r="S1851" s="4">
        <v>23</v>
      </c>
      <c r="T1851" s="3">
        <v>207000000</v>
      </c>
      <c r="U1851" t="s">
        <v>42</v>
      </c>
      <c r="V1851" t="s">
        <v>43</v>
      </c>
      <c r="W1851" t="s">
        <v>44</v>
      </c>
      <c r="Y1851" t="s">
        <v>309</v>
      </c>
      <c r="Z1851" t="s">
        <v>3178</v>
      </c>
      <c r="AA1851" t="s">
        <v>97</v>
      </c>
      <c r="AB1851" t="s">
        <v>87</v>
      </c>
      <c r="AC1851" t="s">
        <v>97</v>
      </c>
    </row>
    <row r="1852" spans="1:29">
      <c r="A1852" t="s">
        <v>2269</v>
      </c>
      <c r="B1852" s="2">
        <v>46178</v>
      </c>
      <c r="C1852" t="s">
        <v>30</v>
      </c>
      <c r="D1852" t="s">
        <v>134</v>
      </c>
      <c r="E1852" t="s">
        <v>50</v>
      </c>
      <c r="F1852" t="s">
        <v>89</v>
      </c>
      <c r="G1852" t="s">
        <v>65</v>
      </c>
      <c r="H1852" t="s">
        <v>90</v>
      </c>
      <c r="I1852" t="s">
        <v>352</v>
      </c>
      <c r="J1852" t="s">
        <v>3060</v>
      </c>
      <c r="K1852" t="s">
        <v>105</v>
      </c>
      <c r="L1852" t="s">
        <v>150</v>
      </c>
      <c r="M1852" t="s">
        <v>93</v>
      </c>
      <c r="N1852" t="s">
        <v>196</v>
      </c>
      <c r="O1852" s="4">
        <v>7</v>
      </c>
      <c r="P1852" s="4">
        <v>14</v>
      </c>
      <c r="Q1852" t="s">
        <v>83</v>
      </c>
      <c r="R1852" s="2">
        <v>46177</v>
      </c>
      <c r="S1852" s="4">
        <v>26</v>
      </c>
      <c r="T1852" s="3">
        <v>167000000</v>
      </c>
      <c r="U1852" t="s">
        <v>196</v>
      </c>
      <c r="V1852" t="s">
        <v>70</v>
      </c>
      <c r="W1852" t="s">
        <v>197</v>
      </c>
      <c r="Y1852" t="s">
        <v>369</v>
      </c>
      <c r="Z1852" t="s">
        <v>3181</v>
      </c>
      <c r="AA1852" t="s">
        <v>62</v>
      </c>
      <c r="AB1852" t="s">
        <v>199</v>
      </c>
      <c r="AC1852" t="s">
        <v>62</v>
      </c>
    </row>
    <row r="1853" spans="1:29">
      <c r="A1853" t="s">
        <v>2270</v>
      </c>
      <c r="B1853" s="2">
        <v>46177</v>
      </c>
      <c r="C1853" t="s">
        <v>30</v>
      </c>
      <c r="D1853" t="s">
        <v>134</v>
      </c>
      <c r="E1853" t="s">
        <v>152</v>
      </c>
      <c r="F1853" t="s">
        <v>221</v>
      </c>
      <c r="G1853" t="s">
        <v>206</v>
      </c>
      <c r="H1853" t="s">
        <v>283</v>
      </c>
      <c r="I1853" t="s">
        <v>295</v>
      </c>
      <c r="J1853" t="s">
        <v>3043</v>
      </c>
      <c r="K1853" t="s">
        <v>105</v>
      </c>
      <c r="L1853" t="s">
        <v>55</v>
      </c>
      <c r="M1853" t="s">
        <v>93</v>
      </c>
      <c r="N1853" t="s">
        <v>130</v>
      </c>
      <c r="O1853" s="4">
        <v>5</v>
      </c>
      <c r="P1853" s="4">
        <v>18</v>
      </c>
      <c r="Q1853" t="s">
        <v>142</v>
      </c>
      <c r="R1853" s="2">
        <v>46175</v>
      </c>
      <c r="S1853" s="4">
        <v>28</v>
      </c>
      <c r="T1853" s="3">
        <v>259000000</v>
      </c>
      <c r="U1853" t="s">
        <v>42</v>
      </c>
      <c r="V1853" t="s">
        <v>143</v>
      </c>
      <c r="W1853" t="s">
        <v>252</v>
      </c>
      <c r="Y1853" t="s">
        <v>262</v>
      </c>
      <c r="Z1853" t="s">
        <v>3179</v>
      </c>
      <c r="AA1853" t="s">
        <v>159</v>
      </c>
      <c r="AB1853" t="s">
        <v>97</v>
      </c>
      <c r="AC1853" t="s">
        <v>159</v>
      </c>
    </row>
    <row r="1854" spans="1:29">
      <c r="A1854" t="s">
        <v>2271</v>
      </c>
      <c r="B1854" s="2">
        <v>46191</v>
      </c>
      <c r="C1854" t="s">
        <v>30</v>
      </c>
      <c r="D1854" t="s">
        <v>74</v>
      </c>
      <c r="E1854" t="s">
        <v>172</v>
      </c>
      <c r="F1854" t="s">
        <v>173</v>
      </c>
      <c r="G1854" t="s">
        <v>278</v>
      </c>
      <c r="H1854" t="s">
        <v>175</v>
      </c>
      <c r="I1854" t="s">
        <v>516</v>
      </c>
      <c r="J1854" t="s">
        <v>3108</v>
      </c>
      <c r="K1854" t="s">
        <v>92</v>
      </c>
      <c r="L1854" t="s">
        <v>68</v>
      </c>
      <c r="M1854" t="s">
        <v>106</v>
      </c>
      <c r="N1854" t="s">
        <v>130</v>
      </c>
      <c r="O1854" s="4">
        <v>5</v>
      </c>
      <c r="P1854" s="4">
        <v>7</v>
      </c>
      <c r="Q1854" t="s">
        <v>142</v>
      </c>
      <c r="R1854" s="2">
        <v>46191</v>
      </c>
      <c r="S1854" s="4">
        <v>12</v>
      </c>
      <c r="T1854" s="3">
        <v>238000000</v>
      </c>
      <c r="U1854" t="s">
        <v>42</v>
      </c>
      <c r="V1854" t="s">
        <v>143</v>
      </c>
      <c r="W1854" t="s">
        <v>144</v>
      </c>
      <c r="Y1854" t="s">
        <v>262</v>
      </c>
      <c r="Z1854" t="s">
        <v>3179</v>
      </c>
      <c r="AA1854" t="s">
        <v>181</v>
      </c>
      <c r="AB1854" t="s">
        <v>97</v>
      </c>
      <c r="AC1854" t="s">
        <v>181</v>
      </c>
    </row>
    <row r="1855" spans="1:29">
      <c r="A1855" t="s">
        <v>2272</v>
      </c>
      <c r="B1855" s="2">
        <v>46198</v>
      </c>
      <c r="C1855" t="s">
        <v>30</v>
      </c>
      <c r="D1855" t="s">
        <v>49</v>
      </c>
      <c r="E1855" t="s">
        <v>32</v>
      </c>
      <c r="F1855" t="s">
        <v>273</v>
      </c>
      <c r="G1855" t="s">
        <v>257</v>
      </c>
      <c r="H1855" t="s">
        <v>35</v>
      </c>
      <c r="I1855" t="s">
        <v>604</v>
      </c>
      <c r="J1855" t="s">
        <v>3130</v>
      </c>
      <c r="K1855" t="s">
        <v>92</v>
      </c>
      <c r="L1855" t="s">
        <v>55</v>
      </c>
      <c r="M1855" t="s">
        <v>56</v>
      </c>
      <c r="N1855" t="s">
        <v>40</v>
      </c>
      <c r="O1855" s="4">
        <v>2</v>
      </c>
      <c r="P1855" s="4">
        <v>4</v>
      </c>
      <c r="Q1855" t="s">
        <v>83</v>
      </c>
      <c r="R1855" s="2">
        <v>46197</v>
      </c>
      <c r="S1855" s="4">
        <v>6</v>
      </c>
      <c r="T1855" s="3">
        <v>83000000</v>
      </c>
      <c r="U1855" t="s">
        <v>260</v>
      </c>
      <c r="V1855" t="s">
        <v>59</v>
      </c>
      <c r="W1855" t="s">
        <v>298</v>
      </c>
      <c r="X1855" t="s">
        <v>422</v>
      </c>
      <c r="Y1855" t="s">
        <v>281</v>
      </c>
      <c r="Z1855" t="s">
        <v>3176</v>
      </c>
      <c r="AA1855" t="s">
        <v>46</v>
      </c>
      <c r="AB1855" t="s">
        <v>47</v>
      </c>
      <c r="AC1855" t="s">
        <v>46</v>
      </c>
    </row>
    <row r="1856" spans="1:29">
      <c r="A1856" t="s">
        <v>2273</v>
      </c>
      <c r="B1856" s="2">
        <v>46193</v>
      </c>
      <c r="C1856" t="s">
        <v>30</v>
      </c>
      <c r="D1856" t="s">
        <v>74</v>
      </c>
      <c r="E1856" t="s">
        <v>111</v>
      </c>
      <c r="F1856" t="s">
        <v>190</v>
      </c>
      <c r="G1856" t="s">
        <v>265</v>
      </c>
      <c r="H1856" t="s">
        <v>127</v>
      </c>
      <c r="I1856" t="s">
        <v>349</v>
      </c>
      <c r="J1856" t="s">
        <v>3059</v>
      </c>
      <c r="K1856" t="s">
        <v>92</v>
      </c>
      <c r="L1856" t="s">
        <v>187</v>
      </c>
      <c r="M1856" t="s">
        <v>106</v>
      </c>
      <c r="N1856" t="s">
        <v>196</v>
      </c>
      <c r="O1856" s="4">
        <v>7</v>
      </c>
      <c r="P1856" s="4">
        <v>10</v>
      </c>
      <c r="Q1856" t="s">
        <v>138</v>
      </c>
      <c r="R1856" s="2">
        <v>46191</v>
      </c>
      <c r="S1856" s="4">
        <v>12</v>
      </c>
      <c r="T1856" s="3">
        <v>131000000</v>
      </c>
      <c r="U1856" t="s">
        <v>196</v>
      </c>
      <c r="V1856" t="s">
        <v>70</v>
      </c>
      <c r="W1856" t="s">
        <v>675</v>
      </c>
      <c r="Y1856" t="s">
        <v>244</v>
      </c>
      <c r="Z1856" t="s">
        <v>3181</v>
      </c>
      <c r="AA1856" t="s">
        <v>118</v>
      </c>
      <c r="AB1856" t="s">
        <v>199</v>
      </c>
      <c r="AC1856" t="s">
        <v>118</v>
      </c>
    </row>
    <row r="1857" spans="1:29">
      <c r="A1857" t="s">
        <v>2274</v>
      </c>
      <c r="B1857" s="2">
        <v>46200</v>
      </c>
      <c r="C1857" t="s">
        <v>30</v>
      </c>
      <c r="D1857" t="s">
        <v>49</v>
      </c>
      <c r="E1857" t="s">
        <v>152</v>
      </c>
      <c r="F1857" t="s">
        <v>205</v>
      </c>
      <c r="G1857" t="s">
        <v>294</v>
      </c>
      <c r="H1857" t="s">
        <v>283</v>
      </c>
      <c r="I1857" t="s">
        <v>295</v>
      </c>
      <c r="J1857" t="s">
        <v>3043</v>
      </c>
      <c r="K1857" t="s">
        <v>37</v>
      </c>
      <c r="L1857" t="s">
        <v>38</v>
      </c>
      <c r="M1857" t="s">
        <v>93</v>
      </c>
      <c r="N1857" t="s">
        <v>57</v>
      </c>
      <c r="O1857" s="4">
        <v>3</v>
      </c>
      <c r="P1857" s="4">
        <v>9</v>
      </c>
      <c r="Q1857" t="s">
        <v>69</v>
      </c>
      <c r="R1857" s="2">
        <v>46192</v>
      </c>
      <c r="S1857" s="4">
        <v>11</v>
      </c>
      <c r="T1857" s="3">
        <v>144000000</v>
      </c>
      <c r="U1857" t="s">
        <v>42</v>
      </c>
      <c r="V1857" t="s">
        <v>59</v>
      </c>
      <c r="W1857" t="s">
        <v>71</v>
      </c>
      <c r="Y1857" t="s">
        <v>165</v>
      </c>
      <c r="Z1857" t="s">
        <v>3177</v>
      </c>
      <c r="AA1857" t="s">
        <v>159</v>
      </c>
      <c r="AB1857" t="s">
        <v>63</v>
      </c>
      <c r="AC1857" t="s">
        <v>159</v>
      </c>
    </row>
    <row r="1858" spans="1:29">
      <c r="A1858" t="s">
        <v>2275</v>
      </c>
      <c r="B1858" s="2">
        <v>46199</v>
      </c>
      <c r="C1858" t="s">
        <v>30</v>
      </c>
      <c r="D1858" t="s">
        <v>49</v>
      </c>
      <c r="E1858" t="s">
        <v>100</v>
      </c>
      <c r="F1858" t="s">
        <v>101</v>
      </c>
      <c r="G1858" t="s">
        <v>102</v>
      </c>
      <c r="H1858" t="s">
        <v>201</v>
      </c>
      <c r="I1858" t="s">
        <v>416</v>
      </c>
      <c r="J1858" t="s">
        <v>3078</v>
      </c>
      <c r="K1858" t="s">
        <v>37</v>
      </c>
      <c r="L1858" t="s">
        <v>187</v>
      </c>
      <c r="M1858" t="s">
        <v>106</v>
      </c>
      <c r="N1858" t="s">
        <v>94</v>
      </c>
      <c r="O1858" s="4">
        <v>4</v>
      </c>
      <c r="P1858" s="4">
        <v>14</v>
      </c>
      <c r="Q1858" t="s">
        <v>142</v>
      </c>
      <c r="R1858" s="2">
        <v>46194</v>
      </c>
      <c r="S1858" s="4">
        <v>9</v>
      </c>
      <c r="T1858" s="3">
        <v>240000000</v>
      </c>
      <c r="U1858" t="s">
        <v>42</v>
      </c>
      <c r="V1858" t="s">
        <v>59</v>
      </c>
      <c r="W1858" t="s">
        <v>95</v>
      </c>
      <c r="Y1858" t="s">
        <v>228</v>
      </c>
      <c r="Z1858" t="s">
        <v>3179</v>
      </c>
      <c r="AA1858" t="s">
        <v>109</v>
      </c>
      <c r="AB1858" t="s">
        <v>97</v>
      </c>
      <c r="AC1858" t="s">
        <v>109</v>
      </c>
    </row>
    <row r="1859" spans="1:29">
      <c r="A1859" t="s">
        <v>2276</v>
      </c>
      <c r="B1859" s="2">
        <v>46189</v>
      </c>
      <c r="C1859" t="s">
        <v>30</v>
      </c>
      <c r="D1859" t="s">
        <v>74</v>
      </c>
      <c r="E1859" t="s">
        <v>111</v>
      </c>
      <c r="F1859" t="s">
        <v>190</v>
      </c>
      <c r="G1859" t="s">
        <v>251</v>
      </c>
      <c r="H1859" t="s">
        <v>191</v>
      </c>
      <c r="I1859" t="s">
        <v>606</v>
      </c>
      <c r="J1859" t="s">
        <v>3131</v>
      </c>
      <c r="K1859" t="s">
        <v>37</v>
      </c>
      <c r="L1859" t="s">
        <v>55</v>
      </c>
      <c r="M1859" t="s">
        <v>93</v>
      </c>
      <c r="N1859" t="s">
        <v>213</v>
      </c>
      <c r="O1859" s="4">
        <v>6</v>
      </c>
      <c r="P1859" s="4">
        <v>9</v>
      </c>
      <c r="Q1859" t="s">
        <v>58</v>
      </c>
      <c r="R1859" s="2">
        <v>46189</v>
      </c>
      <c r="S1859" s="4">
        <v>14</v>
      </c>
      <c r="T1859" s="3">
        <v>227000000</v>
      </c>
      <c r="U1859" t="s">
        <v>214</v>
      </c>
      <c r="V1859" t="s">
        <v>70</v>
      </c>
      <c r="W1859" t="s">
        <v>248</v>
      </c>
      <c r="Y1859" t="s">
        <v>216</v>
      </c>
      <c r="Z1859" t="s">
        <v>3179</v>
      </c>
      <c r="AA1859" t="s">
        <v>118</v>
      </c>
      <c r="AB1859" t="s">
        <v>97</v>
      </c>
      <c r="AC1859" t="s">
        <v>118</v>
      </c>
    </row>
    <row r="1860" spans="1:29">
      <c r="A1860" t="s">
        <v>2277</v>
      </c>
      <c r="B1860" s="2">
        <v>46202</v>
      </c>
      <c r="C1860" t="s">
        <v>30</v>
      </c>
      <c r="D1860" t="s">
        <v>31</v>
      </c>
      <c r="E1860" t="s">
        <v>120</v>
      </c>
      <c r="F1860" t="s">
        <v>167</v>
      </c>
      <c r="G1860" t="s">
        <v>135</v>
      </c>
      <c r="H1860" t="s">
        <v>300</v>
      </c>
      <c r="I1860" t="s">
        <v>430</v>
      </c>
      <c r="J1860" t="s">
        <v>3082</v>
      </c>
      <c r="K1860" t="s">
        <v>56</v>
      </c>
      <c r="L1860" t="s">
        <v>187</v>
      </c>
      <c r="M1860" t="s">
        <v>39</v>
      </c>
      <c r="N1860" t="s">
        <v>57</v>
      </c>
      <c r="O1860" s="4">
        <v>3</v>
      </c>
      <c r="P1860" s="4">
        <v>12</v>
      </c>
      <c r="Q1860" t="s">
        <v>142</v>
      </c>
      <c r="R1860" s="2">
        <v>46194</v>
      </c>
      <c r="S1860" s="4">
        <v>9</v>
      </c>
      <c r="T1860" s="3">
        <v>389000000</v>
      </c>
      <c r="U1860" t="s">
        <v>42</v>
      </c>
      <c r="V1860" t="s">
        <v>43</v>
      </c>
      <c r="W1860" t="s">
        <v>157</v>
      </c>
      <c r="Y1860" t="s">
        <v>158</v>
      </c>
      <c r="Z1860" t="s">
        <v>3180</v>
      </c>
      <c r="AA1860" t="s">
        <v>97</v>
      </c>
      <c r="AB1860" t="s">
        <v>193</v>
      </c>
      <c r="AC1860" t="s">
        <v>97</v>
      </c>
    </row>
    <row r="1861" spans="1:29">
      <c r="A1861" t="s">
        <v>2278</v>
      </c>
      <c r="B1861" s="2">
        <v>46175</v>
      </c>
      <c r="C1861" t="s">
        <v>30</v>
      </c>
      <c r="D1861" t="s">
        <v>134</v>
      </c>
      <c r="E1861" t="s">
        <v>32</v>
      </c>
      <c r="F1861" t="s">
        <v>273</v>
      </c>
      <c r="G1861" t="s">
        <v>257</v>
      </c>
      <c r="H1861" t="s">
        <v>303</v>
      </c>
      <c r="I1861" t="s">
        <v>326</v>
      </c>
      <c r="J1861" t="s">
        <v>3053</v>
      </c>
      <c r="K1861" t="s">
        <v>56</v>
      </c>
      <c r="L1861" t="s">
        <v>68</v>
      </c>
      <c r="M1861" t="s">
        <v>106</v>
      </c>
      <c r="N1861" t="s">
        <v>40</v>
      </c>
      <c r="O1861" s="4">
        <v>2</v>
      </c>
      <c r="P1861" s="4">
        <v>2</v>
      </c>
      <c r="Q1861" t="s">
        <v>83</v>
      </c>
      <c r="R1861" s="2">
        <v>46174</v>
      </c>
      <c r="S1861" s="4">
        <v>29</v>
      </c>
      <c r="T1861" s="3">
        <v>221000000</v>
      </c>
      <c r="U1861" t="s">
        <v>42</v>
      </c>
      <c r="V1861" t="s">
        <v>43</v>
      </c>
      <c r="W1861" t="s">
        <v>239</v>
      </c>
      <c r="Y1861" t="s">
        <v>281</v>
      </c>
      <c r="Z1861" t="s">
        <v>3176</v>
      </c>
      <c r="AA1861" t="s">
        <v>46</v>
      </c>
      <c r="AB1861" t="s">
        <v>47</v>
      </c>
      <c r="AC1861" t="s">
        <v>46</v>
      </c>
    </row>
    <row r="1862" spans="1:29">
      <c r="A1862" t="s">
        <v>2279</v>
      </c>
      <c r="B1862" s="2">
        <v>46197</v>
      </c>
      <c r="C1862" t="s">
        <v>30</v>
      </c>
      <c r="D1862" t="s">
        <v>49</v>
      </c>
      <c r="E1862" t="s">
        <v>75</v>
      </c>
      <c r="F1862" t="s">
        <v>161</v>
      </c>
      <c r="G1862" t="s">
        <v>230</v>
      </c>
      <c r="H1862" t="s">
        <v>78</v>
      </c>
      <c r="I1862" t="s">
        <v>1145</v>
      </c>
      <c r="J1862" t="s">
        <v>3174</v>
      </c>
      <c r="K1862" t="s">
        <v>37</v>
      </c>
      <c r="L1862" t="s">
        <v>169</v>
      </c>
      <c r="M1862" t="s">
        <v>93</v>
      </c>
      <c r="N1862" t="s">
        <v>82</v>
      </c>
      <c r="O1862" s="4">
        <v>1</v>
      </c>
      <c r="P1862" s="4">
        <v>8</v>
      </c>
      <c r="Q1862" t="s">
        <v>138</v>
      </c>
      <c r="R1862" s="2">
        <v>46196</v>
      </c>
      <c r="S1862" s="4">
        <v>7</v>
      </c>
      <c r="T1862" s="3">
        <v>66000000</v>
      </c>
      <c r="U1862" t="s">
        <v>260</v>
      </c>
      <c r="V1862" t="s">
        <v>59</v>
      </c>
      <c r="W1862" t="s">
        <v>404</v>
      </c>
      <c r="X1862" t="s">
        <v>381</v>
      </c>
      <c r="Y1862" t="s">
        <v>85</v>
      </c>
      <c r="Z1862" t="s">
        <v>3178</v>
      </c>
      <c r="AA1862" t="s">
        <v>86</v>
      </c>
      <c r="AB1862" t="s">
        <v>87</v>
      </c>
      <c r="AC1862" t="s">
        <v>86</v>
      </c>
    </row>
    <row r="1863" spans="1:29">
      <c r="A1863" t="s">
        <v>2280</v>
      </c>
      <c r="B1863" s="2">
        <v>46191</v>
      </c>
      <c r="C1863" t="s">
        <v>30</v>
      </c>
      <c r="D1863" t="s">
        <v>74</v>
      </c>
      <c r="E1863" t="s">
        <v>172</v>
      </c>
      <c r="F1863" t="s">
        <v>173</v>
      </c>
      <c r="G1863" t="s">
        <v>338</v>
      </c>
      <c r="H1863" t="s">
        <v>241</v>
      </c>
      <c r="I1863" t="s">
        <v>441</v>
      </c>
      <c r="J1863" t="s">
        <v>3085</v>
      </c>
      <c r="K1863" t="s">
        <v>92</v>
      </c>
      <c r="L1863" t="s">
        <v>187</v>
      </c>
      <c r="M1863" t="s">
        <v>56</v>
      </c>
      <c r="N1863" t="s">
        <v>40</v>
      </c>
      <c r="O1863" s="4">
        <v>2</v>
      </c>
      <c r="P1863" s="4">
        <v>7</v>
      </c>
      <c r="Q1863" t="s">
        <v>41</v>
      </c>
      <c r="R1863" s="2">
        <v>46182</v>
      </c>
      <c r="S1863" s="4">
        <v>21</v>
      </c>
      <c r="T1863" s="3">
        <v>182000000</v>
      </c>
      <c r="U1863" t="s">
        <v>42</v>
      </c>
      <c r="V1863" t="s">
        <v>43</v>
      </c>
      <c r="W1863" t="s">
        <v>178</v>
      </c>
      <c r="Y1863" t="s">
        <v>180</v>
      </c>
      <c r="Z1863" t="s">
        <v>3178</v>
      </c>
      <c r="AA1863" t="s">
        <v>181</v>
      </c>
      <c r="AB1863" t="s">
        <v>87</v>
      </c>
      <c r="AC1863" t="s">
        <v>181</v>
      </c>
    </row>
    <row r="1864" spans="1:29">
      <c r="A1864" t="s">
        <v>2281</v>
      </c>
      <c r="B1864" s="2">
        <v>46177</v>
      </c>
      <c r="C1864" t="s">
        <v>30</v>
      </c>
      <c r="D1864" t="s">
        <v>134</v>
      </c>
      <c r="E1864" t="s">
        <v>152</v>
      </c>
      <c r="F1864" t="s">
        <v>205</v>
      </c>
      <c r="G1864" t="s">
        <v>154</v>
      </c>
      <c r="H1864" t="s">
        <v>155</v>
      </c>
      <c r="I1864" t="s">
        <v>729</v>
      </c>
      <c r="J1864" t="s">
        <v>3149</v>
      </c>
      <c r="K1864" t="s">
        <v>92</v>
      </c>
      <c r="L1864" t="s">
        <v>187</v>
      </c>
      <c r="M1864" t="s">
        <v>164</v>
      </c>
      <c r="N1864" t="s">
        <v>40</v>
      </c>
      <c r="O1864" s="4">
        <v>2</v>
      </c>
      <c r="P1864" s="4">
        <v>13</v>
      </c>
      <c r="Q1864" t="s">
        <v>107</v>
      </c>
      <c r="R1864" s="2">
        <v>46174</v>
      </c>
      <c r="S1864" s="4">
        <v>29</v>
      </c>
      <c r="T1864" s="3">
        <v>123000000</v>
      </c>
      <c r="U1864" t="s">
        <v>42</v>
      </c>
      <c r="V1864" t="s">
        <v>43</v>
      </c>
      <c r="W1864" t="s">
        <v>239</v>
      </c>
      <c r="Y1864" t="s">
        <v>309</v>
      </c>
      <c r="Z1864" t="s">
        <v>3180</v>
      </c>
      <c r="AA1864" t="s">
        <v>159</v>
      </c>
      <c r="AB1864" t="s">
        <v>193</v>
      </c>
      <c r="AC1864" t="s">
        <v>159</v>
      </c>
    </row>
    <row r="1865" spans="1:29">
      <c r="A1865" t="s">
        <v>2282</v>
      </c>
      <c r="B1865" s="2">
        <v>46196</v>
      </c>
      <c r="C1865" t="s">
        <v>30</v>
      </c>
      <c r="D1865" t="s">
        <v>49</v>
      </c>
      <c r="E1865" t="s">
        <v>32</v>
      </c>
      <c r="F1865" t="s">
        <v>256</v>
      </c>
      <c r="G1865" t="s">
        <v>463</v>
      </c>
      <c r="H1865" t="s">
        <v>35</v>
      </c>
      <c r="I1865" t="s">
        <v>320</v>
      </c>
      <c r="J1865" t="s">
        <v>3051</v>
      </c>
      <c r="K1865" t="s">
        <v>116</v>
      </c>
      <c r="L1865" t="s">
        <v>150</v>
      </c>
      <c r="M1865" t="s">
        <v>106</v>
      </c>
      <c r="N1865" t="s">
        <v>130</v>
      </c>
      <c r="O1865" s="4">
        <v>5</v>
      </c>
      <c r="P1865" s="4">
        <v>5</v>
      </c>
      <c r="Q1865" t="s">
        <v>138</v>
      </c>
      <c r="R1865" s="2">
        <v>46187</v>
      </c>
      <c r="S1865" s="4">
        <v>16</v>
      </c>
      <c r="T1865" s="3">
        <v>157000000</v>
      </c>
      <c r="U1865" t="s">
        <v>42</v>
      </c>
      <c r="V1865" t="s">
        <v>59</v>
      </c>
      <c r="W1865" t="s">
        <v>144</v>
      </c>
      <c r="X1865" t="s">
        <v>117</v>
      </c>
      <c r="Y1865" t="s">
        <v>132</v>
      </c>
      <c r="Z1865" t="s">
        <v>3179</v>
      </c>
      <c r="AA1865" t="s">
        <v>46</v>
      </c>
      <c r="AB1865" t="s">
        <v>97</v>
      </c>
      <c r="AC1865" t="s">
        <v>46</v>
      </c>
    </row>
    <row r="1866" spans="1:29">
      <c r="A1866" t="s">
        <v>2283</v>
      </c>
      <c r="B1866" s="2">
        <v>46178</v>
      </c>
      <c r="C1866" t="s">
        <v>30</v>
      </c>
      <c r="D1866" t="s">
        <v>134</v>
      </c>
      <c r="E1866" t="s">
        <v>50</v>
      </c>
      <c r="F1866" t="s">
        <v>89</v>
      </c>
      <c r="G1866" t="s">
        <v>52</v>
      </c>
      <c r="H1866" t="s">
        <v>66</v>
      </c>
      <c r="I1866" t="s">
        <v>341</v>
      </c>
      <c r="J1866" t="s">
        <v>3056</v>
      </c>
      <c r="K1866" t="s">
        <v>105</v>
      </c>
      <c r="L1866" t="s">
        <v>38</v>
      </c>
      <c r="M1866" t="s">
        <v>164</v>
      </c>
      <c r="N1866" t="s">
        <v>196</v>
      </c>
      <c r="O1866" s="4">
        <v>7</v>
      </c>
      <c r="P1866" s="4">
        <v>9</v>
      </c>
      <c r="Q1866" t="s">
        <v>41</v>
      </c>
      <c r="R1866" s="2">
        <v>46175</v>
      </c>
      <c r="S1866" s="4">
        <v>28</v>
      </c>
      <c r="T1866" s="3">
        <v>187000000</v>
      </c>
      <c r="U1866" t="s">
        <v>196</v>
      </c>
      <c r="V1866" t="s">
        <v>70</v>
      </c>
      <c r="W1866" t="s">
        <v>209</v>
      </c>
      <c r="Y1866" t="s">
        <v>369</v>
      </c>
      <c r="Z1866" t="s">
        <v>3181</v>
      </c>
      <c r="AA1866" t="s">
        <v>62</v>
      </c>
      <c r="AB1866" t="s">
        <v>199</v>
      </c>
      <c r="AC1866" t="s">
        <v>62</v>
      </c>
    </row>
    <row r="1867" spans="1:29">
      <c r="A1867" t="s">
        <v>2284</v>
      </c>
      <c r="B1867" s="2">
        <v>46189</v>
      </c>
      <c r="C1867" t="s">
        <v>30</v>
      </c>
      <c r="D1867" t="s">
        <v>74</v>
      </c>
      <c r="E1867" t="s">
        <v>120</v>
      </c>
      <c r="F1867" t="s">
        <v>246</v>
      </c>
      <c r="G1867" t="s">
        <v>224</v>
      </c>
      <c r="H1867" t="s">
        <v>136</v>
      </c>
      <c r="I1867" t="s">
        <v>137</v>
      </c>
      <c r="J1867" t="s">
        <v>3017</v>
      </c>
      <c r="K1867" t="s">
        <v>105</v>
      </c>
      <c r="L1867" t="s">
        <v>187</v>
      </c>
      <c r="M1867" t="s">
        <v>81</v>
      </c>
      <c r="N1867" t="s">
        <v>130</v>
      </c>
      <c r="O1867" s="4">
        <v>5</v>
      </c>
      <c r="P1867" s="4">
        <v>15</v>
      </c>
      <c r="Q1867" t="s">
        <v>107</v>
      </c>
      <c r="R1867" s="2">
        <v>46189</v>
      </c>
      <c r="S1867" s="4">
        <v>14</v>
      </c>
      <c r="T1867" s="3">
        <v>200000000</v>
      </c>
      <c r="U1867" t="s">
        <v>42</v>
      </c>
      <c r="V1867" t="s">
        <v>70</v>
      </c>
      <c r="W1867" t="s">
        <v>144</v>
      </c>
      <c r="Y1867" t="s">
        <v>262</v>
      </c>
      <c r="Z1867" t="s">
        <v>3179</v>
      </c>
      <c r="AA1867" t="s">
        <v>97</v>
      </c>
      <c r="AB1867" t="s">
        <v>97</v>
      </c>
      <c r="AC1867" t="s">
        <v>97</v>
      </c>
    </row>
    <row r="1868" spans="1:29">
      <c r="A1868" t="s">
        <v>2285</v>
      </c>
      <c r="B1868" s="2">
        <v>46189</v>
      </c>
      <c r="C1868" t="s">
        <v>30</v>
      </c>
      <c r="D1868" t="s">
        <v>74</v>
      </c>
      <c r="E1868" t="s">
        <v>50</v>
      </c>
      <c r="F1868" t="s">
        <v>89</v>
      </c>
      <c r="G1868" t="s">
        <v>234</v>
      </c>
      <c r="H1868" t="s">
        <v>66</v>
      </c>
      <c r="I1868" t="s">
        <v>67</v>
      </c>
      <c r="J1868" t="s">
        <v>3010</v>
      </c>
      <c r="K1868" t="s">
        <v>56</v>
      </c>
      <c r="L1868" t="s">
        <v>38</v>
      </c>
      <c r="M1868" t="s">
        <v>164</v>
      </c>
      <c r="N1868" t="s">
        <v>94</v>
      </c>
      <c r="O1868" s="4">
        <v>4</v>
      </c>
      <c r="P1868" s="4">
        <v>14</v>
      </c>
      <c r="Q1868" t="s">
        <v>41</v>
      </c>
      <c r="R1868" s="2">
        <v>46186</v>
      </c>
      <c r="S1868" s="4">
        <v>17</v>
      </c>
      <c r="T1868" s="3">
        <v>406000000</v>
      </c>
      <c r="U1868" t="s">
        <v>42</v>
      </c>
      <c r="V1868" t="s">
        <v>70</v>
      </c>
      <c r="W1868" t="s">
        <v>170</v>
      </c>
      <c r="Y1868" t="s">
        <v>108</v>
      </c>
      <c r="Z1868" t="s">
        <v>3179</v>
      </c>
      <c r="AA1868" t="s">
        <v>62</v>
      </c>
      <c r="AB1868" t="s">
        <v>97</v>
      </c>
      <c r="AC1868" t="s">
        <v>62</v>
      </c>
    </row>
    <row r="1869" spans="1:29">
      <c r="A1869" t="s">
        <v>2286</v>
      </c>
      <c r="B1869" s="2">
        <v>46195</v>
      </c>
      <c r="C1869" t="s">
        <v>30</v>
      </c>
      <c r="D1869" t="s">
        <v>49</v>
      </c>
      <c r="E1869" t="s">
        <v>32</v>
      </c>
      <c r="F1869" t="s">
        <v>273</v>
      </c>
      <c r="G1869" t="s">
        <v>361</v>
      </c>
      <c r="H1869" t="s">
        <v>35</v>
      </c>
      <c r="I1869" t="s">
        <v>595</v>
      </c>
      <c r="J1869" t="s">
        <v>3128</v>
      </c>
      <c r="K1869" t="s">
        <v>105</v>
      </c>
      <c r="L1869" t="s">
        <v>187</v>
      </c>
      <c r="M1869" t="s">
        <v>164</v>
      </c>
      <c r="N1869" t="s">
        <v>82</v>
      </c>
      <c r="O1869" s="4">
        <v>1</v>
      </c>
      <c r="P1869" s="4">
        <v>4</v>
      </c>
      <c r="Q1869" t="s">
        <v>41</v>
      </c>
      <c r="R1869" s="2">
        <v>46185</v>
      </c>
      <c r="S1869" s="4">
        <v>18</v>
      </c>
      <c r="T1869" s="3">
        <v>267000000</v>
      </c>
      <c r="U1869" t="s">
        <v>42</v>
      </c>
      <c r="V1869" t="s">
        <v>59</v>
      </c>
      <c r="W1869" t="s">
        <v>359</v>
      </c>
      <c r="Y1869" t="s">
        <v>305</v>
      </c>
      <c r="Z1869" t="s">
        <v>3176</v>
      </c>
      <c r="AA1869" t="s">
        <v>46</v>
      </c>
      <c r="AB1869" t="s">
        <v>47</v>
      </c>
      <c r="AC1869" t="s">
        <v>46</v>
      </c>
    </row>
    <row r="1870" spans="1:29">
      <c r="A1870" t="s">
        <v>2287</v>
      </c>
      <c r="B1870" s="2">
        <v>46192</v>
      </c>
      <c r="C1870" t="s">
        <v>30</v>
      </c>
      <c r="D1870" t="s">
        <v>74</v>
      </c>
      <c r="E1870" t="s">
        <v>100</v>
      </c>
      <c r="F1870" t="s">
        <v>146</v>
      </c>
      <c r="G1870" t="s">
        <v>313</v>
      </c>
      <c r="H1870" t="s">
        <v>148</v>
      </c>
      <c r="I1870" t="s">
        <v>315</v>
      </c>
      <c r="J1870" t="s">
        <v>3049</v>
      </c>
      <c r="K1870" t="s">
        <v>37</v>
      </c>
      <c r="L1870" t="s">
        <v>68</v>
      </c>
      <c r="M1870" t="s">
        <v>164</v>
      </c>
      <c r="N1870" t="s">
        <v>196</v>
      </c>
      <c r="O1870" s="4">
        <v>7</v>
      </c>
      <c r="P1870" s="4">
        <v>16</v>
      </c>
      <c r="Q1870" t="s">
        <v>138</v>
      </c>
      <c r="R1870" s="2">
        <v>46192</v>
      </c>
      <c r="S1870" s="4">
        <v>11</v>
      </c>
      <c r="T1870" s="3">
        <v>237000000</v>
      </c>
      <c r="U1870" t="s">
        <v>196</v>
      </c>
      <c r="V1870" t="s">
        <v>70</v>
      </c>
      <c r="W1870" t="s">
        <v>197</v>
      </c>
      <c r="Y1870" t="s">
        <v>198</v>
      </c>
      <c r="Z1870" t="s">
        <v>3181</v>
      </c>
      <c r="AA1870" t="s">
        <v>109</v>
      </c>
      <c r="AB1870" t="s">
        <v>199</v>
      </c>
      <c r="AC1870" t="s">
        <v>109</v>
      </c>
    </row>
    <row r="1871" spans="1:29">
      <c r="A1871" t="s">
        <v>2288</v>
      </c>
      <c r="B1871" s="2">
        <v>46177</v>
      </c>
      <c r="C1871" t="s">
        <v>30</v>
      </c>
      <c r="D1871" t="s">
        <v>134</v>
      </c>
      <c r="E1871" t="s">
        <v>50</v>
      </c>
      <c r="F1871" t="s">
        <v>351</v>
      </c>
      <c r="G1871" t="s">
        <v>270</v>
      </c>
      <c r="H1871" t="s">
        <v>90</v>
      </c>
      <c r="I1871" t="s">
        <v>585</v>
      </c>
      <c r="J1871" t="s">
        <v>3126</v>
      </c>
      <c r="K1871" t="s">
        <v>105</v>
      </c>
      <c r="L1871" t="s">
        <v>68</v>
      </c>
      <c r="M1871" t="s">
        <v>164</v>
      </c>
      <c r="N1871" t="s">
        <v>40</v>
      </c>
      <c r="O1871" s="4">
        <v>2</v>
      </c>
      <c r="P1871" s="4">
        <v>12</v>
      </c>
      <c r="Q1871" t="s">
        <v>142</v>
      </c>
      <c r="R1871" s="2">
        <v>46167</v>
      </c>
      <c r="S1871" s="4">
        <v>36</v>
      </c>
      <c r="T1871" s="3">
        <v>295000000</v>
      </c>
      <c r="U1871" t="s">
        <v>42</v>
      </c>
      <c r="V1871" t="s">
        <v>43</v>
      </c>
      <c r="W1871" t="s">
        <v>239</v>
      </c>
      <c r="Y1871" t="s">
        <v>45</v>
      </c>
      <c r="Z1871" t="s">
        <v>3180</v>
      </c>
      <c r="AA1871" t="s">
        <v>62</v>
      </c>
      <c r="AB1871" t="s">
        <v>193</v>
      </c>
      <c r="AC1871" t="s">
        <v>62</v>
      </c>
    </row>
    <row r="1872" spans="1:29">
      <c r="A1872" t="s">
        <v>2289</v>
      </c>
      <c r="B1872" s="2">
        <v>46202</v>
      </c>
      <c r="C1872" t="s">
        <v>30</v>
      </c>
      <c r="D1872" t="s">
        <v>31</v>
      </c>
      <c r="E1872" t="s">
        <v>50</v>
      </c>
      <c r="F1872" t="s">
        <v>351</v>
      </c>
      <c r="G1872" t="s">
        <v>270</v>
      </c>
      <c r="H1872" t="s">
        <v>90</v>
      </c>
      <c r="I1872" t="s">
        <v>497</v>
      </c>
      <c r="J1872" t="s">
        <v>3105</v>
      </c>
      <c r="K1872" t="s">
        <v>37</v>
      </c>
      <c r="L1872" t="s">
        <v>150</v>
      </c>
      <c r="M1872" t="s">
        <v>81</v>
      </c>
      <c r="N1872" t="s">
        <v>57</v>
      </c>
      <c r="O1872" s="4">
        <v>3</v>
      </c>
      <c r="P1872" s="4">
        <v>13</v>
      </c>
      <c r="Q1872" t="s">
        <v>58</v>
      </c>
      <c r="R1872" s="2">
        <v>46197</v>
      </c>
      <c r="S1872" s="4">
        <v>6</v>
      </c>
      <c r="T1872" s="3">
        <v>258000000</v>
      </c>
      <c r="U1872" t="s">
        <v>42</v>
      </c>
      <c r="V1872" t="s">
        <v>43</v>
      </c>
      <c r="W1872" t="s">
        <v>203</v>
      </c>
      <c r="Y1872" t="s">
        <v>61</v>
      </c>
      <c r="Z1872" t="s">
        <v>3180</v>
      </c>
      <c r="AA1872" t="s">
        <v>62</v>
      </c>
      <c r="AB1872" t="s">
        <v>193</v>
      </c>
      <c r="AC1872" t="s">
        <v>62</v>
      </c>
    </row>
    <row r="1873" spans="1:29">
      <c r="A1873" t="s">
        <v>2290</v>
      </c>
      <c r="B1873" s="2">
        <v>46195</v>
      </c>
      <c r="C1873" t="s">
        <v>30</v>
      </c>
      <c r="D1873" t="s">
        <v>49</v>
      </c>
      <c r="E1873" t="s">
        <v>152</v>
      </c>
      <c r="F1873" t="s">
        <v>221</v>
      </c>
      <c r="G1873" t="s">
        <v>294</v>
      </c>
      <c r="H1873" t="s">
        <v>155</v>
      </c>
      <c r="I1873" t="s">
        <v>375</v>
      </c>
      <c r="J1873" t="s">
        <v>3067</v>
      </c>
      <c r="K1873" t="s">
        <v>56</v>
      </c>
      <c r="L1873" t="s">
        <v>80</v>
      </c>
      <c r="M1873" t="s">
        <v>164</v>
      </c>
      <c r="N1873" t="s">
        <v>130</v>
      </c>
      <c r="O1873" s="4">
        <v>5</v>
      </c>
      <c r="P1873" s="4">
        <v>11</v>
      </c>
      <c r="Q1873" t="s">
        <v>107</v>
      </c>
      <c r="R1873" s="2">
        <v>46191</v>
      </c>
      <c r="S1873" s="4">
        <v>12</v>
      </c>
      <c r="T1873" s="3">
        <v>402000000</v>
      </c>
      <c r="U1873" t="s">
        <v>42</v>
      </c>
      <c r="V1873" t="s">
        <v>143</v>
      </c>
      <c r="W1873" t="s">
        <v>131</v>
      </c>
      <c r="X1873" t="s">
        <v>117</v>
      </c>
      <c r="Y1873" t="s">
        <v>262</v>
      </c>
      <c r="Z1873" t="s">
        <v>3179</v>
      </c>
      <c r="AA1873" t="s">
        <v>159</v>
      </c>
      <c r="AB1873" t="s">
        <v>97</v>
      </c>
      <c r="AC1873" t="s">
        <v>159</v>
      </c>
    </row>
    <row r="1874" spans="1:29">
      <c r="A1874" t="s">
        <v>2291</v>
      </c>
      <c r="B1874" s="2">
        <v>46184</v>
      </c>
      <c r="C1874" t="s">
        <v>30</v>
      </c>
      <c r="D1874" t="s">
        <v>99</v>
      </c>
      <c r="E1874" t="s">
        <v>75</v>
      </c>
      <c r="F1874" t="s">
        <v>183</v>
      </c>
      <c r="G1874" t="s">
        <v>184</v>
      </c>
      <c r="H1874" t="s">
        <v>185</v>
      </c>
      <c r="I1874" t="s">
        <v>428</v>
      </c>
      <c r="J1874" t="s">
        <v>3081</v>
      </c>
      <c r="K1874" t="s">
        <v>92</v>
      </c>
      <c r="L1874" t="s">
        <v>68</v>
      </c>
      <c r="M1874" t="s">
        <v>129</v>
      </c>
      <c r="N1874" t="s">
        <v>57</v>
      </c>
      <c r="O1874" s="4">
        <v>3</v>
      </c>
      <c r="P1874" s="4">
        <v>11</v>
      </c>
      <c r="Q1874" t="s">
        <v>107</v>
      </c>
      <c r="R1874" s="2">
        <v>46179</v>
      </c>
      <c r="S1874" s="4">
        <v>24</v>
      </c>
      <c r="T1874" s="3">
        <v>221000000</v>
      </c>
      <c r="U1874" t="s">
        <v>42</v>
      </c>
      <c r="V1874" t="s">
        <v>59</v>
      </c>
      <c r="W1874" t="s">
        <v>60</v>
      </c>
      <c r="Y1874" t="s">
        <v>158</v>
      </c>
      <c r="Z1874" t="s">
        <v>3177</v>
      </c>
      <c r="AA1874" t="s">
        <v>86</v>
      </c>
      <c r="AB1874" t="s">
        <v>63</v>
      </c>
      <c r="AC1874" t="s">
        <v>86</v>
      </c>
    </row>
    <row r="1875" spans="1:29">
      <c r="A1875" t="s">
        <v>2292</v>
      </c>
      <c r="B1875" s="2">
        <v>46189</v>
      </c>
      <c r="C1875" t="s">
        <v>30</v>
      </c>
      <c r="D1875" t="s">
        <v>74</v>
      </c>
      <c r="E1875" t="s">
        <v>152</v>
      </c>
      <c r="F1875" t="s">
        <v>221</v>
      </c>
      <c r="G1875" t="s">
        <v>328</v>
      </c>
      <c r="H1875" t="s">
        <v>207</v>
      </c>
      <c r="I1875" t="s">
        <v>547</v>
      </c>
      <c r="J1875" t="s">
        <v>3116</v>
      </c>
      <c r="K1875" t="s">
        <v>92</v>
      </c>
      <c r="L1875" t="s">
        <v>68</v>
      </c>
      <c r="M1875" t="s">
        <v>129</v>
      </c>
      <c r="N1875" t="s">
        <v>40</v>
      </c>
      <c r="O1875" s="4">
        <v>2</v>
      </c>
      <c r="P1875" s="4">
        <v>8</v>
      </c>
      <c r="Q1875" t="s">
        <v>58</v>
      </c>
      <c r="R1875" s="2">
        <v>46181</v>
      </c>
      <c r="S1875" s="4">
        <v>22</v>
      </c>
      <c r="T1875" s="3">
        <v>52000000</v>
      </c>
      <c r="U1875" t="s">
        <v>42</v>
      </c>
      <c r="V1875" t="s">
        <v>43</v>
      </c>
      <c r="W1875" t="s">
        <v>298</v>
      </c>
      <c r="Y1875" t="s">
        <v>45</v>
      </c>
      <c r="Z1875" t="s">
        <v>3178</v>
      </c>
      <c r="AA1875" t="s">
        <v>159</v>
      </c>
      <c r="AB1875" t="s">
        <v>87</v>
      </c>
      <c r="AC1875" t="s">
        <v>159</v>
      </c>
    </row>
    <row r="1876" spans="1:29">
      <c r="A1876" t="s">
        <v>2293</v>
      </c>
      <c r="B1876" s="2">
        <v>46178</v>
      </c>
      <c r="C1876" t="s">
        <v>30</v>
      </c>
      <c r="D1876" t="s">
        <v>134</v>
      </c>
      <c r="E1876" t="s">
        <v>111</v>
      </c>
      <c r="F1876" t="s">
        <v>190</v>
      </c>
      <c r="G1876" t="s">
        <v>113</v>
      </c>
      <c r="H1876" t="s">
        <v>114</v>
      </c>
      <c r="I1876" t="s">
        <v>266</v>
      </c>
      <c r="J1876" t="s">
        <v>3037</v>
      </c>
      <c r="K1876" t="s">
        <v>116</v>
      </c>
      <c r="L1876" t="s">
        <v>80</v>
      </c>
      <c r="M1876" t="s">
        <v>56</v>
      </c>
      <c r="N1876" t="s">
        <v>57</v>
      </c>
      <c r="O1876" s="4">
        <v>3</v>
      </c>
      <c r="P1876" s="4">
        <v>11</v>
      </c>
      <c r="Q1876" t="s">
        <v>107</v>
      </c>
      <c r="R1876" s="2">
        <v>46177</v>
      </c>
      <c r="S1876" s="4">
        <v>26</v>
      </c>
      <c r="T1876" s="3">
        <v>121000000</v>
      </c>
      <c r="U1876" t="s">
        <v>42</v>
      </c>
      <c r="V1876" t="s">
        <v>59</v>
      </c>
      <c r="W1876" t="s">
        <v>60</v>
      </c>
      <c r="Y1876" t="s">
        <v>61</v>
      </c>
      <c r="Z1876" t="s">
        <v>3177</v>
      </c>
      <c r="AA1876" t="s">
        <v>118</v>
      </c>
      <c r="AB1876" t="s">
        <v>63</v>
      </c>
      <c r="AC1876" t="s">
        <v>118</v>
      </c>
    </row>
    <row r="1877" spans="1:29">
      <c r="A1877" t="s">
        <v>2294</v>
      </c>
      <c r="B1877" s="2">
        <v>46193</v>
      </c>
      <c r="C1877" t="s">
        <v>30</v>
      </c>
      <c r="D1877" t="s">
        <v>74</v>
      </c>
      <c r="E1877" t="s">
        <v>50</v>
      </c>
      <c r="F1877" t="s">
        <v>89</v>
      </c>
      <c r="G1877" t="s">
        <v>52</v>
      </c>
      <c r="H1877" t="s">
        <v>90</v>
      </c>
      <c r="I1877" t="s">
        <v>740</v>
      </c>
      <c r="J1877" t="s">
        <v>3151</v>
      </c>
      <c r="K1877" t="s">
        <v>56</v>
      </c>
      <c r="L1877" t="s">
        <v>150</v>
      </c>
      <c r="M1877" t="s">
        <v>164</v>
      </c>
      <c r="N1877" t="s">
        <v>196</v>
      </c>
      <c r="O1877" s="4">
        <v>7</v>
      </c>
      <c r="P1877" s="4">
        <v>9</v>
      </c>
      <c r="Q1877" t="s">
        <v>83</v>
      </c>
      <c r="R1877" s="2">
        <v>46189</v>
      </c>
      <c r="S1877" s="4">
        <v>14</v>
      </c>
      <c r="T1877" s="3">
        <v>106000000</v>
      </c>
      <c r="U1877" t="s">
        <v>196</v>
      </c>
      <c r="V1877" t="s">
        <v>70</v>
      </c>
      <c r="W1877" t="s">
        <v>243</v>
      </c>
      <c r="Y1877" t="s">
        <v>210</v>
      </c>
      <c r="Z1877" t="s">
        <v>3181</v>
      </c>
      <c r="AA1877" t="s">
        <v>62</v>
      </c>
      <c r="AB1877" t="s">
        <v>199</v>
      </c>
      <c r="AC1877" t="s">
        <v>62</v>
      </c>
    </row>
    <row r="1878" spans="1:29">
      <c r="A1878" t="s">
        <v>2295</v>
      </c>
      <c r="B1878" s="2">
        <v>46193</v>
      </c>
      <c r="C1878" t="s">
        <v>30</v>
      </c>
      <c r="D1878" t="s">
        <v>74</v>
      </c>
      <c r="E1878" t="s">
        <v>75</v>
      </c>
      <c r="F1878" t="s">
        <v>183</v>
      </c>
      <c r="G1878" t="s">
        <v>387</v>
      </c>
      <c r="H1878" t="s">
        <v>78</v>
      </c>
      <c r="I1878" t="s">
        <v>1145</v>
      </c>
      <c r="J1878" t="s">
        <v>3174</v>
      </c>
      <c r="K1878" t="s">
        <v>116</v>
      </c>
      <c r="L1878" t="s">
        <v>187</v>
      </c>
      <c r="M1878" t="s">
        <v>164</v>
      </c>
      <c r="N1878" t="s">
        <v>94</v>
      </c>
      <c r="O1878" s="4">
        <v>4</v>
      </c>
      <c r="P1878" s="4">
        <v>8</v>
      </c>
      <c r="Q1878" t="s">
        <v>41</v>
      </c>
      <c r="R1878" s="2">
        <v>46191</v>
      </c>
      <c r="S1878" s="4">
        <v>12</v>
      </c>
      <c r="T1878" s="3">
        <v>184000000</v>
      </c>
      <c r="U1878" t="s">
        <v>42</v>
      </c>
      <c r="V1878" t="s">
        <v>59</v>
      </c>
      <c r="W1878" t="s">
        <v>95</v>
      </c>
      <c r="X1878" t="s">
        <v>117</v>
      </c>
      <c r="Y1878" t="s">
        <v>228</v>
      </c>
      <c r="Z1878" t="s">
        <v>3179</v>
      </c>
      <c r="AA1878" t="s">
        <v>86</v>
      </c>
      <c r="AB1878" t="s">
        <v>97</v>
      </c>
      <c r="AC1878" t="s">
        <v>86</v>
      </c>
    </row>
    <row r="1879" spans="1:29">
      <c r="A1879" t="s">
        <v>2296</v>
      </c>
      <c r="B1879" s="2">
        <v>46189</v>
      </c>
      <c r="C1879" t="s">
        <v>30</v>
      </c>
      <c r="D1879" t="s">
        <v>74</v>
      </c>
      <c r="E1879" t="s">
        <v>32</v>
      </c>
      <c r="F1879" t="s">
        <v>33</v>
      </c>
      <c r="G1879" t="s">
        <v>257</v>
      </c>
      <c r="H1879" t="s">
        <v>258</v>
      </c>
      <c r="I1879" t="s">
        <v>593</v>
      </c>
      <c r="J1879" t="s">
        <v>3127</v>
      </c>
      <c r="K1879" t="s">
        <v>56</v>
      </c>
      <c r="L1879" t="s">
        <v>55</v>
      </c>
      <c r="M1879" t="s">
        <v>93</v>
      </c>
      <c r="N1879" t="s">
        <v>40</v>
      </c>
      <c r="O1879" s="4">
        <v>2</v>
      </c>
      <c r="P1879" s="4">
        <v>1</v>
      </c>
      <c r="Q1879" t="s">
        <v>107</v>
      </c>
      <c r="R1879" s="2">
        <v>46179</v>
      </c>
      <c r="S1879" s="4">
        <v>24</v>
      </c>
      <c r="T1879" s="3">
        <v>401000000</v>
      </c>
      <c r="U1879" t="s">
        <v>42</v>
      </c>
      <c r="V1879" t="s">
        <v>43</v>
      </c>
      <c r="W1879" t="s">
        <v>44</v>
      </c>
      <c r="Y1879" t="s">
        <v>180</v>
      </c>
      <c r="Z1879" t="s">
        <v>3176</v>
      </c>
      <c r="AA1879" t="s">
        <v>46</v>
      </c>
      <c r="AB1879" t="s">
        <v>47</v>
      </c>
      <c r="AC1879" t="s">
        <v>46</v>
      </c>
    </row>
    <row r="1880" spans="1:29">
      <c r="A1880" t="s">
        <v>2297</v>
      </c>
      <c r="B1880" s="2">
        <v>46192</v>
      </c>
      <c r="C1880" t="s">
        <v>30</v>
      </c>
      <c r="D1880" t="s">
        <v>74</v>
      </c>
      <c r="E1880" t="s">
        <v>152</v>
      </c>
      <c r="F1880" t="s">
        <v>153</v>
      </c>
      <c r="G1880" t="s">
        <v>206</v>
      </c>
      <c r="H1880" t="s">
        <v>155</v>
      </c>
      <c r="I1880" t="s">
        <v>418</v>
      </c>
      <c r="J1880" t="s">
        <v>3079</v>
      </c>
      <c r="K1880" t="s">
        <v>92</v>
      </c>
      <c r="L1880" t="s">
        <v>150</v>
      </c>
      <c r="M1880" t="s">
        <v>106</v>
      </c>
      <c r="N1880" t="s">
        <v>40</v>
      </c>
      <c r="O1880" s="4">
        <v>2</v>
      </c>
      <c r="P1880" s="4">
        <v>9</v>
      </c>
      <c r="Q1880" t="s">
        <v>41</v>
      </c>
      <c r="R1880" s="2">
        <v>46191</v>
      </c>
      <c r="S1880" s="4">
        <v>12</v>
      </c>
      <c r="T1880" s="3">
        <v>159000000</v>
      </c>
      <c r="U1880" t="s">
        <v>42</v>
      </c>
      <c r="V1880" t="s">
        <v>43</v>
      </c>
      <c r="W1880" t="s">
        <v>178</v>
      </c>
      <c r="Y1880" t="s">
        <v>281</v>
      </c>
      <c r="Z1880" t="s">
        <v>3178</v>
      </c>
      <c r="AA1880" t="s">
        <v>159</v>
      </c>
      <c r="AB1880" t="s">
        <v>87</v>
      </c>
      <c r="AC1880" t="s">
        <v>159</v>
      </c>
    </row>
    <row r="1881" spans="1:29">
      <c r="A1881" t="s">
        <v>2298</v>
      </c>
      <c r="B1881" s="2">
        <v>46194</v>
      </c>
      <c r="C1881" t="s">
        <v>30</v>
      </c>
      <c r="D1881" t="s">
        <v>74</v>
      </c>
      <c r="E1881" t="s">
        <v>100</v>
      </c>
      <c r="F1881" t="s">
        <v>146</v>
      </c>
      <c r="G1881" t="s">
        <v>147</v>
      </c>
      <c r="H1881" t="s">
        <v>103</v>
      </c>
      <c r="I1881" t="s">
        <v>994</v>
      </c>
      <c r="J1881" t="s">
        <v>3169</v>
      </c>
      <c r="K1881" t="s">
        <v>92</v>
      </c>
      <c r="L1881" t="s">
        <v>80</v>
      </c>
      <c r="M1881" t="s">
        <v>164</v>
      </c>
      <c r="N1881" t="s">
        <v>213</v>
      </c>
      <c r="O1881" s="4">
        <v>6</v>
      </c>
      <c r="P1881" s="4">
        <v>12</v>
      </c>
      <c r="Q1881" t="s">
        <v>83</v>
      </c>
      <c r="R1881" s="2">
        <v>46192</v>
      </c>
      <c r="S1881" s="4">
        <v>11</v>
      </c>
      <c r="T1881" s="3">
        <v>84000000</v>
      </c>
      <c r="U1881" t="s">
        <v>214</v>
      </c>
      <c r="V1881" t="s">
        <v>70</v>
      </c>
      <c r="W1881" t="s">
        <v>438</v>
      </c>
      <c r="Y1881" t="s">
        <v>249</v>
      </c>
      <c r="Z1881" t="s">
        <v>3179</v>
      </c>
      <c r="AA1881" t="s">
        <v>109</v>
      </c>
      <c r="AB1881" t="s">
        <v>97</v>
      </c>
      <c r="AC1881" t="s">
        <v>109</v>
      </c>
    </row>
    <row r="1882" spans="1:29">
      <c r="A1882" t="s">
        <v>2299</v>
      </c>
      <c r="B1882" s="2">
        <v>46191</v>
      </c>
      <c r="C1882" t="s">
        <v>30</v>
      </c>
      <c r="D1882" t="s">
        <v>74</v>
      </c>
      <c r="E1882" t="s">
        <v>32</v>
      </c>
      <c r="F1882" t="s">
        <v>256</v>
      </c>
      <c r="G1882" t="s">
        <v>257</v>
      </c>
      <c r="H1882" t="s">
        <v>258</v>
      </c>
      <c r="I1882" t="s">
        <v>297</v>
      </c>
      <c r="J1882" t="s">
        <v>3044</v>
      </c>
      <c r="K1882" t="s">
        <v>37</v>
      </c>
      <c r="L1882" t="s">
        <v>80</v>
      </c>
      <c r="M1882" t="s">
        <v>164</v>
      </c>
      <c r="N1882" t="s">
        <v>57</v>
      </c>
      <c r="O1882" s="4">
        <v>3</v>
      </c>
      <c r="P1882" s="4">
        <v>4</v>
      </c>
      <c r="Q1882" t="s">
        <v>142</v>
      </c>
      <c r="R1882" s="2">
        <v>46181</v>
      </c>
      <c r="S1882" s="4">
        <v>22</v>
      </c>
      <c r="T1882" s="3">
        <v>82000000</v>
      </c>
      <c r="U1882" t="s">
        <v>42</v>
      </c>
      <c r="V1882" t="s">
        <v>59</v>
      </c>
      <c r="W1882" t="s">
        <v>203</v>
      </c>
      <c r="Y1882" t="s">
        <v>61</v>
      </c>
      <c r="Z1882" t="s">
        <v>3177</v>
      </c>
      <c r="AA1882" t="s">
        <v>46</v>
      </c>
      <c r="AB1882" t="s">
        <v>63</v>
      </c>
      <c r="AC1882" t="s">
        <v>46</v>
      </c>
    </row>
    <row r="1883" spans="1:29">
      <c r="A1883" t="s">
        <v>2300</v>
      </c>
      <c r="B1883" s="2">
        <v>46187</v>
      </c>
      <c r="C1883" t="s">
        <v>30</v>
      </c>
      <c r="D1883" t="s">
        <v>99</v>
      </c>
      <c r="E1883" t="s">
        <v>111</v>
      </c>
      <c r="F1883" t="s">
        <v>190</v>
      </c>
      <c r="G1883" t="s">
        <v>251</v>
      </c>
      <c r="H1883" t="s">
        <v>127</v>
      </c>
      <c r="I1883" t="s">
        <v>128</v>
      </c>
      <c r="J1883" t="s">
        <v>3016</v>
      </c>
      <c r="K1883" t="s">
        <v>92</v>
      </c>
      <c r="L1883" t="s">
        <v>169</v>
      </c>
      <c r="M1883" t="s">
        <v>129</v>
      </c>
      <c r="N1883" t="s">
        <v>130</v>
      </c>
      <c r="O1883" s="4">
        <v>5</v>
      </c>
      <c r="P1883" s="4">
        <v>8</v>
      </c>
      <c r="Q1883" t="s">
        <v>58</v>
      </c>
      <c r="R1883" s="2">
        <v>46182</v>
      </c>
      <c r="S1883" s="4">
        <v>21</v>
      </c>
      <c r="T1883" s="3">
        <v>149000000</v>
      </c>
      <c r="U1883" t="s">
        <v>42</v>
      </c>
      <c r="V1883" t="s">
        <v>143</v>
      </c>
      <c r="W1883" t="s">
        <v>355</v>
      </c>
      <c r="Y1883" t="s">
        <v>254</v>
      </c>
      <c r="Z1883" t="s">
        <v>3179</v>
      </c>
      <c r="AA1883" t="s">
        <v>118</v>
      </c>
      <c r="AB1883" t="s">
        <v>97</v>
      </c>
      <c r="AC1883" t="s">
        <v>118</v>
      </c>
    </row>
    <row r="1884" spans="1:29">
      <c r="A1884" t="s">
        <v>2301</v>
      </c>
      <c r="B1884" s="2">
        <v>46202</v>
      </c>
      <c r="C1884" t="s">
        <v>30</v>
      </c>
      <c r="D1884" t="s">
        <v>31</v>
      </c>
      <c r="E1884" t="s">
        <v>172</v>
      </c>
      <c r="F1884" t="s">
        <v>195</v>
      </c>
      <c r="G1884" t="s">
        <v>174</v>
      </c>
      <c r="H1884" t="s">
        <v>175</v>
      </c>
      <c r="I1884" t="s">
        <v>956</v>
      </c>
      <c r="J1884" t="s">
        <v>3166</v>
      </c>
      <c r="K1884" t="s">
        <v>105</v>
      </c>
      <c r="L1884" t="s">
        <v>55</v>
      </c>
      <c r="M1884" t="s">
        <v>39</v>
      </c>
      <c r="N1884" t="s">
        <v>57</v>
      </c>
      <c r="O1884" s="4">
        <v>3</v>
      </c>
      <c r="P1884" s="4">
        <v>10</v>
      </c>
      <c r="Q1884" t="s">
        <v>41</v>
      </c>
      <c r="R1884" s="2">
        <v>46194</v>
      </c>
      <c r="S1884" s="4">
        <v>9</v>
      </c>
      <c r="T1884" s="3">
        <v>158000000</v>
      </c>
      <c r="U1884" t="s">
        <v>42</v>
      </c>
      <c r="V1884" t="s">
        <v>59</v>
      </c>
      <c r="W1884" t="s">
        <v>157</v>
      </c>
      <c r="Y1884" t="s">
        <v>165</v>
      </c>
      <c r="Z1884" t="s">
        <v>3177</v>
      </c>
      <c r="AA1884" t="s">
        <v>181</v>
      </c>
      <c r="AB1884" t="s">
        <v>63</v>
      </c>
      <c r="AC1884" t="s">
        <v>181</v>
      </c>
    </row>
    <row r="1885" spans="1:29">
      <c r="A1885" t="s">
        <v>2302</v>
      </c>
      <c r="B1885" s="2">
        <v>46178</v>
      </c>
      <c r="C1885" t="s">
        <v>30</v>
      </c>
      <c r="D1885" t="s">
        <v>134</v>
      </c>
      <c r="E1885" t="s">
        <v>152</v>
      </c>
      <c r="F1885" t="s">
        <v>205</v>
      </c>
      <c r="G1885" t="s">
        <v>206</v>
      </c>
      <c r="H1885" t="s">
        <v>283</v>
      </c>
      <c r="I1885" t="s">
        <v>474</v>
      </c>
      <c r="J1885" t="s">
        <v>3098</v>
      </c>
      <c r="K1885" t="s">
        <v>37</v>
      </c>
      <c r="L1885" t="s">
        <v>38</v>
      </c>
      <c r="M1885" t="s">
        <v>129</v>
      </c>
      <c r="N1885" t="s">
        <v>130</v>
      </c>
      <c r="O1885" s="4">
        <v>5</v>
      </c>
      <c r="P1885" s="4">
        <v>15</v>
      </c>
      <c r="Q1885" t="s">
        <v>58</v>
      </c>
      <c r="R1885" s="2">
        <v>46169</v>
      </c>
      <c r="S1885" s="4">
        <v>34</v>
      </c>
      <c r="T1885" s="3">
        <v>148000000</v>
      </c>
      <c r="U1885" t="s">
        <v>42</v>
      </c>
      <c r="V1885" t="s">
        <v>70</v>
      </c>
      <c r="W1885" t="s">
        <v>355</v>
      </c>
      <c r="Y1885" t="s">
        <v>334</v>
      </c>
      <c r="Z1885" t="s">
        <v>3179</v>
      </c>
      <c r="AA1885" t="s">
        <v>159</v>
      </c>
      <c r="AB1885" t="s">
        <v>97</v>
      </c>
      <c r="AC1885" t="s">
        <v>159</v>
      </c>
    </row>
    <row r="1886" spans="1:29">
      <c r="A1886" t="s">
        <v>2303</v>
      </c>
      <c r="B1886" s="2">
        <v>46198</v>
      </c>
      <c r="C1886" t="s">
        <v>30</v>
      </c>
      <c r="D1886" t="s">
        <v>49</v>
      </c>
      <c r="E1886" t="s">
        <v>111</v>
      </c>
      <c r="F1886" t="s">
        <v>190</v>
      </c>
      <c r="G1886" t="s">
        <v>113</v>
      </c>
      <c r="H1886" t="s">
        <v>114</v>
      </c>
      <c r="I1886" t="s">
        <v>266</v>
      </c>
      <c r="J1886" t="s">
        <v>3037</v>
      </c>
      <c r="K1886" t="s">
        <v>105</v>
      </c>
      <c r="L1886" t="s">
        <v>38</v>
      </c>
      <c r="M1886" t="s">
        <v>93</v>
      </c>
      <c r="N1886" t="s">
        <v>40</v>
      </c>
      <c r="O1886" s="4">
        <v>2</v>
      </c>
      <c r="P1886" s="4">
        <v>8</v>
      </c>
      <c r="Q1886" t="s">
        <v>107</v>
      </c>
      <c r="R1886" s="2">
        <v>46192</v>
      </c>
      <c r="S1886" s="4">
        <v>11</v>
      </c>
      <c r="T1886" s="3">
        <v>316000000</v>
      </c>
      <c r="U1886" t="s">
        <v>42</v>
      </c>
      <c r="V1886" t="s">
        <v>59</v>
      </c>
      <c r="W1886" t="s">
        <v>178</v>
      </c>
      <c r="Y1886" t="s">
        <v>180</v>
      </c>
      <c r="Z1886" t="s">
        <v>3178</v>
      </c>
      <c r="AA1886" t="s">
        <v>118</v>
      </c>
      <c r="AB1886" t="s">
        <v>87</v>
      </c>
      <c r="AC1886" t="s">
        <v>118</v>
      </c>
    </row>
    <row r="1887" spans="1:29">
      <c r="A1887" t="s">
        <v>2304</v>
      </c>
      <c r="B1887" s="2">
        <v>46183</v>
      </c>
      <c r="C1887" t="s">
        <v>30</v>
      </c>
      <c r="D1887" t="s">
        <v>99</v>
      </c>
      <c r="E1887" t="s">
        <v>75</v>
      </c>
      <c r="F1887" t="s">
        <v>76</v>
      </c>
      <c r="G1887" t="s">
        <v>387</v>
      </c>
      <c r="H1887" t="s">
        <v>78</v>
      </c>
      <c r="I1887" t="s">
        <v>231</v>
      </c>
      <c r="J1887" t="s">
        <v>3031</v>
      </c>
      <c r="K1887" t="s">
        <v>105</v>
      </c>
      <c r="L1887" t="s">
        <v>55</v>
      </c>
      <c r="M1887" t="s">
        <v>129</v>
      </c>
      <c r="N1887" t="s">
        <v>94</v>
      </c>
      <c r="O1887" s="4">
        <v>4</v>
      </c>
      <c r="P1887" s="4">
        <v>7</v>
      </c>
      <c r="Q1887" t="s">
        <v>69</v>
      </c>
      <c r="R1887" s="2">
        <v>46181</v>
      </c>
      <c r="S1887" s="4">
        <v>22</v>
      </c>
      <c r="T1887" s="3">
        <v>197000000</v>
      </c>
      <c r="U1887" t="s">
        <v>42</v>
      </c>
      <c r="V1887" t="s">
        <v>59</v>
      </c>
      <c r="W1887" t="s">
        <v>95</v>
      </c>
      <c r="X1887" t="s">
        <v>253</v>
      </c>
      <c r="Y1887" t="s">
        <v>228</v>
      </c>
      <c r="Z1887" t="s">
        <v>3179</v>
      </c>
      <c r="AA1887" t="s">
        <v>86</v>
      </c>
      <c r="AB1887" t="s">
        <v>97</v>
      </c>
      <c r="AC1887" t="s">
        <v>86</v>
      </c>
    </row>
    <row r="1888" spans="1:29">
      <c r="A1888" t="s">
        <v>2305</v>
      </c>
      <c r="B1888" s="2">
        <v>46176</v>
      </c>
      <c r="C1888" t="s">
        <v>30</v>
      </c>
      <c r="D1888" t="s">
        <v>134</v>
      </c>
      <c r="E1888" t="s">
        <v>50</v>
      </c>
      <c r="F1888" t="s">
        <v>351</v>
      </c>
      <c r="G1888" t="s">
        <v>343</v>
      </c>
      <c r="H1888" t="s">
        <v>90</v>
      </c>
      <c r="I1888" t="s">
        <v>377</v>
      </c>
      <c r="J1888" t="s">
        <v>3068</v>
      </c>
      <c r="K1888" t="s">
        <v>105</v>
      </c>
      <c r="L1888" t="s">
        <v>80</v>
      </c>
      <c r="M1888" t="s">
        <v>93</v>
      </c>
      <c r="N1888" t="s">
        <v>94</v>
      </c>
      <c r="O1888" s="4">
        <v>4</v>
      </c>
      <c r="P1888" s="4">
        <v>14</v>
      </c>
      <c r="Q1888" t="s">
        <v>142</v>
      </c>
      <c r="R1888" s="2">
        <v>46171</v>
      </c>
      <c r="S1888" s="4">
        <v>32</v>
      </c>
      <c r="T1888" s="3">
        <v>186000000</v>
      </c>
      <c r="U1888" t="s">
        <v>42</v>
      </c>
      <c r="V1888" t="s">
        <v>59</v>
      </c>
      <c r="W1888" t="s">
        <v>188</v>
      </c>
      <c r="Y1888" t="s">
        <v>268</v>
      </c>
      <c r="Z1888" t="s">
        <v>3179</v>
      </c>
      <c r="AA1888" t="s">
        <v>62</v>
      </c>
      <c r="AB1888" t="s">
        <v>97</v>
      </c>
      <c r="AC1888" t="s">
        <v>62</v>
      </c>
    </row>
    <row r="1889" spans="1:29">
      <c r="A1889" t="s">
        <v>2306</v>
      </c>
      <c r="B1889" s="2">
        <v>46197</v>
      </c>
      <c r="C1889" t="s">
        <v>30</v>
      </c>
      <c r="D1889" t="s">
        <v>49</v>
      </c>
      <c r="E1889" t="s">
        <v>152</v>
      </c>
      <c r="F1889" t="s">
        <v>205</v>
      </c>
      <c r="G1889" t="s">
        <v>286</v>
      </c>
      <c r="H1889" t="s">
        <v>155</v>
      </c>
      <c r="I1889" t="s">
        <v>418</v>
      </c>
      <c r="J1889" t="s">
        <v>3079</v>
      </c>
      <c r="K1889" t="s">
        <v>37</v>
      </c>
      <c r="L1889" t="s">
        <v>38</v>
      </c>
      <c r="M1889" t="s">
        <v>39</v>
      </c>
      <c r="N1889" t="s">
        <v>130</v>
      </c>
      <c r="O1889" s="4">
        <v>5</v>
      </c>
      <c r="P1889" s="4">
        <v>17</v>
      </c>
      <c r="Q1889" t="s">
        <v>58</v>
      </c>
      <c r="R1889" s="2">
        <v>46194</v>
      </c>
      <c r="S1889" s="4">
        <v>9</v>
      </c>
      <c r="T1889" s="3">
        <v>257000000</v>
      </c>
      <c r="U1889" t="s">
        <v>42</v>
      </c>
      <c r="V1889" t="s">
        <v>70</v>
      </c>
      <c r="W1889" t="s">
        <v>252</v>
      </c>
      <c r="X1889" t="s">
        <v>117</v>
      </c>
      <c r="Y1889" t="s">
        <v>262</v>
      </c>
      <c r="Z1889" t="s">
        <v>3179</v>
      </c>
      <c r="AA1889" t="s">
        <v>159</v>
      </c>
      <c r="AB1889" t="s">
        <v>97</v>
      </c>
      <c r="AC1889" t="s">
        <v>159</v>
      </c>
    </row>
    <row r="1890" spans="1:29">
      <c r="A1890" t="s">
        <v>2307</v>
      </c>
      <c r="B1890" s="2">
        <v>46183</v>
      </c>
      <c r="C1890" t="s">
        <v>30</v>
      </c>
      <c r="D1890" t="s">
        <v>99</v>
      </c>
      <c r="E1890" t="s">
        <v>172</v>
      </c>
      <c r="F1890" t="s">
        <v>195</v>
      </c>
      <c r="G1890" t="s">
        <v>278</v>
      </c>
      <c r="H1890" t="s">
        <v>241</v>
      </c>
      <c r="I1890" t="s">
        <v>512</v>
      </c>
      <c r="J1890" t="s">
        <v>3107</v>
      </c>
      <c r="K1890" t="s">
        <v>37</v>
      </c>
      <c r="L1890" t="s">
        <v>55</v>
      </c>
      <c r="M1890" t="s">
        <v>164</v>
      </c>
      <c r="N1890" t="s">
        <v>130</v>
      </c>
      <c r="O1890" s="4">
        <v>5</v>
      </c>
      <c r="P1890" s="4">
        <v>7</v>
      </c>
      <c r="Q1890" t="s">
        <v>142</v>
      </c>
      <c r="R1890" s="2">
        <v>46173</v>
      </c>
      <c r="S1890" s="4">
        <v>30</v>
      </c>
      <c r="T1890" s="3">
        <v>261000000</v>
      </c>
      <c r="U1890" t="s">
        <v>42</v>
      </c>
      <c r="V1890" t="s">
        <v>70</v>
      </c>
      <c r="W1890" t="s">
        <v>355</v>
      </c>
      <c r="Y1890" t="s">
        <v>132</v>
      </c>
      <c r="Z1890" t="s">
        <v>3179</v>
      </c>
      <c r="AA1890" t="s">
        <v>181</v>
      </c>
      <c r="AB1890" t="s">
        <v>97</v>
      </c>
      <c r="AC1890" t="s">
        <v>181</v>
      </c>
    </row>
    <row r="1891" spans="1:29">
      <c r="A1891" t="s">
        <v>2308</v>
      </c>
      <c r="B1891" s="2">
        <v>46186</v>
      </c>
      <c r="C1891" t="s">
        <v>30</v>
      </c>
      <c r="D1891" t="s">
        <v>99</v>
      </c>
      <c r="E1891" t="s">
        <v>120</v>
      </c>
      <c r="F1891" t="s">
        <v>121</v>
      </c>
      <c r="G1891" t="s">
        <v>122</v>
      </c>
      <c r="H1891" t="s">
        <v>123</v>
      </c>
      <c r="I1891" t="s">
        <v>838</v>
      </c>
      <c r="J1891" t="s">
        <v>3160</v>
      </c>
      <c r="K1891" t="s">
        <v>116</v>
      </c>
      <c r="L1891" t="s">
        <v>150</v>
      </c>
      <c r="M1891" t="s">
        <v>129</v>
      </c>
      <c r="N1891" t="s">
        <v>94</v>
      </c>
      <c r="O1891" s="4">
        <v>4</v>
      </c>
      <c r="P1891" s="4">
        <v>8</v>
      </c>
      <c r="Q1891" t="s">
        <v>138</v>
      </c>
      <c r="R1891" s="2">
        <v>46176</v>
      </c>
      <c r="S1891" s="4">
        <v>27</v>
      </c>
      <c r="T1891" s="3">
        <v>149000000</v>
      </c>
      <c r="U1891" t="s">
        <v>42</v>
      </c>
      <c r="V1891" t="s">
        <v>143</v>
      </c>
      <c r="W1891" t="s">
        <v>170</v>
      </c>
      <c r="Y1891" t="s">
        <v>108</v>
      </c>
      <c r="Z1891" t="s">
        <v>3179</v>
      </c>
      <c r="AA1891" t="s">
        <v>97</v>
      </c>
      <c r="AB1891" t="s">
        <v>97</v>
      </c>
      <c r="AC1891" t="s">
        <v>97</v>
      </c>
    </row>
    <row r="1892" spans="1:29">
      <c r="A1892" t="s">
        <v>2309</v>
      </c>
      <c r="B1892" s="2">
        <v>46194</v>
      </c>
      <c r="C1892" t="s">
        <v>30</v>
      </c>
      <c r="D1892" t="s">
        <v>74</v>
      </c>
      <c r="E1892" t="s">
        <v>75</v>
      </c>
      <c r="F1892" t="s">
        <v>161</v>
      </c>
      <c r="G1892" t="s">
        <v>387</v>
      </c>
      <c r="H1892" t="s">
        <v>78</v>
      </c>
      <c r="I1892" t="s">
        <v>494</v>
      </c>
      <c r="J1892" t="s">
        <v>3104</v>
      </c>
      <c r="K1892" t="s">
        <v>105</v>
      </c>
      <c r="L1892" t="s">
        <v>68</v>
      </c>
      <c r="M1892" t="s">
        <v>56</v>
      </c>
      <c r="N1892" t="s">
        <v>196</v>
      </c>
      <c r="O1892" s="4">
        <v>7</v>
      </c>
      <c r="P1892" s="4">
        <v>15</v>
      </c>
      <c r="Q1892" t="s">
        <v>58</v>
      </c>
      <c r="R1892" s="2">
        <v>46191</v>
      </c>
      <c r="S1892" s="4">
        <v>12</v>
      </c>
      <c r="T1892" s="3">
        <v>377000000</v>
      </c>
      <c r="U1892" t="s">
        <v>196</v>
      </c>
      <c r="V1892" t="s">
        <v>70</v>
      </c>
      <c r="W1892" t="s">
        <v>243</v>
      </c>
      <c r="Y1892" t="s">
        <v>369</v>
      </c>
      <c r="Z1892" t="s">
        <v>3181</v>
      </c>
      <c r="AA1892" t="s">
        <v>86</v>
      </c>
      <c r="AB1892" t="s">
        <v>199</v>
      </c>
      <c r="AC1892" t="s">
        <v>86</v>
      </c>
    </row>
    <row r="1893" spans="1:29">
      <c r="A1893" t="s">
        <v>2310</v>
      </c>
      <c r="B1893" s="2">
        <v>46190</v>
      </c>
      <c r="C1893" t="s">
        <v>30</v>
      </c>
      <c r="D1893" t="s">
        <v>74</v>
      </c>
      <c r="E1893" t="s">
        <v>50</v>
      </c>
      <c r="F1893" t="s">
        <v>89</v>
      </c>
      <c r="G1893" t="s">
        <v>234</v>
      </c>
      <c r="H1893" t="s">
        <v>53</v>
      </c>
      <c r="I1893" t="s">
        <v>307</v>
      </c>
      <c r="J1893" t="s">
        <v>3047</v>
      </c>
      <c r="K1893" t="s">
        <v>37</v>
      </c>
      <c r="L1893" t="s">
        <v>80</v>
      </c>
      <c r="M1893" t="s">
        <v>106</v>
      </c>
      <c r="N1893" t="s">
        <v>94</v>
      </c>
      <c r="O1893" s="4">
        <v>4</v>
      </c>
      <c r="P1893" s="4">
        <v>11</v>
      </c>
      <c r="Q1893" t="s">
        <v>69</v>
      </c>
      <c r="R1893" s="2">
        <v>46186</v>
      </c>
      <c r="S1893" s="4">
        <v>17</v>
      </c>
      <c r="T1893" s="3">
        <v>96000000</v>
      </c>
      <c r="U1893" t="s">
        <v>260</v>
      </c>
      <c r="V1893" t="s">
        <v>59</v>
      </c>
      <c r="W1893" t="s">
        <v>170</v>
      </c>
      <c r="X1893" t="s">
        <v>179</v>
      </c>
      <c r="Y1893" t="s">
        <v>108</v>
      </c>
      <c r="Z1893" t="s">
        <v>3179</v>
      </c>
      <c r="AA1893" t="s">
        <v>62</v>
      </c>
      <c r="AB1893" t="s">
        <v>97</v>
      </c>
      <c r="AC1893" t="s">
        <v>62</v>
      </c>
    </row>
    <row r="1894" spans="1:29">
      <c r="A1894" t="s">
        <v>2311</v>
      </c>
      <c r="B1894" s="2">
        <v>46184</v>
      </c>
      <c r="C1894" t="s">
        <v>30</v>
      </c>
      <c r="D1894" t="s">
        <v>99</v>
      </c>
      <c r="E1894" t="s">
        <v>120</v>
      </c>
      <c r="F1894" t="s">
        <v>167</v>
      </c>
      <c r="G1894" t="s">
        <v>122</v>
      </c>
      <c r="H1894" t="s">
        <v>123</v>
      </c>
      <c r="I1894" t="s">
        <v>225</v>
      </c>
      <c r="J1894" t="s">
        <v>3030</v>
      </c>
      <c r="K1894" t="s">
        <v>105</v>
      </c>
      <c r="L1894" t="s">
        <v>68</v>
      </c>
      <c r="M1894" t="s">
        <v>164</v>
      </c>
      <c r="N1894" t="s">
        <v>57</v>
      </c>
      <c r="O1894" s="4">
        <v>3</v>
      </c>
      <c r="P1894" s="4">
        <v>11</v>
      </c>
      <c r="Q1894" t="s">
        <v>41</v>
      </c>
      <c r="R1894" s="2">
        <v>46182</v>
      </c>
      <c r="S1894" s="4">
        <v>21</v>
      </c>
      <c r="T1894" s="3">
        <v>304000000</v>
      </c>
      <c r="U1894" t="s">
        <v>42</v>
      </c>
      <c r="V1894" t="s">
        <v>59</v>
      </c>
      <c r="W1894" t="s">
        <v>157</v>
      </c>
      <c r="Y1894" t="s">
        <v>165</v>
      </c>
      <c r="Z1894" t="s">
        <v>3177</v>
      </c>
      <c r="AA1894" t="s">
        <v>97</v>
      </c>
      <c r="AB1894" t="s">
        <v>63</v>
      </c>
      <c r="AC1894" t="s">
        <v>97</v>
      </c>
    </row>
    <row r="1895" spans="1:29">
      <c r="A1895" t="s">
        <v>2312</v>
      </c>
      <c r="B1895" s="2">
        <v>46184</v>
      </c>
      <c r="C1895" t="s">
        <v>30</v>
      </c>
      <c r="D1895" t="s">
        <v>99</v>
      </c>
      <c r="E1895" t="s">
        <v>50</v>
      </c>
      <c r="F1895" t="s">
        <v>51</v>
      </c>
      <c r="G1895" t="s">
        <v>52</v>
      </c>
      <c r="H1895" t="s">
        <v>90</v>
      </c>
      <c r="I1895" t="s">
        <v>377</v>
      </c>
      <c r="J1895" t="s">
        <v>3068</v>
      </c>
      <c r="K1895" t="s">
        <v>92</v>
      </c>
      <c r="L1895" t="s">
        <v>38</v>
      </c>
      <c r="M1895" t="s">
        <v>93</v>
      </c>
      <c r="N1895" t="s">
        <v>130</v>
      </c>
      <c r="O1895" s="4">
        <v>5</v>
      </c>
      <c r="P1895" s="4">
        <v>8</v>
      </c>
      <c r="Q1895" t="s">
        <v>142</v>
      </c>
      <c r="R1895" s="2">
        <v>46178</v>
      </c>
      <c r="S1895" s="4">
        <v>25</v>
      </c>
      <c r="T1895" s="3">
        <v>169000000</v>
      </c>
      <c r="U1895" t="s">
        <v>42</v>
      </c>
      <c r="V1895" t="s">
        <v>143</v>
      </c>
      <c r="W1895" t="s">
        <v>252</v>
      </c>
      <c r="Y1895" t="s">
        <v>334</v>
      </c>
      <c r="Z1895" t="s">
        <v>3179</v>
      </c>
      <c r="AA1895" t="s">
        <v>62</v>
      </c>
      <c r="AB1895" t="s">
        <v>97</v>
      </c>
      <c r="AC1895" t="s">
        <v>62</v>
      </c>
    </row>
    <row r="1896" spans="1:29">
      <c r="A1896" t="s">
        <v>2313</v>
      </c>
      <c r="B1896" s="2">
        <v>46194</v>
      </c>
      <c r="C1896" t="s">
        <v>30</v>
      </c>
      <c r="D1896" t="s">
        <v>74</v>
      </c>
      <c r="E1896" t="s">
        <v>50</v>
      </c>
      <c r="F1896" t="s">
        <v>351</v>
      </c>
      <c r="G1896" t="s">
        <v>65</v>
      </c>
      <c r="H1896" t="s">
        <v>53</v>
      </c>
      <c r="I1896" t="s">
        <v>54</v>
      </c>
      <c r="J1896" t="s">
        <v>3009</v>
      </c>
      <c r="K1896" t="s">
        <v>56</v>
      </c>
      <c r="L1896" t="s">
        <v>80</v>
      </c>
      <c r="M1896" t="s">
        <v>81</v>
      </c>
      <c r="N1896" t="s">
        <v>213</v>
      </c>
      <c r="O1896" s="4">
        <v>6</v>
      </c>
      <c r="P1896" s="4">
        <v>13</v>
      </c>
      <c r="Q1896" t="s">
        <v>138</v>
      </c>
      <c r="R1896" s="2">
        <v>46192</v>
      </c>
      <c r="S1896" s="4">
        <v>11</v>
      </c>
      <c r="T1896" s="3">
        <v>484000000</v>
      </c>
      <c r="U1896" t="s">
        <v>214</v>
      </c>
      <c r="V1896" t="s">
        <v>70</v>
      </c>
      <c r="W1896" t="s">
        <v>438</v>
      </c>
      <c r="Y1896" t="s">
        <v>424</v>
      </c>
      <c r="Z1896" t="s">
        <v>3179</v>
      </c>
      <c r="AA1896" t="s">
        <v>62</v>
      </c>
      <c r="AB1896" t="s">
        <v>97</v>
      </c>
      <c r="AC1896" t="s">
        <v>62</v>
      </c>
    </row>
    <row r="1897" spans="1:29">
      <c r="A1897" t="s">
        <v>2314</v>
      </c>
      <c r="B1897" s="2">
        <v>46189</v>
      </c>
      <c r="C1897" t="s">
        <v>30</v>
      </c>
      <c r="D1897" t="s">
        <v>74</v>
      </c>
      <c r="E1897" t="s">
        <v>50</v>
      </c>
      <c r="F1897" t="s">
        <v>51</v>
      </c>
      <c r="G1897" t="s">
        <v>52</v>
      </c>
      <c r="H1897" t="s">
        <v>53</v>
      </c>
      <c r="I1897" t="s">
        <v>373</v>
      </c>
      <c r="J1897" t="s">
        <v>3066</v>
      </c>
      <c r="K1897" t="s">
        <v>116</v>
      </c>
      <c r="L1897" t="s">
        <v>150</v>
      </c>
      <c r="M1897" t="s">
        <v>93</v>
      </c>
      <c r="N1897" t="s">
        <v>130</v>
      </c>
      <c r="O1897" s="4">
        <v>5</v>
      </c>
      <c r="P1897" s="4">
        <v>13</v>
      </c>
      <c r="Q1897" t="s">
        <v>138</v>
      </c>
      <c r="R1897" s="2">
        <v>46185</v>
      </c>
      <c r="S1897" s="4">
        <v>18</v>
      </c>
      <c r="T1897" s="3">
        <v>86000000</v>
      </c>
      <c r="U1897" t="s">
        <v>42</v>
      </c>
      <c r="V1897" t="s">
        <v>143</v>
      </c>
      <c r="W1897" t="s">
        <v>131</v>
      </c>
      <c r="X1897" t="s">
        <v>117</v>
      </c>
      <c r="Y1897" t="s">
        <v>262</v>
      </c>
      <c r="Z1897" t="s">
        <v>3179</v>
      </c>
      <c r="AA1897" t="s">
        <v>62</v>
      </c>
      <c r="AB1897" t="s">
        <v>97</v>
      </c>
      <c r="AC1897" t="s">
        <v>62</v>
      </c>
    </row>
    <row r="1898" spans="1:29">
      <c r="A1898" t="s">
        <v>2315</v>
      </c>
      <c r="B1898" s="2">
        <v>46201</v>
      </c>
      <c r="C1898" t="s">
        <v>30</v>
      </c>
      <c r="D1898" t="s">
        <v>49</v>
      </c>
      <c r="E1898" t="s">
        <v>75</v>
      </c>
      <c r="F1898" t="s">
        <v>183</v>
      </c>
      <c r="G1898" t="s">
        <v>387</v>
      </c>
      <c r="H1898" t="s">
        <v>388</v>
      </c>
      <c r="I1898" t="s">
        <v>540</v>
      </c>
      <c r="J1898" t="s">
        <v>3114</v>
      </c>
      <c r="K1898" t="s">
        <v>37</v>
      </c>
      <c r="L1898" t="s">
        <v>187</v>
      </c>
      <c r="M1898" t="s">
        <v>56</v>
      </c>
      <c r="N1898" t="s">
        <v>40</v>
      </c>
      <c r="O1898" s="4">
        <v>2</v>
      </c>
      <c r="P1898" s="4">
        <v>8</v>
      </c>
      <c r="Q1898" t="s">
        <v>58</v>
      </c>
      <c r="R1898" s="2">
        <v>46191</v>
      </c>
      <c r="S1898" s="4">
        <v>12</v>
      </c>
      <c r="T1898" s="3">
        <v>229000000</v>
      </c>
      <c r="U1898" t="s">
        <v>42</v>
      </c>
      <c r="V1898" t="s">
        <v>43</v>
      </c>
      <c r="W1898" t="s">
        <v>298</v>
      </c>
      <c r="Y1898" t="s">
        <v>309</v>
      </c>
      <c r="Z1898" t="s">
        <v>3178</v>
      </c>
      <c r="AA1898" t="s">
        <v>86</v>
      </c>
      <c r="AB1898" t="s">
        <v>87</v>
      </c>
      <c r="AC1898" t="s">
        <v>86</v>
      </c>
    </row>
    <row r="1899" spans="1:29">
      <c r="A1899" t="s">
        <v>2316</v>
      </c>
      <c r="B1899" s="2">
        <v>46195</v>
      </c>
      <c r="C1899" t="s">
        <v>30</v>
      </c>
      <c r="D1899" t="s">
        <v>49</v>
      </c>
      <c r="E1899" t="s">
        <v>50</v>
      </c>
      <c r="F1899" t="s">
        <v>51</v>
      </c>
      <c r="G1899" t="s">
        <v>52</v>
      </c>
      <c r="H1899" t="s">
        <v>90</v>
      </c>
      <c r="I1899" t="s">
        <v>91</v>
      </c>
      <c r="J1899" t="s">
        <v>3012</v>
      </c>
      <c r="K1899" t="s">
        <v>56</v>
      </c>
      <c r="L1899" t="s">
        <v>38</v>
      </c>
      <c r="M1899" t="s">
        <v>39</v>
      </c>
      <c r="N1899" t="s">
        <v>213</v>
      </c>
      <c r="O1899" s="4">
        <v>6</v>
      </c>
      <c r="P1899" s="4">
        <v>13</v>
      </c>
      <c r="Q1899" t="s">
        <v>41</v>
      </c>
      <c r="R1899" s="2">
        <v>46194</v>
      </c>
      <c r="S1899" s="4">
        <v>9</v>
      </c>
      <c r="T1899" s="3">
        <v>228000000</v>
      </c>
      <c r="U1899" t="s">
        <v>214</v>
      </c>
      <c r="V1899" t="s">
        <v>143</v>
      </c>
      <c r="W1899" t="s">
        <v>390</v>
      </c>
      <c r="Y1899" t="s">
        <v>216</v>
      </c>
      <c r="Z1899" t="s">
        <v>3179</v>
      </c>
      <c r="AA1899" t="s">
        <v>62</v>
      </c>
      <c r="AB1899" t="s">
        <v>97</v>
      </c>
      <c r="AC1899" t="s">
        <v>62</v>
      </c>
    </row>
    <row r="1900" spans="1:29">
      <c r="A1900" t="s">
        <v>2317</v>
      </c>
      <c r="B1900" s="2">
        <v>46174</v>
      </c>
      <c r="C1900" t="s">
        <v>30</v>
      </c>
      <c r="D1900" t="s">
        <v>134</v>
      </c>
      <c r="E1900" t="s">
        <v>100</v>
      </c>
      <c r="F1900" t="s">
        <v>146</v>
      </c>
      <c r="G1900" t="s">
        <v>212</v>
      </c>
      <c r="H1900" t="s">
        <v>201</v>
      </c>
      <c r="I1900" t="s">
        <v>416</v>
      </c>
      <c r="J1900" t="s">
        <v>3078</v>
      </c>
      <c r="K1900" t="s">
        <v>37</v>
      </c>
      <c r="L1900" t="s">
        <v>38</v>
      </c>
      <c r="M1900" t="s">
        <v>56</v>
      </c>
      <c r="N1900" t="s">
        <v>94</v>
      </c>
      <c r="O1900" s="4">
        <v>4</v>
      </c>
      <c r="P1900" s="4">
        <v>13</v>
      </c>
      <c r="Q1900" t="s">
        <v>41</v>
      </c>
      <c r="R1900" s="2">
        <v>46167</v>
      </c>
      <c r="S1900" s="4">
        <v>36</v>
      </c>
      <c r="T1900" s="3">
        <v>279000000</v>
      </c>
      <c r="U1900" t="s">
        <v>42</v>
      </c>
      <c r="V1900" t="s">
        <v>70</v>
      </c>
      <c r="W1900" t="s">
        <v>267</v>
      </c>
      <c r="X1900" t="s">
        <v>253</v>
      </c>
      <c r="Y1900" t="s">
        <v>268</v>
      </c>
      <c r="Z1900" t="s">
        <v>3179</v>
      </c>
      <c r="AA1900" t="s">
        <v>109</v>
      </c>
      <c r="AB1900" t="s">
        <v>97</v>
      </c>
      <c r="AC1900" t="s">
        <v>109</v>
      </c>
    </row>
    <row r="1901" spans="1:29">
      <c r="A1901" t="s">
        <v>2318</v>
      </c>
      <c r="B1901" s="2">
        <v>46185</v>
      </c>
      <c r="C1901" t="s">
        <v>30</v>
      </c>
      <c r="D1901" t="s">
        <v>99</v>
      </c>
      <c r="E1901" t="s">
        <v>32</v>
      </c>
      <c r="F1901" t="s">
        <v>256</v>
      </c>
      <c r="G1901" t="s">
        <v>257</v>
      </c>
      <c r="H1901" t="s">
        <v>303</v>
      </c>
      <c r="I1901" t="s">
        <v>964</v>
      </c>
      <c r="J1901" t="s">
        <v>3167</v>
      </c>
      <c r="K1901" t="s">
        <v>56</v>
      </c>
      <c r="L1901" t="s">
        <v>55</v>
      </c>
      <c r="M1901" t="s">
        <v>56</v>
      </c>
      <c r="N1901" t="s">
        <v>196</v>
      </c>
      <c r="O1901" s="4">
        <v>7</v>
      </c>
      <c r="P1901" s="4">
        <v>8</v>
      </c>
      <c r="Q1901" t="s">
        <v>142</v>
      </c>
      <c r="R1901" s="2">
        <v>46180</v>
      </c>
      <c r="S1901" s="4">
        <v>23</v>
      </c>
      <c r="T1901" s="3">
        <v>280000000</v>
      </c>
      <c r="U1901" t="s">
        <v>196</v>
      </c>
      <c r="V1901" t="s">
        <v>70</v>
      </c>
      <c r="W1901" t="s">
        <v>197</v>
      </c>
      <c r="Y1901" t="s">
        <v>244</v>
      </c>
      <c r="Z1901" t="s">
        <v>3181</v>
      </c>
      <c r="AA1901" t="s">
        <v>46</v>
      </c>
      <c r="AB1901" t="s">
        <v>199</v>
      </c>
      <c r="AC1901" t="s">
        <v>46</v>
      </c>
    </row>
    <row r="1902" spans="1:29">
      <c r="A1902" t="s">
        <v>2319</v>
      </c>
      <c r="B1902" s="2">
        <v>46175</v>
      </c>
      <c r="C1902" t="s">
        <v>30</v>
      </c>
      <c r="D1902" t="s">
        <v>134</v>
      </c>
      <c r="E1902" t="s">
        <v>75</v>
      </c>
      <c r="F1902" t="s">
        <v>183</v>
      </c>
      <c r="G1902" t="s">
        <v>162</v>
      </c>
      <c r="H1902" t="s">
        <v>185</v>
      </c>
      <c r="I1902" t="s">
        <v>542</v>
      </c>
      <c r="J1902" t="s">
        <v>3115</v>
      </c>
      <c r="K1902" t="s">
        <v>37</v>
      </c>
      <c r="L1902" t="s">
        <v>80</v>
      </c>
      <c r="M1902" t="s">
        <v>93</v>
      </c>
      <c r="N1902" t="s">
        <v>196</v>
      </c>
      <c r="O1902" s="4">
        <v>7</v>
      </c>
      <c r="P1902" s="4">
        <v>8</v>
      </c>
      <c r="Q1902" t="s">
        <v>83</v>
      </c>
      <c r="R1902" s="2">
        <v>46170</v>
      </c>
      <c r="S1902" s="4">
        <v>33</v>
      </c>
      <c r="T1902" s="3">
        <v>169000000</v>
      </c>
      <c r="U1902" t="s">
        <v>196</v>
      </c>
      <c r="V1902" t="s">
        <v>70</v>
      </c>
      <c r="W1902" t="s">
        <v>209</v>
      </c>
      <c r="Y1902" t="s">
        <v>369</v>
      </c>
      <c r="Z1902" t="s">
        <v>3181</v>
      </c>
      <c r="AA1902" t="s">
        <v>86</v>
      </c>
      <c r="AB1902" t="s">
        <v>199</v>
      </c>
      <c r="AC1902" t="s">
        <v>86</v>
      </c>
    </row>
    <row r="1903" spans="1:29">
      <c r="A1903" t="s">
        <v>2320</v>
      </c>
      <c r="B1903" s="2">
        <v>46194</v>
      </c>
      <c r="C1903" t="s">
        <v>30</v>
      </c>
      <c r="D1903" t="s">
        <v>74</v>
      </c>
      <c r="E1903" t="s">
        <v>32</v>
      </c>
      <c r="F1903" t="s">
        <v>33</v>
      </c>
      <c r="G1903" t="s">
        <v>361</v>
      </c>
      <c r="H1903" t="s">
        <v>258</v>
      </c>
      <c r="I1903" t="s">
        <v>1008</v>
      </c>
      <c r="J1903" t="s">
        <v>3170</v>
      </c>
      <c r="K1903" t="s">
        <v>105</v>
      </c>
      <c r="L1903" t="s">
        <v>169</v>
      </c>
      <c r="M1903" t="s">
        <v>39</v>
      </c>
      <c r="N1903" t="s">
        <v>82</v>
      </c>
      <c r="O1903" s="4">
        <v>1</v>
      </c>
      <c r="P1903" s="4">
        <v>4</v>
      </c>
      <c r="Q1903" t="s">
        <v>83</v>
      </c>
      <c r="R1903" s="2">
        <v>46194</v>
      </c>
      <c r="S1903" s="4">
        <v>9</v>
      </c>
      <c r="T1903" s="3">
        <v>251000000</v>
      </c>
      <c r="U1903" t="s">
        <v>260</v>
      </c>
      <c r="V1903" t="s">
        <v>43</v>
      </c>
      <c r="W1903" t="s">
        <v>290</v>
      </c>
      <c r="X1903" t="s">
        <v>422</v>
      </c>
      <c r="Y1903" t="s">
        <v>291</v>
      </c>
      <c r="Z1903" t="s">
        <v>3176</v>
      </c>
      <c r="AA1903" t="s">
        <v>46</v>
      </c>
      <c r="AB1903" t="s">
        <v>47</v>
      </c>
      <c r="AC1903" t="s">
        <v>46</v>
      </c>
    </row>
    <row r="1904" spans="1:29">
      <c r="A1904" t="s">
        <v>2321</v>
      </c>
      <c r="B1904" s="2">
        <v>46203</v>
      </c>
      <c r="C1904" t="s">
        <v>30</v>
      </c>
      <c r="D1904" t="s">
        <v>31</v>
      </c>
      <c r="E1904" t="s">
        <v>111</v>
      </c>
      <c r="F1904" t="s">
        <v>264</v>
      </c>
      <c r="G1904" t="s">
        <v>113</v>
      </c>
      <c r="H1904" t="s">
        <v>191</v>
      </c>
      <c r="I1904" t="s">
        <v>192</v>
      </c>
      <c r="J1904" t="s">
        <v>3025</v>
      </c>
      <c r="K1904" t="s">
        <v>37</v>
      </c>
      <c r="L1904" t="s">
        <v>169</v>
      </c>
      <c r="M1904" t="s">
        <v>129</v>
      </c>
      <c r="N1904" t="s">
        <v>40</v>
      </c>
      <c r="O1904" s="4">
        <v>2</v>
      </c>
      <c r="P1904" s="4">
        <v>10</v>
      </c>
      <c r="Q1904" t="s">
        <v>142</v>
      </c>
      <c r="R1904" s="2">
        <v>46194</v>
      </c>
      <c r="S1904" s="4">
        <v>9</v>
      </c>
      <c r="T1904" s="3">
        <v>77000000</v>
      </c>
      <c r="U1904" t="s">
        <v>42</v>
      </c>
      <c r="V1904" t="s">
        <v>43</v>
      </c>
      <c r="W1904" t="s">
        <v>298</v>
      </c>
      <c r="Y1904" t="s">
        <v>281</v>
      </c>
      <c r="Z1904" t="s">
        <v>3178</v>
      </c>
      <c r="AA1904" t="s">
        <v>118</v>
      </c>
      <c r="AB1904" t="s">
        <v>87</v>
      </c>
      <c r="AC1904" t="s">
        <v>118</v>
      </c>
    </row>
    <row r="1905" spans="1:29">
      <c r="A1905" t="s">
        <v>2322</v>
      </c>
      <c r="B1905" s="2">
        <v>46180</v>
      </c>
      <c r="C1905" t="s">
        <v>30</v>
      </c>
      <c r="D1905" t="s">
        <v>134</v>
      </c>
      <c r="E1905" t="s">
        <v>120</v>
      </c>
      <c r="F1905" t="s">
        <v>121</v>
      </c>
      <c r="G1905" t="s">
        <v>135</v>
      </c>
      <c r="H1905" t="s">
        <v>123</v>
      </c>
      <c r="I1905" t="s">
        <v>838</v>
      </c>
      <c r="J1905" t="s">
        <v>3160</v>
      </c>
      <c r="K1905" t="s">
        <v>56</v>
      </c>
      <c r="L1905" t="s">
        <v>150</v>
      </c>
      <c r="M1905" t="s">
        <v>93</v>
      </c>
      <c r="N1905" t="s">
        <v>94</v>
      </c>
      <c r="O1905" s="4">
        <v>4</v>
      </c>
      <c r="P1905" s="4">
        <v>9</v>
      </c>
      <c r="Q1905" t="s">
        <v>41</v>
      </c>
      <c r="R1905" s="2">
        <v>46179</v>
      </c>
      <c r="S1905" s="4">
        <v>24</v>
      </c>
      <c r="T1905" s="3">
        <v>105000000</v>
      </c>
      <c r="U1905" t="s">
        <v>42</v>
      </c>
      <c r="V1905" t="s">
        <v>59</v>
      </c>
      <c r="W1905" t="s">
        <v>170</v>
      </c>
      <c r="Y1905" t="s">
        <v>96</v>
      </c>
      <c r="Z1905" t="s">
        <v>3179</v>
      </c>
      <c r="AA1905" t="s">
        <v>97</v>
      </c>
      <c r="AB1905" t="s">
        <v>97</v>
      </c>
      <c r="AC1905" t="s">
        <v>97</v>
      </c>
    </row>
    <row r="1906" spans="1:29">
      <c r="A1906" t="s">
        <v>2323</v>
      </c>
      <c r="B1906" s="2">
        <v>46190</v>
      </c>
      <c r="C1906" t="s">
        <v>30</v>
      </c>
      <c r="D1906" t="s">
        <v>74</v>
      </c>
      <c r="E1906" t="s">
        <v>152</v>
      </c>
      <c r="F1906" t="s">
        <v>221</v>
      </c>
      <c r="G1906" t="s">
        <v>286</v>
      </c>
      <c r="H1906" t="s">
        <v>207</v>
      </c>
      <c r="I1906" t="s">
        <v>547</v>
      </c>
      <c r="J1906" t="s">
        <v>3116</v>
      </c>
      <c r="K1906" t="s">
        <v>105</v>
      </c>
      <c r="L1906" t="s">
        <v>187</v>
      </c>
      <c r="M1906" t="s">
        <v>93</v>
      </c>
      <c r="N1906" t="s">
        <v>57</v>
      </c>
      <c r="O1906" s="4">
        <v>3</v>
      </c>
      <c r="P1906" s="4">
        <v>8</v>
      </c>
      <c r="Q1906" t="s">
        <v>58</v>
      </c>
      <c r="R1906" s="2">
        <v>46182</v>
      </c>
      <c r="S1906" s="4">
        <v>21</v>
      </c>
      <c r="T1906" s="3">
        <v>175000000</v>
      </c>
      <c r="U1906" t="s">
        <v>42</v>
      </c>
      <c r="V1906" t="s">
        <v>59</v>
      </c>
      <c r="W1906" t="s">
        <v>71</v>
      </c>
      <c r="Y1906" t="s">
        <v>165</v>
      </c>
      <c r="Z1906" t="s">
        <v>3177</v>
      </c>
      <c r="AA1906" t="s">
        <v>159</v>
      </c>
      <c r="AB1906" t="s">
        <v>63</v>
      </c>
      <c r="AC1906" t="s">
        <v>159</v>
      </c>
    </row>
    <row r="1907" spans="1:29">
      <c r="A1907" t="s">
        <v>2324</v>
      </c>
      <c r="B1907" s="2">
        <v>46189</v>
      </c>
      <c r="C1907" t="s">
        <v>30</v>
      </c>
      <c r="D1907" t="s">
        <v>74</v>
      </c>
      <c r="E1907" t="s">
        <v>100</v>
      </c>
      <c r="F1907" t="s">
        <v>146</v>
      </c>
      <c r="G1907" t="s">
        <v>147</v>
      </c>
      <c r="H1907" t="s">
        <v>201</v>
      </c>
      <c r="I1907" t="s">
        <v>238</v>
      </c>
      <c r="J1907" t="s">
        <v>3033</v>
      </c>
      <c r="K1907" t="s">
        <v>56</v>
      </c>
      <c r="L1907" t="s">
        <v>187</v>
      </c>
      <c r="M1907" t="s">
        <v>164</v>
      </c>
      <c r="N1907" t="s">
        <v>40</v>
      </c>
      <c r="O1907" s="4">
        <v>2</v>
      </c>
      <c r="P1907" s="4">
        <v>15</v>
      </c>
      <c r="Q1907" t="s">
        <v>69</v>
      </c>
      <c r="R1907" s="2">
        <v>46184</v>
      </c>
      <c r="S1907" s="4">
        <v>19</v>
      </c>
      <c r="T1907" s="3">
        <v>91000000</v>
      </c>
      <c r="U1907" t="s">
        <v>42</v>
      </c>
      <c r="V1907" t="s">
        <v>59</v>
      </c>
      <c r="W1907" t="s">
        <v>178</v>
      </c>
      <c r="Y1907" t="s">
        <v>281</v>
      </c>
      <c r="Z1907" t="s">
        <v>3180</v>
      </c>
      <c r="AA1907" t="s">
        <v>109</v>
      </c>
      <c r="AB1907" t="s">
        <v>193</v>
      </c>
      <c r="AC1907" t="s">
        <v>109</v>
      </c>
    </row>
    <row r="1908" spans="1:29">
      <c r="A1908" t="s">
        <v>2325</v>
      </c>
      <c r="B1908" s="2">
        <v>46179</v>
      </c>
      <c r="C1908" t="s">
        <v>30</v>
      </c>
      <c r="D1908" t="s">
        <v>134</v>
      </c>
      <c r="E1908" t="s">
        <v>100</v>
      </c>
      <c r="F1908" t="s">
        <v>140</v>
      </c>
      <c r="G1908" t="s">
        <v>313</v>
      </c>
      <c r="H1908" t="s">
        <v>148</v>
      </c>
      <c r="I1908" t="s">
        <v>800</v>
      </c>
      <c r="J1908" t="s">
        <v>3156</v>
      </c>
      <c r="K1908" t="s">
        <v>92</v>
      </c>
      <c r="L1908" t="s">
        <v>55</v>
      </c>
      <c r="M1908" t="s">
        <v>56</v>
      </c>
      <c r="N1908" t="s">
        <v>130</v>
      </c>
      <c r="O1908" s="4">
        <v>5</v>
      </c>
      <c r="P1908" s="4">
        <v>17</v>
      </c>
      <c r="Q1908" t="s">
        <v>58</v>
      </c>
      <c r="R1908" s="2">
        <v>46175</v>
      </c>
      <c r="S1908" s="4">
        <v>28</v>
      </c>
      <c r="T1908" s="3">
        <v>234000000</v>
      </c>
      <c r="U1908" t="s">
        <v>42</v>
      </c>
      <c r="V1908" t="s">
        <v>70</v>
      </c>
      <c r="W1908" t="s">
        <v>131</v>
      </c>
      <c r="Y1908" t="s">
        <v>262</v>
      </c>
      <c r="Z1908" t="s">
        <v>3179</v>
      </c>
      <c r="AA1908" t="s">
        <v>109</v>
      </c>
      <c r="AB1908" t="s">
        <v>97</v>
      </c>
      <c r="AC1908" t="s">
        <v>109</v>
      </c>
    </row>
    <row r="1909" spans="1:29">
      <c r="A1909" t="s">
        <v>2326</v>
      </c>
      <c r="B1909" s="2">
        <v>46199</v>
      </c>
      <c r="C1909" t="s">
        <v>30</v>
      </c>
      <c r="D1909" t="s">
        <v>49</v>
      </c>
      <c r="E1909" t="s">
        <v>75</v>
      </c>
      <c r="F1909" t="s">
        <v>183</v>
      </c>
      <c r="G1909" t="s">
        <v>77</v>
      </c>
      <c r="H1909" t="s">
        <v>388</v>
      </c>
      <c r="I1909" t="s">
        <v>389</v>
      </c>
      <c r="J1909" t="s">
        <v>3071</v>
      </c>
      <c r="K1909" t="s">
        <v>105</v>
      </c>
      <c r="L1909" t="s">
        <v>150</v>
      </c>
      <c r="M1909" t="s">
        <v>129</v>
      </c>
      <c r="N1909" t="s">
        <v>57</v>
      </c>
      <c r="O1909" s="4">
        <v>3</v>
      </c>
      <c r="P1909" s="4">
        <v>5</v>
      </c>
      <c r="Q1909" t="s">
        <v>142</v>
      </c>
      <c r="R1909" s="2">
        <v>46196</v>
      </c>
      <c r="S1909" s="4">
        <v>7</v>
      </c>
      <c r="T1909" s="3">
        <v>88000000</v>
      </c>
      <c r="U1909" t="s">
        <v>42</v>
      </c>
      <c r="V1909" t="s">
        <v>43</v>
      </c>
      <c r="W1909" t="s">
        <v>60</v>
      </c>
      <c r="Y1909" t="s">
        <v>72</v>
      </c>
      <c r="Z1909" t="s">
        <v>3177</v>
      </c>
      <c r="AA1909" t="s">
        <v>86</v>
      </c>
      <c r="AB1909" t="s">
        <v>63</v>
      </c>
      <c r="AC1909" t="s">
        <v>86</v>
      </c>
    </row>
    <row r="1910" spans="1:29">
      <c r="A1910" t="s">
        <v>2327</v>
      </c>
      <c r="B1910" s="2">
        <v>46198</v>
      </c>
      <c r="C1910" t="s">
        <v>30</v>
      </c>
      <c r="D1910" t="s">
        <v>49</v>
      </c>
      <c r="E1910" t="s">
        <v>32</v>
      </c>
      <c r="F1910" t="s">
        <v>273</v>
      </c>
      <c r="G1910" t="s">
        <v>34</v>
      </c>
      <c r="H1910" t="s">
        <v>258</v>
      </c>
      <c r="I1910" t="s">
        <v>651</v>
      </c>
      <c r="J1910" t="s">
        <v>3141</v>
      </c>
      <c r="K1910" t="s">
        <v>37</v>
      </c>
      <c r="L1910" t="s">
        <v>55</v>
      </c>
      <c r="M1910" t="s">
        <v>106</v>
      </c>
      <c r="N1910" t="s">
        <v>82</v>
      </c>
      <c r="O1910" s="4">
        <v>1</v>
      </c>
      <c r="P1910" s="4">
        <v>5</v>
      </c>
      <c r="Q1910" t="s">
        <v>69</v>
      </c>
      <c r="R1910" s="2">
        <v>46195</v>
      </c>
      <c r="S1910" s="4">
        <v>8</v>
      </c>
      <c r="T1910" s="3">
        <v>102000000</v>
      </c>
      <c r="U1910" t="s">
        <v>42</v>
      </c>
      <c r="V1910" t="s">
        <v>43</v>
      </c>
      <c r="W1910" t="s">
        <v>290</v>
      </c>
      <c r="Y1910" t="s">
        <v>85</v>
      </c>
      <c r="Z1910" t="s">
        <v>3178</v>
      </c>
      <c r="AA1910" t="s">
        <v>46</v>
      </c>
      <c r="AB1910" t="s">
        <v>87</v>
      </c>
      <c r="AC1910" t="s">
        <v>46</v>
      </c>
    </row>
    <row r="1911" spans="1:29">
      <c r="A1911" t="s">
        <v>2328</v>
      </c>
      <c r="B1911" s="2">
        <v>46190</v>
      </c>
      <c r="C1911" t="s">
        <v>30</v>
      </c>
      <c r="D1911" t="s">
        <v>74</v>
      </c>
      <c r="E1911" t="s">
        <v>120</v>
      </c>
      <c r="F1911" t="s">
        <v>167</v>
      </c>
      <c r="G1911" t="s">
        <v>122</v>
      </c>
      <c r="H1911" t="s">
        <v>300</v>
      </c>
      <c r="I1911" t="s">
        <v>430</v>
      </c>
      <c r="J1911" t="s">
        <v>3082</v>
      </c>
      <c r="K1911" t="s">
        <v>92</v>
      </c>
      <c r="L1911" t="s">
        <v>68</v>
      </c>
      <c r="M1911" t="s">
        <v>164</v>
      </c>
      <c r="N1911" t="s">
        <v>94</v>
      </c>
      <c r="O1911" s="4">
        <v>4</v>
      </c>
      <c r="P1911" s="4">
        <v>9</v>
      </c>
      <c r="Q1911" t="s">
        <v>107</v>
      </c>
      <c r="R1911" s="2">
        <v>46189</v>
      </c>
      <c r="S1911" s="4">
        <v>14</v>
      </c>
      <c r="T1911" s="3">
        <v>66000000</v>
      </c>
      <c r="U1911" t="s">
        <v>42</v>
      </c>
      <c r="V1911" t="s">
        <v>59</v>
      </c>
      <c r="W1911" t="s">
        <v>188</v>
      </c>
      <c r="Y1911" t="s">
        <v>228</v>
      </c>
      <c r="Z1911" t="s">
        <v>3179</v>
      </c>
      <c r="AA1911" t="s">
        <v>97</v>
      </c>
      <c r="AB1911" t="s">
        <v>97</v>
      </c>
      <c r="AC1911" t="s">
        <v>97</v>
      </c>
    </row>
    <row r="1912" spans="1:29">
      <c r="A1912" t="s">
        <v>2329</v>
      </c>
      <c r="B1912" s="2">
        <v>46178</v>
      </c>
      <c r="C1912" t="s">
        <v>30</v>
      </c>
      <c r="D1912" t="s">
        <v>134</v>
      </c>
      <c r="E1912" t="s">
        <v>120</v>
      </c>
      <c r="F1912" t="s">
        <v>121</v>
      </c>
      <c r="G1912" t="s">
        <v>224</v>
      </c>
      <c r="H1912" t="s">
        <v>136</v>
      </c>
      <c r="I1912" t="s">
        <v>137</v>
      </c>
      <c r="J1912" t="s">
        <v>3017</v>
      </c>
      <c r="K1912" t="s">
        <v>56</v>
      </c>
      <c r="L1912" t="s">
        <v>187</v>
      </c>
      <c r="M1912" t="s">
        <v>81</v>
      </c>
      <c r="N1912" t="s">
        <v>130</v>
      </c>
      <c r="O1912" s="4">
        <v>5</v>
      </c>
      <c r="P1912" s="4">
        <v>6</v>
      </c>
      <c r="Q1912" t="s">
        <v>41</v>
      </c>
      <c r="R1912" s="2">
        <v>46174</v>
      </c>
      <c r="S1912" s="4">
        <v>29</v>
      </c>
      <c r="T1912" s="3">
        <v>470000000</v>
      </c>
      <c r="U1912" t="s">
        <v>42</v>
      </c>
      <c r="V1912" t="s">
        <v>59</v>
      </c>
      <c r="W1912" t="s">
        <v>252</v>
      </c>
      <c r="Y1912" t="s">
        <v>262</v>
      </c>
      <c r="Z1912" t="s">
        <v>3179</v>
      </c>
      <c r="AA1912" t="s">
        <v>97</v>
      </c>
      <c r="AB1912" t="s">
        <v>97</v>
      </c>
      <c r="AC1912" t="s">
        <v>97</v>
      </c>
    </row>
    <row r="1913" spans="1:29">
      <c r="A1913" t="s">
        <v>2330</v>
      </c>
      <c r="B1913" s="2">
        <v>46179</v>
      </c>
      <c r="C1913" t="s">
        <v>30</v>
      </c>
      <c r="D1913" t="s">
        <v>134</v>
      </c>
      <c r="E1913" t="s">
        <v>100</v>
      </c>
      <c r="F1913" t="s">
        <v>140</v>
      </c>
      <c r="G1913" t="s">
        <v>102</v>
      </c>
      <c r="H1913" t="s">
        <v>103</v>
      </c>
      <c r="I1913" t="s">
        <v>141</v>
      </c>
      <c r="J1913" t="s">
        <v>3018</v>
      </c>
      <c r="K1913" t="s">
        <v>105</v>
      </c>
      <c r="L1913" t="s">
        <v>169</v>
      </c>
      <c r="M1913" t="s">
        <v>39</v>
      </c>
      <c r="N1913" t="s">
        <v>130</v>
      </c>
      <c r="O1913" s="4">
        <v>5</v>
      </c>
      <c r="P1913" s="4">
        <v>15</v>
      </c>
      <c r="Q1913" t="s">
        <v>41</v>
      </c>
      <c r="R1913" s="2">
        <v>46177</v>
      </c>
      <c r="S1913" s="4">
        <v>26</v>
      </c>
      <c r="T1913" s="3">
        <v>332000000</v>
      </c>
      <c r="U1913" t="s">
        <v>42</v>
      </c>
      <c r="V1913" t="s">
        <v>70</v>
      </c>
      <c r="W1913" t="s">
        <v>144</v>
      </c>
      <c r="Y1913" t="s">
        <v>254</v>
      </c>
      <c r="Z1913" t="s">
        <v>3179</v>
      </c>
      <c r="AA1913" t="s">
        <v>109</v>
      </c>
      <c r="AB1913" t="s">
        <v>97</v>
      </c>
      <c r="AC1913" t="s">
        <v>109</v>
      </c>
    </row>
    <row r="1914" spans="1:29">
      <c r="A1914" t="s">
        <v>2331</v>
      </c>
      <c r="B1914" s="2">
        <v>46200</v>
      </c>
      <c r="C1914" t="s">
        <v>30</v>
      </c>
      <c r="D1914" t="s">
        <v>49</v>
      </c>
      <c r="E1914" t="s">
        <v>120</v>
      </c>
      <c r="F1914" t="s">
        <v>167</v>
      </c>
      <c r="G1914" t="s">
        <v>420</v>
      </c>
      <c r="H1914" t="s">
        <v>136</v>
      </c>
      <c r="I1914" t="s">
        <v>658</v>
      </c>
      <c r="J1914" t="s">
        <v>3143</v>
      </c>
      <c r="K1914" t="s">
        <v>116</v>
      </c>
      <c r="L1914" t="s">
        <v>187</v>
      </c>
      <c r="M1914" t="s">
        <v>56</v>
      </c>
      <c r="N1914" t="s">
        <v>40</v>
      </c>
      <c r="O1914" s="4">
        <v>2</v>
      </c>
      <c r="P1914" s="4">
        <v>6</v>
      </c>
      <c r="Q1914" t="s">
        <v>58</v>
      </c>
      <c r="R1914" s="2">
        <v>46198</v>
      </c>
      <c r="S1914" s="4">
        <v>5</v>
      </c>
      <c r="T1914" s="3">
        <v>165000000</v>
      </c>
      <c r="U1914" t="s">
        <v>42</v>
      </c>
      <c r="V1914" t="s">
        <v>43</v>
      </c>
      <c r="W1914" t="s">
        <v>44</v>
      </c>
      <c r="Y1914" t="s">
        <v>45</v>
      </c>
      <c r="Z1914" t="s">
        <v>3178</v>
      </c>
      <c r="AA1914" t="s">
        <v>97</v>
      </c>
      <c r="AB1914" t="s">
        <v>87</v>
      </c>
      <c r="AC1914" t="s">
        <v>97</v>
      </c>
    </row>
    <row r="1915" spans="1:29">
      <c r="A1915" t="s">
        <v>2332</v>
      </c>
      <c r="B1915" s="2">
        <v>46177</v>
      </c>
      <c r="C1915" t="s">
        <v>30</v>
      </c>
      <c r="D1915" t="s">
        <v>134</v>
      </c>
      <c r="E1915" t="s">
        <v>75</v>
      </c>
      <c r="F1915" t="s">
        <v>76</v>
      </c>
      <c r="G1915" t="s">
        <v>184</v>
      </c>
      <c r="H1915" t="s">
        <v>388</v>
      </c>
      <c r="I1915" t="s">
        <v>389</v>
      </c>
      <c r="J1915" t="s">
        <v>3071</v>
      </c>
      <c r="K1915" t="s">
        <v>105</v>
      </c>
      <c r="L1915" t="s">
        <v>68</v>
      </c>
      <c r="M1915" t="s">
        <v>56</v>
      </c>
      <c r="N1915" t="s">
        <v>57</v>
      </c>
      <c r="O1915" s="4">
        <v>3</v>
      </c>
      <c r="P1915" s="4">
        <v>9</v>
      </c>
      <c r="Q1915" t="s">
        <v>69</v>
      </c>
      <c r="R1915" s="2">
        <v>46176</v>
      </c>
      <c r="S1915" s="4">
        <v>27</v>
      </c>
      <c r="T1915" s="3">
        <v>244000000</v>
      </c>
      <c r="U1915" t="s">
        <v>42</v>
      </c>
      <c r="V1915" t="s">
        <v>59</v>
      </c>
      <c r="W1915" t="s">
        <v>71</v>
      </c>
      <c r="Y1915" t="s">
        <v>158</v>
      </c>
      <c r="Z1915" t="s">
        <v>3177</v>
      </c>
      <c r="AA1915" t="s">
        <v>86</v>
      </c>
      <c r="AB1915" t="s">
        <v>63</v>
      </c>
      <c r="AC1915" t="s">
        <v>86</v>
      </c>
    </row>
    <row r="1916" spans="1:29">
      <c r="A1916" t="s">
        <v>2333</v>
      </c>
      <c r="B1916" s="2">
        <v>46189</v>
      </c>
      <c r="C1916" t="s">
        <v>30</v>
      </c>
      <c r="D1916" t="s">
        <v>74</v>
      </c>
      <c r="E1916" t="s">
        <v>111</v>
      </c>
      <c r="F1916" t="s">
        <v>190</v>
      </c>
      <c r="G1916" t="s">
        <v>126</v>
      </c>
      <c r="H1916" t="s">
        <v>114</v>
      </c>
      <c r="I1916" t="s">
        <v>645</v>
      </c>
      <c r="J1916" t="s">
        <v>3139</v>
      </c>
      <c r="K1916" t="s">
        <v>37</v>
      </c>
      <c r="L1916" t="s">
        <v>169</v>
      </c>
      <c r="M1916" t="s">
        <v>164</v>
      </c>
      <c r="N1916" t="s">
        <v>94</v>
      </c>
      <c r="O1916" s="4">
        <v>4</v>
      </c>
      <c r="P1916" s="4">
        <v>6</v>
      </c>
      <c r="Q1916" t="s">
        <v>69</v>
      </c>
      <c r="R1916" s="2">
        <v>46186</v>
      </c>
      <c r="S1916" s="4">
        <v>17</v>
      </c>
      <c r="T1916" s="3">
        <v>113000000</v>
      </c>
      <c r="U1916" t="s">
        <v>42</v>
      </c>
      <c r="V1916" t="s">
        <v>59</v>
      </c>
      <c r="W1916" t="s">
        <v>170</v>
      </c>
      <c r="Y1916" t="s">
        <v>108</v>
      </c>
      <c r="Z1916" t="s">
        <v>3179</v>
      </c>
      <c r="AA1916" t="s">
        <v>118</v>
      </c>
      <c r="AB1916" t="s">
        <v>97</v>
      </c>
      <c r="AC1916" t="s">
        <v>118</v>
      </c>
    </row>
    <row r="1917" spans="1:29">
      <c r="A1917" t="s">
        <v>2334</v>
      </c>
      <c r="B1917" s="2">
        <v>46185</v>
      </c>
      <c r="C1917" t="s">
        <v>30</v>
      </c>
      <c r="D1917" t="s">
        <v>99</v>
      </c>
      <c r="E1917" t="s">
        <v>32</v>
      </c>
      <c r="F1917" t="s">
        <v>33</v>
      </c>
      <c r="G1917" t="s">
        <v>257</v>
      </c>
      <c r="H1917" t="s">
        <v>258</v>
      </c>
      <c r="I1917" t="s">
        <v>1756</v>
      </c>
      <c r="J1917" t="s">
        <v>3175</v>
      </c>
      <c r="K1917" t="s">
        <v>92</v>
      </c>
      <c r="L1917" t="s">
        <v>55</v>
      </c>
      <c r="M1917" t="s">
        <v>106</v>
      </c>
      <c r="N1917" t="s">
        <v>40</v>
      </c>
      <c r="O1917" s="4">
        <v>2</v>
      </c>
      <c r="P1917" s="4">
        <v>1</v>
      </c>
      <c r="Q1917" t="s">
        <v>107</v>
      </c>
      <c r="R1917" s="2">
        <v>46185</v>
      </c>
      <c r="S1917" s="4">
        <v>18</v>
      </c>
      <c r="T1917" s="3">
        <v>112000000</v>
      </c>
      <c r="U1917" t="s">
        <v>42</v>
      </c>
      <c r="V1917" t="s">
        <v>43</v>
      </c>
      <c r="W1917" t="s">
        <v>239</v>
      </c>
      <c r="Y1917" t="s">
        <v>281</v>
      </c>
      <c r="Z1917" t="s">
        <v>3176</v>
      </c>
      <c r="AA1917" t="s">
        <v>46</v>
      </c>
      <c r="AB1917" t="s">
        <v>47</v>
      </c>
      <c r="AC1917" t="s">
        <v>46</v>
      </c>
    </row>
    <row r="1918" spans="1:29">
      <c r="A1918" t="s">
        <v>2335</v>
      </c>
      <c r="B1918" s="2">
        <v>46192</v>
      </c>
      <c r="C1918" t="s">
        <v>30</v>
      </c>
      <c r="D1918" t="s">
        <v>74</v>
      </c>
      <c r="E1918" t="s">
        <v>172</v>
      </c>
      <c r="F1918" t="s">
        <v>173</v>
      </c>
      <c r="G1918" t="s">
        <v>289</v>
      </c>
      <c r="H1918" t="s">
        <v>317</v>
      </c>
      <c r="I1918" t="s">
        <v>318</v>
      </c>
      <c r="J1918" t="s">
        <v>3050</v>
      </c>
      <c r="K1918" t="s">
        <v>105</v>
      </c>
      <c r="L1918" t="s">
        <v>38</v>
      </c>
      <c r="M1918" t="s">
        <v>164</v>
      </c>
      <c r="N1918" t="s">
        <v>57</v>
      </c>
      <c r="O1918" s="4">
        <v>3</v>
      </c>
      <c r="P1918" s="4">
        <v>16</v>
      </c>
      <c r="Q1918" t="s">
        <v>69</v>
      </c>
      <c r="R1918" s="2">
        <v>46189</v>
      </c>
      <c r="S1918" s="4">
        <v>14</v>
      </c>
      <c r="T1918" s="3">
        <v>141000000</v>
      </c>
      <c r="U1918" t="s">
        <v>42</v>
      </c>
      <c r="V1918" t="s">
        <v>59</v>
      </c>
      <c r="W1918" t="s">
        <v>71</v>
      </c>
      <c r="Y1918" t="s">
        <v>165</v>
      </c>
      <c r="Z1918" t="s">
        <v>3180</v>
      </c>
      <c r="AA1918" t="s">
        <v>181</v>
      </c>
      <c r="AB1918" t="s">
        <v>193</v>
      </c>
      <c r="AC1918" t="s">
        <v>181</v>
      </c>
    </row>
    <row r="1919" spans="1:29">
      <c r="A1919" t="s">
        <v>2336</v>
      </c>
      <c r="B1919" s="2">
        <v>46185</v>
      </c>
      <c r="C1919" t="s">
        <v>30</v>
      </c>
      <c r="D1919" t="s">
        <v>99</v>
      </c>
      <c r="E1919" t="s">
        <v>172</v>
      </c>
      <c r="F1919" t="s">
        <v>195</v>
      </c>
      <c r="G1919" t="s">
        <v>278</v>
      </c>
      <c r="H1919" t="s">
        <v>241</v>
      </c>
      <c r="I1919" t="s">
        <v>632</v>
      </c>
      <c r="J1919" t="s">
        <v>3136</v>
      </c>
      <c r="K1919" t="s">
        <v>116</v>
      </c>
      <c r="L1919" t="s">
        <v>80</v>
      </c>
      <c r="M1919" t="s">
        <v>129</v>
      </c>
      <c r="N1919" t="s">
        <v>196</v>
      </c>
      <c r="O1919" s="4">
        <v>7</v>
      </c>
      <c r="P1919" s="4">
        <v>8</v>
      </c>
      <c r="Q1919" t="s">
        <v>69</v>
      </c>
      <c r="R1919" s="2">
        <v>46185</v>
      </c>
      <c r="S1919" s="4">
        <v>18</v>
      </c>
      <c r="T1919" s="3">
        <v>96000000</v>
      </c>
      <c r="U1919" t="s">
        <v>564</v>
      </c>
      <c r="V1919" t="s">
        <v>70</v>
      </c>
      <c r="W1919" t="s">
        <v>197</v>
      </c>
      <c r="Y1919" t="s">
        <v>210</v>
      </c>
      <c r="Z1919" t="s">
        <v>3181</v>
      </c>
      <c r="AA1919" t="s">
        <v>181</v>
      </c>
      <c r="AB1919" t="s">
        <v>199</v>
      </c>
      <c r="AC1919" t="s">
        <v>181</v>
      </c>
    </row>
    <row r="1920" spans="1:29">
      <c r="A1920" t="s">
        <v>2337</v>
      </c>
      <c r="B1920" s="2">
        <v>46191</v>
      </c>
      <c r="C1920" t="s">
        <v>30</v>
      </c>
      <c r="D1920" t="s">
        <v>74</v>
      </c>
      <c r="E1920" t="s">
        <v>100</v>
      </c>
      <c r="F1920" t="s">
        <v>140</v>
      </c>
      <c r="G1920" t="s">
        <v>102</v>
      </c>
      <c r="H1920" t="s">
        <v>103</v>
      </c>
      <c r="I1920" t="s">
        <v>447</v>
      </c>
      <c r="J1920" t="s">
        <v>3088</v>
      </c>
      <c r="K1920" t="s">
        <v>92</v>
      </c>
      <c r="L1920" t="s">
        <v>80</v>
      </c>
      <c r="M1920" t="s">
        <v>106</v>
      </c>
      <c r="N1920" t="s">
        <v>213</v>
      </c>
      <c r="O1920" s="4">
        <v>6</v>
      </c>
      <c r="P1920" s="4">
        <v>17</v>
      </c>
      <c r="Q1920" t="s">
        <v>138</v>
      </c>
      <c r="R1920" s="2">
        <v>46183</v>
      </c>
      <c r="S1920" s="4">
        <v>20</v>
      </c>
      <c r="T1920" s="3">
        <v>72000000</v>
      </c>
      <c r="U1920" t="s">
        <v>214</v>
      </c>
      <c r="V1920" t="s">
        <v>143</v>
      </c>
      <c r="W1920" t="s">
        <v>215</v>
      </c>
      <c r="Y1920" t="s">
        <v>249</v>
      </c>
      <c r="Z1920" t="s">
        <v>3179</v>
      </c>
      <c r="AA1920" t="s">
        <v>109</v>
      </c>
      <c r="AB1920" t="s">
        <v>97</v>
      </c>
      <c r="AC1920" t="s">
        <v>109</v>
      </c>
    </row>
    <row r="1921" spans="1:29">
      <c r="A1921" t="s">
        <v>2338</v>
      </c>
      <c r="B1921" s="2">
        <v>46195</v>
      </c>
      <c r="C1921" t="s">
        <v>30</v>
      </c>
      <c r="D1921" t="s">
        <v>49</v>
      </c>
      <c r="E1921" t="s">
        <v>50</v>
      </c>
      <c r="F1921" t="s">
        <v>89</v>
      </c>
      <c r="G1921" t="s">
        <v>52</v>
      </c>
      <c r="H1921" t="s">
        <v>90</v>
      </c>
      <c r="I1921" t="s">
        <v>497</v>
      </c>
      <c r="J1921" t="s">
        <v>3105</v>
      </c>
      <c r="K1921" t="s">
        <v>92</v>
      </c>
      <c r="L1921" t="s">
        <v>187</v>
      </c>
      <c r="M1921" t="s">
        <v>164</v>
      </c>
      <c r="N1921" t="s">
        <v>130</v>
      </c>
      <c r="O1921" s="4">
        <v>5</v>
      </c>
      <c r="P1921" s="4">
        <v>13</v>
      </c>
      <c r="Q1921" t="s">
        <v>58</v>
      </c>
      <c r="R1921" s="2">
        <v>46186</v>
      </c>
      <c r="S1921" s="4">
        <v>17</v>
      </c>
      <c r="T1921" s="3">
        <v>141000000</v>
      </c>
      <c r="U1921" t="s">
        <v>42</v>
      </c>
      <c r="V1921" t="s">
        <v>143</v>
      </c>
      <c r="W1921" t="s">
        <v>131</v>
      </c>
      <c r="Y1921" t="s">
        <v>262</v>
      </c>
      <c r="Z1921" t="s">
        <v>3179</v>
      </c>
      <c r="AA1921" t="s">
        <v>62</v>
      </c>
      <c r="AB1921" t="s">
        <v>97</v>
      </c>
      <c r="AC1921" t="s">
        <v>62</v>
      </c>
    </row>
    <row r="1922" spans="1:29">
      <c r="A1922" t="s">
        <v>2339</v>
      </c>
      <c r="B1922" s="2">
        <v>46199</v>
      </c>
      <c r="C1922" t="s">
        <v>30</v>
      </c>
      <c r="D1922" t="s">
        <v>49</v>
      </c>
      <c r="E1922" t="s">
        <v>172</v>
      </c>
      <c r="F1922" t="s">
        <v>277</v>
      </c>
      <c r="G1922" t="s">
        <v>338</v>
      </c>
      <c r="H1922" t="s">
        <v>241</v>
      </c>
      <c r="I1922" t="s">
        <v>559</v>
      </c>
      <c r="J1922" t="s">
        <v>3119</v>
      </c>
      <c r="K1922" t="s">
        <v>105</v>
      </c>
      <c r="L1922" t="s">
        <v>80</v>
      </c>
      <c r="M1922" t="s">
        <v>39</v>
      </c>
      <c r="N1922" t="s">
        <v>196</v>
      </c>
      <c r="O1922" s="4">
        <v>7</v>
      </c>
      <c r="P1922" s="4">
        <v>13</v>
      </c>
      <c r="Q1922" t="s">
        <v>41</v>
      </c>
      <c r="R1922" s="2">
        <v>46195</v>
      </c>
      <c r="S1922" s="4">
        <v>8</v>
      </c>
      <c r="T1922" s="3">
        <v>223000000</v>
      </c>
      <c r="U1922" t="s">
        <v>196</v>
      </c>
      <c r="V1922" t="s">
        <v>70</v>
      </c>
      <c r="W1922" t="s">
        <v>209</v>
      </c>
      <c r="Y1922" t="s">
        <v>244</v>
      </c>
      <c r="Z1922" t="s">
        <v>3181</v>
      </c>
      <c r="AA1922" t="s">
        <v>181</v>
      </c>
      <c r="AB1922" t="s">
        <v>199</v>
      </c>
      <c r="AC1922" t="s">
        <v>181</v>
      </c>
    </row>
    <row r="1923" spans="1:29">
      <c r="A1923" t="s">
        <v>2340</v>
      </c>
      <c r="B1923" s="2">
        <v>46192</v>
      </c>
      <c r="C1923" t="s">
        <v>30</v>
      </c>
      <c r="D1923" t="s">
        <v>74</v>
      </c>
      <c r="E1923" t="s">
        <v>152</v>
      </c>
      <c r="F1923" t="s">
        <v>153</v>
      </c>
      <c r="G1923" t="s">
        <v>206</v>
      </c>
      <c r="H1923" t="s">
        <v>207</v>
      </c>
      <c r="I1923" t="s">
        <v>773</v>
      </c>
      <c r="J1923" t="s">
        <v>3153</v>
      </c>
      <c r="K1923" t="s">
        <v>56</v>
      </c>
      <c r="L1923" t="s">
        <v>187</v>
      </c>
      <c r="M1923" t="s">
        <v>56</v>
      </c>
      <c r="N1923" t="s">
        <v>130</v>
      </c>
      <c r="O1923" s="4">
        <v>5</v>
      </c>
      <c r="P1923" s="4">
        <v>11</v>
      </c>
      <c r="Q1923" t="s">
        <v>41</v>
      </c>
      <c r="R1923" s="2">
        <v>46182</v>
      </c>
      <c r="S1923" s="4">
        <v>21</v>
      </c>
      <c r="T1923" s="3">
        <v>243000000</v>
      </c>
      <c r="U1923" t="s">
        <v>42</v>
      </c>
      <c r="V1923" t="s">
        <v>143</v>
      </c>
      <c r="W1923" t="s">
        <v>252</v>
      </c>
      <c r="Y1923" t="s">
        <v>334</v>
      </c>
      <c r="Z1923" t="s">
        <v>3179</v>
      </c>
      <c r="AA1923" t="s">
        <v>159</v>
      </c>
      <c r="AB1923" t="s">
        <v>97</v>
      </c>
      <c r="AC1923" t="s">
        <v>159</v>
      </c>
    </row>
    <row r="1924" spans="1:29">
      <c r="A1924" t="s">
        <v>2341</v>
      </c>
      <c r="B1924" s="2">
        <v>46194</v>
      </c>
      <c r="C1924" t="s">
        <v>30</v>
      </c>
      <c r="D1924" t="s">
        <v>74</v>
      </c>
      <c r="E1924" t="s">
        <v>152</v>
      </c>
      <c r="F1924" t="s">
        <v>153</v>
      </c>
      <c r="G1924" t="s">
        <v>206</v>
      </c>
      <c r="H1924" t="s">
        <v>283</v>
      </c>
      <c r="I1924" t="s">
        <v>474</v>
      </c>
      <c r="J1924" t="s">
        <v>3098</v>
      </c>
      <c r="K1924" t="s">
        <v>37</v>
      </c>
      <c r="L1924" t="s">
        <v>80</v>
      </c>
      <c r="M1924" t="s">
        <v>106</v>
      </c>
      <c r="N1924" t="s">
        <v>94</v>
      </c>
      <c r="O1924" s="4">
        <v>4</v>
      </c>
      <c r="P1924" s="4">
        <v>23</v>
      </c>
      <c r="Q1924" t="s">
        <v>142</v>
      </c>
      <c r="R1924" s="2">
        <v>46191</v>
      </c>
      <c r="S1924" s="4">
        <v>12</v>
      </c>
      <c r="T1924" s="3">
        <v>237000000</v>
      </c>
      <c r="U1924" t="s">
        <v>42</v>
      </c>
      <c r="V1924" t="s">
        <v>59</v>
      </c>
      <c r="W1924" t="s">
        <v>188</v>
      </c>
      <c r="Y1924" t="s">
        <v>96</v>
      </c>
      <c r="Z1924" t="s">
        <v>3179</v>
      </c>
      <c r="AA1924" t="s">
        <v>159</v>
      </c>
      <c r="AB1924" t="s">
        <v>97</v>
      </c>
      <c r="AC1924" t="s">
        <v>159</v>
      </c>
    </row>
    <row r="1925" spans="1:29">
      <c r="A1925" t="s">
        <v>2342</v>
      </c>
      <c r="B1925" s="2">
        <v>46190</v>
      </c>
      <c r="C1925" t="s">
        <v>30</v>
      </c>
      <c r="D1925" t="s">
        <v>74</v>
      </c>
      <c r="E1925" t="s">
        <v>50</v>
      </c>
      <c r="F1925" t="s">
        <v>89</v>
      </c>
      <c r="G1925" t="s">
        <v>270</v>
      </c>
      <c r="H1925" t="s">
        <v>53</v>
      </c>
      <c r="I1925" t="s">
        <v>54</v>
      </c>
      <c r="J1925" t="s">
        <v>3009</v>
      </c>
      <c r="K1925" t="s">
        <v>105</v>
      </c>
      <c r="L1925" t="s">
        <v>187</v>
      </c>
      <c r="M1925" t="s">
        <v>81</v>
      </c>
      <c r="N1925" t="s">
        <v>196</v>
      </c>
      <c r="O1925" s="4">
        <v>7</v>
      </c>
      <c r="P1925" s="4">
        <v>9</v>
      </c>
      <c r="Q1925" t="s">
        <v>41</v>
      </c>
      <c r="R1925" s="2">
        <v>46184</v>
      </c>
      <c r="S1925" s="4">
        <v>19</v>
      </c>
      <c r="T1925" s="3">
        <v>114000000</v>
      </c>
      <c r="U1925" t="s">
        <v>564</v>
      </c>
      <c r="V1925" t="s">
        <v>70</v>
      </c>
      <c r="W1925" t="s">
        <v>675</v>
      </c>
      <c r="Y1925" t="s">
        <v>244</v>
      </c>
      <c r="Z1925" t="s">
        <v>3181</v>
      </c>
      <c r="AA1925" t="s">
        <v>62</v>
      </c>
      <c r="AB1925" t="s">
        <v>199</v>
      </c>
      <c r="AC1925" t="s">
        <v>62</v>
      </c>
    </row>
    <row r="1926" spans="1:29">
      <c r="A1926" t="s">
        <v>2343</v>
      </c>
      <c r="B1926" s="2">
        <v>46190</v>
      </c>
      <c r="C1926" t="s">
        <v>30</v>
      </c>
      <c r="D1926" t="s">
        <v>74</v>
      </c>
      <c r="E1926" t="s">
        <v>172</v>
      </c>
      <c r="F1926" t="s">
        <v>173</v>
      </c>
      <c r="G1926" t="s">
        <v>278</v>
      </c>
      <c r="H1926" t="s">
        <v>241</v>
      </c>
      <c r="I1926" t="s">
        <v>632</v>
      </c>
      <c r="J1926" t="s">
        <v>3136</v>
      </c>
      <c r="K1926" t="s">
        <v>116</v>
      </c>
      <c r="L1926" t="s">
        <v>55</v>
      </c>
      <c r="M1926" t="s">
        <v>81</v>
      </c>
      <c r="N1926" t="s">
        <v>40</v>
      </c>
      <c r="O1926" s="4">
        <v>2</v>
      </c>
      <c r="P1926" s="4">
        <v>8</v>
      </c>
      <c r="Q1926" t="s">
        <v>69</v>
      </c>
      <c r="R1926" s="2">
        <v>46190</v>
      </c>
      <c r="S1926" s="4">
        <v>13</v>
      </c>
      <c r="T1926" s="3">
        <v>170000000</v>
      </c>
      <c r="U1926" t="s">
        <v>42</v>
      </c>
      <c r="V1926" t="s">
        <v>43</v>
      </c>
      <c r="W1926" t="s">
        <v>44</v>
      </c>
      <c r="Y1926" t="s">
        <v>180</v>
      </c>
      <c r="Z1926" t="s">
        <v>3178</v>
      </c>
      <c r="AA1926" t="s">
        <v>181</v>
      </c>
      <c r="AB1926" t="s">
        <v>87</v>
      </c>
      <c r="AC1926" t="s">
        <v>181</v>
      </c>
    </row>
    <row r="1927" spans="1:29">
      <c r="A1927" t="s">
        <v>2344</v>
      </c>
      <c r="B1927" s="2">
        <v>46181</v>
      </c>
      <c r="C1927" t="s">
        <v>30</v>
      </c>
      <c r="D1927" t="s">
        <v>99</v>
      </c>
      <c r="E1927" t="s">
        <v>152</v>
      </c>
      <c r="F1927" t="s">
        <v>153</v>
      </c>
      <c r="G1927" t="s">
        <v>154</v>
      </c>
      <c r="H1927" t="s">
        <v>283</v>
      </c>
      <c r="I1927" t="s">
        <v>295</v>
      </c>
      <c r="J1927" t="s">
        <v>3043</v>
      </c>
      <c r="K1927" t="s">
        <v>92</v>
      </c>
      <c r="L1927" t="s">
        <v>38</v>
      </c>
      <c r="M1927" t="s">
        <v>129</v>
      </c>
      <c r="N1927" t="s">
        <v>130</v>
      </c>
      <c r="O1927" s="4">
        <v>5</v>
      </c>
      <c r="P1927" s="4">
        <v>17</v>
      </c>
      <c r="Q1927" t="s">
        <v>138</v>
      </c>
      <c r="R1927" s="2">
        <v>46180</v>
      </c>
      <c r="S1927" s="4">
        <v>23</v>
      </c>
      <c r="T1927" s="3">
        <v>193000000</v>
      </c>
      <c r="U1927" t="s">
        <v>42</v>
      </c>
      <c r="V1927" t="s">
        <v>143</v>
      </c>
      <c r="W1927" t="s">
        <v>355</v>
      </c>
      <c r="Y1927" t="s">
        <v>334</v>
      </c>
      <c r="Z1927" t="s">
        <v>3179</v>
      </c>
      <c r="AA1927" t="s">
        <v>159</v>
      </c>
      <c r="AB1927" t="s">
        <v>97</v>
      </c>
      <c r="AC1927" t="s">
        <v>159</v>
      </c>
    </row>
    <row r="1928" spans="1:29">
      <c r="A1928" t="s">
        <v>2345</v>
      </c>
      <c r="B1928" s="2">
        <v>46197</v>
      </c>
      <c r="C1928" t="s">
        <v>30</v>
      </c>
      <c r="D1928" t="s">
        <v>49</v>
      </c>
      <c r="E1928" t="s">
        <v>172</v>
      </c>
      <c r="F1928" t="s">
        <v>195</v>
      </c>
      <c r="G1928" t="s">
        <v>278</v>
      </c>
      <c r="H1928" t="s">
        <v>175</v>
      </c>
      <c r="I1928" t="s">
        <v>485</v>
      </c>
      <c r="J1928" t="s">
        <v>3101</v>
      </c>
      <c r="K1928" t="s">
        <v>105</v>
      </c>
      <c r="L1928" t="s">
        <v>80</v>
      </c>
      <c r="M1928" t="s">
        <v>56</v>
      </c>
      <c r="N1928" t="s">
        <v>82</v>
      </c>
      <c r="O1928" s="4">
        <v>1</v>
      </c>
      <c r="P1928" s="4">
        <v>7</v>
      </c>
      <c r="Q1928" t="s">
        <v>41</v>
      </c>
      <c r="R1928" s="2">
        <v>46190</v>
      </c>
      <c r="S1928" s="4">
        <v>13</v>
      </c>
      <c r="T1928" s="3">
        <v>99000000</v>
      </c>
      <c r="U1928" t="s">
        <v>42</v>
      </c>
      <c r="V1928" t="s">
        <v>43</v>
      </c>
      <c r="W1928" t="s">
        <v>404</v>
      </c>
      <c r="Y1928" t="s">
        <v>85</v>
      </c>
      <c r="Z1928" t="s">
        <v>3178</v>
      </c>
      <c r="AA1928" t="s">
        <v>181</v>
      </c>
      <c r="AB1928" t="s">
        <v>87</v>
      </c>
      <c r="AC1928" t="s">
        <v>181</v>
      </c>
    </row>
    <row r="1929" spans="1:29">
      <c r="A1929" t="s">
        <v>2346</v>
      </c>
      <c r="B1929" s="2">
        <v>46198</v>
      </c>
      <c r="C1929" t="s">
        <v>30</v>
      </c>
      <c r="D1929" t="s">
        <v>49</v>
      </c>
      <c r="E1929" t="s">
        <v>75</v>
      </c>
      <c r="F1929" t="s">
        <v>76</v>
      </c>
      <c r="G1929" t="s">
        <v>162</v>
      </c>
      <c r="H1929" t="s">
        <v>78</v>
      </c>
      <c r="I1929" t="s">
        <v>163</v>
      </c>
      <c r="J1929" t="s">
        <v>3021</v>
      </c>
      <c r="K1929" t="s">
        <v>56</v>
      </c>
      <c r="L1929" t="s">
        <v>55</v>
      </c>
      <c r="M1929" t="s">
        <v>39</v>
      </c>
      <c r="N1929" t="s">
        <v>94</v>
      </c>
      <c r="O1929" s="4">
        <v>4</v>
      </c>
      <c r="P1929" s="4">
        <v>9</v>
      </c>
      <c r="Q1929" t="s">
        <v>41</v>
      </c>
      <c r="R1929" s="2">
        <v>46198</v>
      </c>
      <c r="S1929" s="4">
        <v>5</v>
      </c>
      <c r="T1929" s="3">
        <v>227000000</v>
      </c>
      <c r="U1929" t="s">
        <v>260</v>
      </c>
      <c r="V1929" t="s">
        <v>59</v>
      </c>
      <c r="W1929" t="s">
        <v>170</v>
      </c>
      <c r="X1929" t="s">
        <v>381</v>
      </c>
      <c r="Y1929" t="s">
        <v>96</v>
      </c>
      <c r="Z1929" t="s">
        <v>3179</v>
      </c>
      <c r="AA1929" t="s">
        <v>86</v>
      </c>
      <c r="AB1929" t="s">
        <v>97</v>
      </c>
      <c r="AC1929" t="s">
        <v>86</v>
      </c>
    </row>
    <row r="1930" spans="1:29">
      <c r="A1930" t="s">
        <v>2347</v>
      </c>
      <c r="B1930" s="2">
        <v>46202</v>
      </c>
      <c r="C1930" t="s">
        <v>30</v>
      </c>
      <c r="D1930" t="s">
        <v>31</v>
      </c>
      <c r="E1930" t="s">
        <v>152</v>
      </c>
      <c r="F1930" t="s">
        <v>153</v>
      </c>
      <c r="G1930" t="s">
        <v>154</v>
      </c>
      <c r="H1930" t="s">
        <v>155</v>
      </c>
      <c r="I1930" t="s">
        <v>537</v>
      </c>
      <c r="J1930" t="s">
        <v>3113</v>
      </c>
      <c r="K1930" t="s">
        <v>37</v>
      </c>
      <c r="L1930" t="s">
        <v>38</v>
      </c>
      <c r="M1930" t="s">
        <v>56</v>
      </c>
      <c r="N1930" t="s">
        <v>130</v>
      </c>
      <c r="O1930" s="4">
        <v>5</v>
      </c>
      <c r="P1930" s="4">
        <v>14</v>
      </c>
      <c r="Q1930" t="s">
        <v>69</v>
      </c>
      <c r="R1930" s="2">
        <v>46193</v>
      </c>
      <c r="S1930" s="4">
        <v>10</v>
      </c>
      <c r="T1930" s="3">
        <v>133000000</v>
      </c>
      <c r="U1930" t="s">
        <v>42</v>
      </c>
      <c r="V1930" t="s">
        <v>70</v>
      </c>
      <c r="W1930" t="s">
        <v>131</v>
      </c>
      <c r="Y1930" t="s">
        <v>334</v>
      </c>
      <c r="Z1930" t="s">
        <v>3179</v>
      </c>
      <c r="AA1930" t="s">
        <v>159</v>
      </c>
      <c r="AB1930" t="s">
        <v>97</v>
      </c>
      <c r="AC1930" t="s">
        <v>159</v>
      </c>
    </row>
    <row r="1931" spans="1:29">
      <c r="A1931" t="s">
        <v>2348</v>
      </c>
      <c r="B1931" s="2">
        <v>46179</v>
      </c>
      <c r="C1931" t="s">
        <v>30</v>
      </c>
      <c r="D1931" t="s">
        <v>134</v>
      </c>
      <c r="E1931" t="s">
        <v>172</v>
      </c>
      <c r="F1931" t="s">
        <v>277</v>
      </c>
      <c r="G1931" t="s">
        <v>476</v>
      </c>
      <c r="H1931" t="s">
        <v>175</v>
      </c>
      <c r="I1931" t="s">
        <v>485</v>
      </c>
      <c r="J1931" t="s">
        <v>3101</v>
      </c>
      <c r="K1931" t="s">
        <v>116</v>
      </c>
      <c r="L1931" t="s">
        <v>80</v>
      </c>
      <c r="M1931" t="s">
        <v>164</v>
      </c>
      <c r="N1931" t="s">
        <v>94</v>
      </c>
      <c r="O1931" s="4">
        <v>4</v>
      </c>
      <c r="P1931" s="4">
        <v>5</v>
      </c>
      <c r="Q1931" t="s">
        <v>107</v>
      </c>
      <c r="R1931" s="2">
        <v>46179</v>
      </c>
      <c r="S1931" s="4">
        <v>24</v>
      </c>
      <c r="T1931" s="3">
        <v>122000000</v>
      </c>
      <c r="U1931" t="s">
        <v>42</v>
      </c>
      <c r="V1931" t="s">
        <v>59</v>
      </c>
      <c r="W1931" t="s">
        <v>95</v>
      </c>
      <c r="Y1931" t="s">
        <v>108</v>
      </c>
      <c r="Z1931" t="s">
        <v>3179</v>
      </c>
      <c r="AA1931" t="s">
        <v>181</v>
      </c>
      <c r="AB1931" t="s">
        <v>97</v>
      </c>
      <c r="AC1931" t="s">
        <v>181</v>
      </c>
    </row>
    <row r="1932" spans="1:29">
      <c r="A1932" t="s">
        <v>2349</v>
      </c>
      <c r="B1932" s="2">
        <v>46191</v>
      </c>
      <c r="C1932" t="s">
        <v>30</v>
      </c>
      <c r="D1932" t="s">
        <v>74</v>
      </c>
      <c r="E1932" t="s">
        <v>172</v>
      </c>
      <c r="F1932" t="s">
        <v>173</v>
      </c>
      <c r="G1932" t="s">
        <v>289</v>
      </c>
      <c r="H1932" t="s">
        <v>175</v>
      </c>
      <c r="I1932" t="s">
        <v>333</v>
      </c>
      <c r="J1932" t="s">
        <v>3054</v>
      </c>
      <c r="K1932" t="s">
        <v>105</v>
      </c>
      <c r="L1932" t="s">
        <v>187</v>
      </c>
      <c r="M1932" t="s">
        <v>39</v>
      </c>
      <c r="N1932" t="s">
        <v>82</v>
      </c>
      <c r="O1932" s="4">
        <v>1</v>
      </c>
      <c r="P1932" s="4">
        <v>9</v>
      </c>
      <c r="Q1932" t="s">
        <v>83</v>
      </c>
      <c r="R1932" s="2">
        <v>46191</v>
      </c>
      <c r="S1932" s="4">
        <v>12</v>
      </c>
      <c r="T1932" s="3">
        <v>160000000</v>
      </c>
      <c r="U1932" t="s">
        <v>42</v>
      </c>
      <c r="V1932" t="s">
        <v>59</v>
      </c>
      <c r="W1932" t="s">
        <v>290</v>
      </c>
      <c r="Y1932" t="s">
        <v>85</v>
      </c>
      <c r="Z1932" t="s">
        <v>3178</v>
      </c>
      <c r="AA1932" t="s">
        <v>181</v>
      </c>
      <c r="AB1932" t="s">
        <v>87</v>
      </c>
      <c r="AC1932" t="s">
        <v>181</v>
      </c>
    </row>
    <row r="1933" spans="1:29">
      <c r="A1933" t="s">
        <v>2350</v>
      </c>
      <c r="B1933" s="2">
        <v>46202</v>
      </c>
      <c r="C1933" t="s">
        <v>30</v>
      </c>
      <c r="D1933" t="s">
        <v>31</v>
      </c>
      <c r="E1933" t="s">
        <v>120</v>
      </c>
      <c r="F1933" t="s">
        <v>167</v>
      </c>
      <c r="G1933" t="s">
        <v>122</v>
      </c>
      <c r="H1933" t="s">
        <v>300</v>
      </c>
      <c r="I1933" t="s">
        <v>445</v>
      </c>
      <c r="J1933" t="s">
        <v>3087</v>
      </c>
      <c r="K1933" t="s">
        <v>37</v>
      </c>
      <c r="L1933" t="s">
        <v>187</v>
      </c>
      <c r="M1933" t="s">
        <v>81</v>
      </c>
      <c r="N1933" t="s">
        <v>94</v>
      </c>
      <c r="O1933" s="4">
        <v>4</v>
      </c>
      <c r="P1933" s="4">
        <v>6</v>
      </c>
      <c r="Q1933" t="s">
        <v>107</v>
      </c>
      <c r="R1933" s="2">
        <v>46197</v>
      </c>
      <c r="S1933" s="4">
        <v>6</v>
      </c>
      <c r="T1933" s="3">
        <v>162000000</v>
      </c>
      <c r="U1933" t="s">
        <v>42</v>
      </c>
      <c r="V1933" t="s">
        <v>59</v>
      </c>
      <c r="W1933" t="s">
        <v>170</v>
      </c>
      <c r="Y1933" t="s">
        <v>228</v>
      </c>
      <c r="Z1933" t="s">
        <v>3179</v>
      </c>
      <c r="AA1933" t="s">
        <v>97</v>
      </c>
      <c r="AB1933" t="s">
        <v>97</v>
      </c>
      <c r="AC1933" t="s">
        <v>97</v>
      </c>
    </row>
    <row r="1934" spans="1:29">
      <c r="A1934" t="s">
        <v>2351</v>
      </c>
      <c r="B1934" s="2">
        <v>46192</v>
      </c>
      <c r="C1934" t="s">
        <v>30</v>
      </c>
      <c r="D1934" t="s">
        <v>74</v>
      </c>
      <c r="E1934" t="s">
        <v>100</v>
      </c>
      <c r="F1934" t="s">
        <v>146</v>
      </c>
      <c r="G1934" t="s">
        <v>147</v>
      </c>
      <c r="H1934" t="s">
        <v>103</v>
      </c>
      <c r="I1934" t="s">
        <v>411</v>
      </c>
      <c r="J1934" t="s">
        <v>3077</v>
      </c>
      <c r="K1934" t="s">
        <v>37</v>
      </c>
      <c r="L1934" t="s">
        <v>187</v>
      </c>
      <c r="M1934" t="s">
        <v>81</v>
      </c>
      <c r="N1934" t="s">
        <v>94</v>
      </c>
      <c r="O1934" s="4">
        <v>4</v>
      </c>
      <c r="P1934" s="4">
        <v>14</v>
      </c>
      <c r="Q1934" t="s">
        <v>41</v>
      </c>
      <c r="R1934" s="2">
        <v>46192</v>
      </c>
      <c r="S1934" s="4">
        <v>11</v>
      </c>
      <c r="T1934" s="3">
        <v>214000000</v>
      </c>
      <c r="U1934" t="s">
        <v>426</v>
      </c>
      <c r="V1934" t="s">
        <v>59</v>
      </c>
      <c r="W1934" t="s">
        <v>267</v>
      </c>
      <c r="X1934" t="s">
        <v>381</v>
      </c>
      <c r="Y1934" t="s">
        <v>268</v>
      </c>
      <c r="Z1934" t="s">
        <v>3179</v>
      </c>
      <c r="AA1934" t="s">
        <v>109</v>
      </c>
      <c r="AB1934" t="s">
        <v>97</v>
      </c>
      <c r="AC1934" t="s">
        <v>109</v>
      </c>
    </row>
    <row r="1935" spans="1:29">
      <c r="A1935" t="s">
        <v>2352</v>
      </c>
      <c r="B1935" s="2">
        <v>46177</v>
      </c>
      <c r="C1935" t="s">
        <v>30</v>
      </c>
      <c r="D1935" t="s">
        <v>134</v>
      </c>
      <c r="E1935" t="s">
        <v>152</v>
      </c>
      <c r="F1935" t="s">
        <v>205</v>
      </c>
      <c r="G1935" t="s">
        <v>328</v>
      </c>
      <c r="H1935" t="s">
        <v>283</v>
      </c>
      <c r="I1935" t="s">
        <v>393</v>
      </c>
      <c r="J1935" t="s">
        <v>3072</v>
      </c>
      <c r="K1935" t="s">
        <v>37</v>
      </c>
      <c r="L1935" t="s">
        <v>55</v>
      </c>
      <c r="M1935" t="s">
        <v>81</v>
      </c>
      <c r="N1935" t="s">
        <v>57</v>
      </c>
      <c r="O1935" s="4">
        <v>3</v>
      </c>
      <c r="P1935" s="4">
        <v>12</v>
      </c>
      <c r="Q1935" t="s">
        <v>69</v>
      </c>
      <c r="R1935" s="2">
        <v>46173</v>
      </c>
      <c r="S1935" s="4">
        <v>30</v>
      </c>
      <c r="T1935" s="3">
        <v>68000000</v>
      </c>
      <c r="U1935" t="s">
        <v>42</v>
      </c>
      <c r="V1935" t="s">
        <v>70</v>
      </c>
      <c r="W1935" t="s">
        <v>71</v>
      </c>
      <c r="Y1935" t="s">
        <v>61</v>
      </c>
      <c r="Z1935" t="s">
        <v>3180</v>
      </c>
      <c r="AA1935" t="s">
        <v>159</v>
      </c>
      <c r="AB1935" t="s">
        <v>193</v>
      </c>
      <c r="AC1935" t="s">
        <v>159</v>
      </c>
    </row>
    <row r="1936" spans="1:29">
      <c r="A1936" t="s">
        <v>2353</v>
      </c>
      <c r="B1936" s="2">
        <v>46174</v>
      </c>
      <c r="C1936" t="s">
        <v>30</v>
      </c>
      <c r="D1936" t="s">
        <v>134</v>
      </c>
      <c r="E1936" t="s">
        <v>172</v>
      </c>
      <c r="F1936" t="s">
        <v>277</v>
      </c>
      <c r="G1936" t="s">
        <v>338</v>
      </c>
      <c r="H1936" t="s">
        <v>241</v>
      </c>
      <c r="I1936" t="s">
        <v>379</v>
      </c>
      <c r="J1936" t="s">
        <v>3069</v>
      </c>
      <c r="K1936" t="s">
        <v>37</v>
      </c>
      <c r="L1936" t="s">
        <v>68</v>
      </c>
      <c r="M1936" t="s">
        <v>39</v>
      </c>
      <c r="N1936" t="s">
        <v>82</v>
      </c>
      <c r="O1936" s="4">
        <v>1</v>
      </c>
      <c r="P1936" s="4">
        <v>9</v>
      </c>
      <c r="Q1936" t="s">
        <v>107</v>
      </c>
      <c r="R1936" s="2">
        <v>46173</v>
      </c>
      <c r="S1936" s="4">
        <v>30</v>
      </c>
      <c r="T1936" s="3">
        <v>88000000</v>
      </c>
      <c r="U1936" t="s">
        <v>42</v>
      </c>
      <c r="V1936" t="s">
        <v>43</v>
      </c>
      <c r="W1936" t="s">
        <v>404</v>
      </c>
      <c r="Y1936" t="s">
        <v>305</v>
      </c>
      <c r="Z1936" t="s">
        <v>3178</v>
      </c>
      <c r="AA1936" t="s">
        <v>181</v>
      </c>
      <c r="AB1936" t="s">
        <v>87</v>
      </c>
      <c r="AC1936" t="s">
        <v>181</v>
      </c>
    </row>
    <row r="1937" spans="1:29">
      <c r="A1937" t="s">
        <v>2354</v>
      </c>
      <c r="B1937" s="2">
        <v>46194</v>
      </c>
      <c r="C1937" t="s">
        <v>30</v>
      </c>
      <c r="D1937" t="s">
        <v>74</v>
      </c>
      <c r="E1937" t="s">
        <v>111</v>
      </c>
      <c r="F1937" t="s">
        <v>264</v>
      </c>
      <c r="G1937" t="s">
        <v>113</v>
      </c>
      <c r="H1937" t="s">
        <v>191</v>
      </c>
      <c r="I1937" t="s">
        <v>192</v>
      </c>
      <c r="J1937" t="s">
        <v>3025</v>
      </c>
      <c r="K1937" t="s">
        <v>56</v>
      </c>
      <c r="L1937" t="s">
        <v>150</v>
      </c>
      <c r="M1937" t="s">
        <v>81</v>
      </c>
      <c r="N1937" t="s">
        <v>213</v>
      </c>
      <c r="O1937" s="4">
        <v>6</v>
      </c>
      <c r="P1937" s="4">
        <v>7</v>
      </c>
      <c r="Q1937" t="s">
        <v>142</v>
      </c>
      <c r="R1937" s="2">
        <v>46189</v>
      </c>
      <c r="S1937" s="4">
        <v>14</v>
      </c>
      <c r="T1937" s="3">
        <v>147000000</v>
      </c>
      <c r="U1937" t="s">
        <v>42</v>
      </c>
      <c r="V1937" t="s">
        <v>70</v>
      </c>
      <c r="W1937" t="s">
        <v>390</v>
      </c>
      <c r="X1937" t="s">
        <v>117</v>
      </c>
      <c r="Y1937" t="s">
        <v>424</v>
      </c>
      <c r="Z1937" t="s">
        <v>3179</v>
      </c>
      <c r="AA1937" t="s">
        <v>118</v>
      </c>
      <c r="AB1937" t="s">
        <v>97</v>
      </c>
      <c r="AC1937" t="s">
        <v>118</v>
      </c>
    </row>
    <row r="1938" spans="1:29">
      <c r="A1938" t="s">
        <v>2355</v>
      </c>
      <c r="B1938" s="2">
        <v>46178</v>
      </c>
      <c r="C1938" t="s">
        <v>30</v>
      </c>
      <c r="D1938" t="s">
        <v>134</v>
      </c>
      <c r="E1938" t="s">
        <v>100</v>
      </c>
      <c r="F1938" t="s">
        <v>146</v>
      </c>
      <c r="G1938" t="s">
        <v>147</v>
      </c>
      <c r="H1938" t="s">
        <v>148</v>
      </c>
      <c r="I1938" t="s">
        <v>851</v>
      </c>
      <c r="J1938" t="s">
        <v>3163</v>
      </c>
      <c r="K1938" t="s">
        <v>37</v>
      </c>
      <c r="L1938" t="s">
        <v>187</v>
      </c>
      <c r="M1938" t="s">
        <v>164</v>
      </c>
      <c r="N1938" t="s">
        <v>196</v>
      </c>
      <c r="O1938" s="4">
        <v>7</v>
      </c>
      <c r="P1938" s="4">
        <v>18</v>
      </c>
      <c r="Q1938" t="s">
        <v>83</v>
      </c>
      <c r="R1938" s="2">
        <v>46178</v>
      </c>
      <c r="S1938" s="4">
        <v>25</v>
      </c>
      <c r="T1938" s="3">
        <v>78000000</v>
      </c>
      <c r="U1938" t="s">
        <v>564</v>
      </c>
      <c r="V1938" t="s">
        <v>70</v>
      </c>
      <c r="W1938" t="s">
        <v>197</v>
      </c>
      <c r="Y1938" t="s">
        <v>198</v>
      </c>
      <c r="Z1938" t="s">
        <v>3181</v>
      </c>
      <c r="AA1938" t="s">
        <v>109</v>
      </c>
      <c r="AB1938" t="s">
        <v>199</v>
      </c>
      <c r="AC1938" t="s">
        <v>109</v>
      </c>
    </row>
    <row r="1939" spans="1:29">
      <c r="A1939" t="s">
        <v>2356</v>
      </c>
      <c r="B1939" s="2">
        <v>46197</v>
      </c>
      <c r="C1939" t="s">
        <v>30</v>
      </c>
      <c r="D1939" t="s">
        <v>49</v>
      </c>
      <c r="E1939" t="s">
        <v>100</v>
      </c>
      <c r="F1939" t="s">
        <v>140</v>
      </c>
      <c r="G1939" t="s">
        <v>237</v>
      </c>
      <c r="H1939" t="s">
        <v>201</v>
      </c>
      <c r="I1939" t="s">
        <v>453</v>
      </c>
      <c r="J1939" t="s">
        <v>3090</v>
      </c>
      <c r="K1939" t="s">
        <v>105</v>
      </c>
      <c r="L1939" t="s">
        <v>38</v>
      </c>
      <c r="M1939" t="s">
        <v>129</v>
      </c>
      <c r="N1939" t="s">
        <v>213</v>
      </c>
      <c r="O1939" s="4">
        <v>6</v>
      </c>
      <c r="P1939" s="4">
        <v>14</v>
      </c>
      <c r="Q1939" t="s">
        <v>107</v>
      </c>
      <c r="R1939" s="2">
        <v>46190</v>
      </c>
      <c r="S1939" s="4">
        <v>13</v>
      </c>
      <c r="T1939" s="3">
        <v>260000000</v>
      </c>
      <c r="U1939" t="s">
        <v>214</v>
      </c>
      <c r="V1939" t="s">
        <v>70</v>
      </c>
      <c r="W1939" t="s">
        <v>390</v>
      </c>
      <c r="Y1939" t="s">
        <v>432</v>
      </c>
      <c r="Z1939" t="s">
        <v>3179</v>
      </c>
      <c r="AA1939" t="s">
        <v>109</v>
      </c>
      <c r="AB1939" t="s">
        <v>97</v>
      </c>
      <c r="AC1939" t="s">
        <v>109</v>
      </c>
    </row>
    <row r="1940" spans="1:29">
      <c r="A1940" t="s">
        <v>2357</v>
      </c>
      <c r="B1940" s="2">
        <v>46178</v>
      </c>
      <c r="C1940" t="s">
        <v>30</v>
      </c>
      <c r="D1940" t="s">
        <v>134</v>
      </c>
      <c r="E1940" t="s">
        <v>32</v>
      </c>
      <c r="F1940" t="s">
        <v>273</v>
      </c>
      <c r="G1940" t="s">
        <v>463</v>
      </c>
      <c r="H1940" t="s">
        <v>303</v>
      </c>
      <c r="I1940" t="s">
        <v>1021</v>
      </c>
      <c r="J1940" t="s">
        <v>3171</v>
      </c>
      <c r="K1940" t="s">
        <v>56</v>
      </c>
      <c r="L1940" t="s">
        <v>150</v>
      </c>
      <c r="M1940" t="s">
        <v>129</v>
      </c>
      <c r="N1940" t="s">
        <v>82</v>
      </c>
      <c r="O1940" s="4">
        <v>1</v>
      </c>
      <c r="P1940" s="4">
        <v>3</v>
      </c>
      <c r="Q1940" t="s">
        <v>58</v>
      </c>
      <c r="R1940" s="2">
        <v>46169</v>
      </c>
      <c r="S1940" s="4">
        <v>34</v>
      </c>
      <c r="T1940" s="3">
        <v>418000000</v>
      </c>
      <c r="U1940" t="s">
        <v>42</v>
      </c>
      <c r="V1940" t="s">
        <v>59</v>
      </c>
      <c r="W1940" t="s">
        <v>84</v>
      </c>
      <c r="Y1940" t="s">
        <v>291</v>
      </c>
      <c r="Z1940" t="s">
        <v>3176</v>
      </c>
      <c r="AA1940" t="s">
        <v>46</v>
      </c>
      <c r="AB1940" t="s">
        <v>47</v>
      </c>
      <c r="AC1940" t="s">
        <v>46</v>
      </c>
    </row>
    <row r="1941" spans="1:29">
      <c r="A1941" t="s">
        <v>2358</v>
      </c>
      <c r="B1941" s="2">
        <v>46189</v>
      </c>
      <c r="C1941" t="s">
        <v>30</v>
      </c>
      <c r="D1941" t="s">
        <v>74</v>
      </c>
      <c r="E1941" t="s">
        <v>152</v>
      </c>
      <c r="F1941" t="s">
        <v>205</v>
      </c>
      <c r="G1941" t="s">
        <v>286</v>
      </c>
      <c r="H1941" t="s">
        <v>155</v>
      </c>
      <c r="I1941" t="s">
        <v>537</v>
      </c>
      <c r="J1941" t="s">
        <v>3113</v>
      </c>
      <c r="K1941" t="s">
        <v>37</v>
      </c>
      <c r="L1941" t="s">
        <v>169</v>
      </c>
      <c r="M1941" t="s">
        <v>106</v>
      </c>
      <c r="N1941" t="s">
        <v>82</v>
      </c>
      <c r="O1941" s="4">
        <v>1</v>
      </c>
      <c r="P1941" s="4">
        <v>16</v>
      </c>
      <c r="Q1941" t="s">
        <v>83</v>
      </c>
      <c r="R1941" s="2">
        <v>46189</v>
      </c>
      <c r="S1941" s="4">
        <v>14</v>
      </c>
      <c r="T1941" s="3">
        <v>157000000</v>
      </c>
      <c r="U1941" t="s">
        <v>42</v>
      </c>
      <c r="V1941" t="s">
        <v>43</v>
      </c>
      <c r="W1941" t="s">
        <v>359</v>
      </c>
      <c r="Y1941" t="s">
        <v>330</v>
      </c>
      <c r="Z1941" t="s">
        <v>3180</v>
      </c>
      <c r="AA1941" t="s">
        <v>159</v>
      </c>
      <c r="AB1941" t="s">
        <v>193</v>
      </c>
      <c r="AC1941" t="s">
        <v>159</v>
      </c>
    </row>
    <row r="1942" spans="1:29">
      <c r="A1942" t="s">
        <v>2359</v>
      </c>
      <c r="B1942" s="2">
        <v>46181</v>
      </c>
      <c r="C1942" t="s">
        <v>30</v>
      </c>
      <c r="D1942" t="s">
        <v>99</v>
      </c>
      <c r="E1942" t="s">
        <v>32</v>
      </c>
      <c r="F1942" t="s">
        <v>273</v>
      </c>
      <c r="G1942" t="s">
        <v>463</v>
      </c>
      <c r="H1942" t="s">
        <v>303</v>
      </c>
      <c r="I1942" t="s">
        <v>464</v>
      </c>
      <c r="J1942" t="s">
        <v>3095</v>
      </c>
      <c r="K1942" t="s">
        <v>37</v>
      </c>
      <c r="L1942" t="s">
        <v>68</v>
      </c>
      <c r="M1942" t="s">
        <v>93</v>
      </c>
      <c r="N1942" t="s">
        <v>57</v>
      </c>
      <c r="O1942" s="4">
        <v>3</v>
      </c>
      <c r="P1942" s="4">
        <v>12</v>
      </c>
      <c r="Q1942" t="s">
        <v>69</v>
      </c>
      <c r="R1942" s="2">
        <v>46174</v>
      </c>
      <c r="S1942" s="4">
        <v>29</v>
      </c>
      <c r="T1942" s="3">
        <v>139000000</v>
      </c>
      <c r="U1942" t="s">
        <v>42</v>
      </c>
      <c r="V1942" t="s">
        <v>59</v>
      </c>
      <c r="W1942" t="s">
        <v>203</v>
      </c>
      <c r="Y1942" t="s">
        <v>72</v>
      </c>
      <c r="Z1942" t="s">
        <v>3180</v>
      </c>
      <c r="AA1942" t="s">
        <v>46</v>
      </c>
      <c r="AB1942" t="s">
        <v>193</v>
      </c>
      <c r="AC1942" t="s">
        <v>46</v>
      </c>
    </row>
    <row r="1943" spans="1:29">
      <c r="A1943" t="s">
        <v>2360</v>
      </c>
      <c r="B1943" s="2">
        <v>46187</v>
      </c>
      <c r="C1943" t="s">
        <v>30</v>
      </c>
      <c r="D1943" t="s">
        <v>99</v>
      </c>
      <c r="E1943" t="s">
        <v>111</v>
      </c>
      <c r="F1943" t="s">
        <v>112</v>
      </c>
      <c r="G1943" t="s">
        <v>113</v>
      </c>
      <c r="H1943" t="s">
        <v>191</v>
      </c>
      <c r="I1943" t="s">
        <v>449</v>
      </c>
      <c r="J1943" t="s">
        <v>3089</v>
      </c>
      <c r="K1943" t="s">
        <v>116</v>
      </c>
      <c r="L1943" t="s">
        <v>169</v>
      </c>
      <c r="M1943" t="s">
        <v>129</v>
      </c>
      <c r="N1943" t="s">
        <v>130</v>
      </c>
      <c r="O1943" s="4">
        <v>5</v>
      </c>
      <c r="P1943" s="4">
        <v>8</v>
      </c>
      <c r="Q1943" t="s">
        <v>41</v>
      </c>
      <c r="R1943" s="2">
        <v>46186</v>
      </c>
      <c r="S1943" s="4">
        <v>17</v>
      </c>
      <c r="T1943" s="3">
        <v>146000000</v>
      </c>
      <c r="U1943" t="s">
        <v>42</v>
      </c>
      <c r="V1943" t="s">
        <v>70</v>
      </c>
      <c r="W1943" t="s">
        <v>131</v>
      </c>
      <c r="Y1943" t="s">
        <v>254</v>
      </c>
      <c r="Z1943" t="s">
        <v>3179</v>
      </c>
      <c r="AA1943" t="s">
        <v>118</v>
      </c>
      <c r="AB1943" t="s">
        <v>97</v>
      </c>
      <c r="AC1943" t="s">
        <v>118</v>
      </c>
    </row>
    <row r="1944" spans="1:29">
      <c r="A1944" t="s">
        <v>2361</v>
      </c>
      <c r="B1944" s="2">
        <v>46192</v>
      </c>
      <c r="C1944" t="s">
        <v>30</v>
      </c>
      <c r="D1944" t="s">
        <v>74</v>
      </c>
      <c r="E1944" t="s">
        <v>120</v>
      </c>
      <c r="F1944" t="s">
        <v>121</v>
      </c>
      <c r="G1944" t="s">
        <v>227</v>
      </c>
      <c r="H1944" t="s">
        <v>300</v>
      </c>
      <c r="I1944" t="s">
        <v>421</v>
      </c>
      <c r="J1944" t="s">
        <v>3080</v>
      </c>
      <c r="K1944" t="s">
        <v>116</v>
      </c>
      <c r="L1944" t="s">
        <v>150</v>
      </c>
      <c r="M1944" t="s">
        <v>93</v>
      </c>
      <c r="N1944" t="s">
        <v>57</v>
      </c>
      <c r="O1944" s="4">
        <v>3</v>
      </c>
      <c r="P1944" s="4">
        <v>6</v>
      </c>
      <c r="Q1944" t="s">
        <v>83</v>
      </c>
      <c r="R1944" s="2">
        <v>46183</v>
      </c>
      <c r="S1944" s="4">
        <v>20</v>
      </c>
      <c r="T1944" s="3">
        <v>36000000</v>
      </c>
      <c r="U1944" t="s">
        <v>42</v>
      </c>
      <c r="V1944" t="s">
        <v>59</v>
      </c>
      <c r="W1944" t="s">
        <v>203</v>
      </c>
      <c r="Y1944" t="s">
        <v>158</v>
      </c>
      <c r="Z1944" t="s">
        <v>3177</v>
      </c>
      <c r="AA1944" t="s">
        <v>97</v>
      </c>
      <c r="AB1944" t="s">
        <v>63</v>
      </c>
      <c r="AC1944" t="s">
        <v>97</v>
      </c>
    </row>
    <row r="1945" spans="1:29">
      <c r="A1945" t="s">
        <v>2362</v>
      </c>
      <c r="B1945" s="2">
        <v>46195</v>
      </c>
      <c r="C1945" t="s">
        <v>30</v>
      </c>
      <c r="D1945" t="s">
        <v>49</v>
      </c>
      <c r="E1945" t="s">
        <v>172</v>
      </c>
      <c r="F1945" t="s">
        <v>277</v>
      </c>
      <c r="G1945" t="s">
        <v>278</v>
      </c>
      <c r="H1945" t="s">
        <v>175</v>
      </c>
      <c r="I1945" t="s">
        <v>602</v>
      </c>
      <c r="J1945" t="s">
        <v>3129</v>
      </c>
      <c r="K1945" t="s">
        <v>116</v>
      </c>
      <c r="L1945" t="s">
        <v>55</v>
      </c>
      <c r="M1945" t="s">
        <v>56</v>
      </c>
      <c r="N1945" t="s">
        <v>40</v>
      </c>
      <c r="O1945" s="4">
        <v>2</v>
      </c>
      <c r="P1945" s="4">
        <v>9</v>
      </c>
      <c r="Q1945" t="s">
        <v>69</v>
      </c>
      <c r="R1945" s="2">
        <v>46187</v>
      </c>
      <c r="S1945" s="4">
        <v>16</v>
      </c>
      <c r="T1945" s="3">
        <v>63000000</v>
      </c>
      <c r="U1945" t="s">
        <v>42</v>
      </c>
      <c r="V1945" t="s">
        <v>59</v>
      </c>
      <c r="W1945" t="s">
        <v>44</v>
      </c>
      <c r="Y1945" t="s">
        <v>281</v>
      </c>
      <c r="Z1945" t="s">
        <v>3178</v>
      </c>
      <c r="AA1945" t="s">
        <v>181</v>
      </c>
      <c r="AB1945" t="s">
        <v>87</v>
      </c>
      <c r="AC1945" t="s">
        <v>181</v>
      </c>
    </row>
    <row r="1946" spans="1:29">
      <c r="A1946" t="s">
        <v>2363</v>
      </c>
      <c r="B1946" s="2">
        <v>46199</v>
      </c>
      <c r="C1946" t="s">
        <v>30</v>
      </c>
      <c r="D1946" t="s">
        <v>49</v>
      </c>
      <c r="E1946" t="s">
        <v>120</v>
      </c>
      <c r="F1946" t="s">
        <v>246</v>
      </c>
      <c r="G1946" t="s">
        <v>122</v>
      </c>
      <c r="H1946" t="s">
        <v>123</v>
      </c>
      <c r="I1946" t="s">
        <v>336</v>
      </c>
      <c r="J1946" t="s">
        <v>3055</v>
      </c>
      <c r="K1946" t="s">
        <v>105</v>
      </c>
      <c r="L1946" t="s">
        <v>80</v>
      </c>
      <c r="M1946" t="s">
        <v>39</v>
      </c>
      <c r="N1946" t="s">
        <v>130</v>
      </c>
      <c r="O1946" s="4">
        <v>5</v>
      </c>
      <c r="P1946" s="4">
        <v>9</v>
      </c>
      <c r="Q1946" t="s">
        <v>58</v>
      </c>
      <c r="R1946" s="2">
        <v>46199</v>
      </c>
      <c r="S1946" s="4">
        <v>4</v>
      </c>
      <c r="T1946" s="3">
        <v>366000000</v>
      </c>
      <c r="U1946" t="s">
        <v>42</v>
      </c>
      <c r="V1946" t="s">
        <v>70</v>
      </c>
      <c r="W1946" t="s">
        <v>252</v>
      </c>
      <c r="Y1946" t="s">
        <v>132</v>
      </c>
      <c r="Z1946" t="s">
        <v>3179</v>
      </c>
      <c r="AA1946" t="s">
        <v>97</v>
      </c>
      <c r="AB1946" t="s">
        <v>97</v>
      </c>
      <c r="AC1946" t="s">
        <v>97</v>
      </c>
    </row>
    <row r="1947" spans="1:29">
      <c r="A1947" t="s">
        <v>2364</v>
      </c>
      <c r="B1947" s="2">
        <v>46183</v>
      </c>
      <c r="C1947" t="s">
        <v>30</v>
      </c>
      <c r="D1947" t="s">
        <v>99</v>
      </c>
      <c r="E1947" t="s">
        <v>100</v>
      </c>
      <c r="F1947" t="s">
        <v>140</v>
      </c>
      <c r="G1947" t="s">
        <v>313</v>
      </c>
      <c r="H1947" t="s">
        <v>201</v>
      </c>
      <c r="I1947" t="s">
        <v>238</v>
      </c>
      <c r="J1947" t="s">
        <v>3033</v>
      </c>
      <c r="K1947" t="s">
        <v>116</v>
      </c>
      <c r="L1947" t="s">
        <v>150</v>
      </c>
      <c r="M1947" t="s">
        <v>106</v>
      </c>
      <c r="N1947" t="s">
        <v>130</v>
      </c>
      <c r="O1947" s="4">
        <v>5</v>
      </c>
      <c r="P1947" s="4">
        <v>22</v>
      </c>
      <c r="Q1947" t="s">
        <v>107</v>
      </c>
      <c r="R1947" s="2">
        <v>46179</v>
      </c>
      <c r="S1947" s="4">
        <v>24</v>
      </c>
      <c r="T1947" s="3">
        <v>67000000</v>
      </c>
      <c r="U1947" t="s">
        <v>426</v>
      </c>
      <c r="V1947" t="s">
        <v>70</v>
      </c>
      <c r="W1947" t="s">
        <v>131</v>
      </c>
      <c r="X1947" t="s">
        <v>422</v>
      </c>
      <c r="Y1947" t="s">
        <v>254</v>
      </c>
      <c r="Z1947" t="s">
        <v>3179</v>
      </c>
      <c r="AA1947" t="s">
        <v>109</v>
      </c>
      <c r="AB1947" t="s">
        <v>97</v>
      </c>
      <c r="AC1947" t="s">
        <v>109</v>
      </c>
    </row>
    <row r="1948" spans="1:29">
      <c r="A1948" t="s">
        <v>2365</v>
      </c>
      <c r="B1948" s="2">
        <v>46181</v>
      </c>
      <c r="C1948" t="s">
        <v>30</v>
      </c>
      <c r="D1948" t="s">
        <v>99</v>
      </c>
      <c r="E1948" t="s">
        <v>32</v>
      </c>
      <c r="F1948" t="s">
        <v>256</v>
      </c>
      <c r="G1948" t="s">
        <v>34</v>
      </c>
      <c r="H1948" t="s">
        <v>258</v>
      </c>
      <c r="I1948" t="s">
        <v>297</v>
      </c>
      <c r="J1948" t="s">
        <v>3044</v>
      </c>
      <c r="K1948" t="s">
        <v>105</v>
      </c>
      <c r="L1948" t="s">
        <v>187</v>
      </c>
      <c r="M1948" t="s">
        <v>93</v>
      </c>
      <c r="N1948" t="s">
        <v>40</v>
      </c>
      <c r="O1948" s="4">
        <v>2</v>
      </c>
      <c r="P1948" s="4">
        <v>4</v>
      </c>
      <c r="Q1948" t="s">
        <v>69</v>
      </c>
      <c r="R1948" s="2">
        <v>46179</v>
      </c>
      <c r="S1948" s="4">
        <v>24</v>
      </c>
      <c r="T1948" s="3">
        <v>197000000</v>
      </c>
      <c r="U1948" t="s">
        <v>177</v>
      </c>
      <c r="V1948" t="s">
        <v>43</v>
      </c>
      <c r="W1948" t="s">
        <v>178</v>
      </c>
      <c r="X1948" t="s">
        <v>520</v>
      </c>
      <c r="Y1948" t="s">
        <v>180</v>
      </c>
      <c r="Z1948" t="s">
        <v>3176</v>
      </c>
      <c r="AA1948" t="s">
        <v>46</v>
      </c>
      <c r="AB1948" t="s">
        <v>47</v>
      </c>
      <c r="AC1948" t="s">
        <v>46</v>
      </c>
    </row>
    <row r="1949" spans="1:29">
      <c r="A1949" t="s">
        <v>2366</v>
      </c>
      <c r="B1949" s="2">
        <v>46188</v>
      </c>
      <c r="C1949" t="s">
        <v>30</v>
      </c>
      <c r="D1949" t="s">
        <v>74</v>
      </c>
      <c r="E1949" t="s">
        <v>111</v>
      </c>
      <c r="F1949" t="s">
        <v>112</v>
      </c>
      <c r="G1949" t="s">
        <v>265</v>
      </c>
      <c r="H1949" t="s">
        <v>127</v>
      </c>
      <c r="I1949" t="s">
        <v>654</v>
      </c>
      <c r="J1949" t="s">
        <v>3142</v>
      </c>
      <c r="K1949" t="s">
        <v>37</v>
      </c>
      <c r="L1949" t="s">
        <v>55</v>
      </c>
      <c r="M1949" t="s">
        <v>81</v>
      </c>
      <c r="N1949" t="s">
        <v>57</v>
      </c>
      <c r="O1949" s="4">
        <v>3</v>
      </c>
      <c r="P1949" s="4">
        <v>12</v>
      </c>
      <c r="Q1949" t="s">
        <v>142</v>
      </c>
      <c r="R1949" s="2">
        <v>46182</v>
      </c>
      <c r="S1949" s="4">
        <v>21</v>
      </c>
      <c r="T1949" s="3">
        <v>128000000</v>
      </c>
      <c r="U1949" t="s">
        <v>42</v>
      </c>
      <c r="V1949" t="s">
        <v>59</v>
      </c>
      <c r="W1949" t="s">
        <v>60</v>
      </c>
      <c r="Y1949" t="s">
        <v>72</v>
      </c>
      <c r="Z1949" t="s">
        <v>3180</v>
      </c>
      <c r="AA1949" t="s">
        <v>118</v>
      </c>
      <c r="AB1949" t="s">
        <v>193</v>
      </c>
      <c r="AC1949" t="s">
        <v>118</v>
      </c>
    </row>
    <row r="1950" spans="1:29">
      <c r="A1950" t="s">
        <v>2367</v>
      </c>
      <c r="B1950" s="2">
        <v>46181</v>
      </c>
      <c r="C1950" t="s">
        <v>30</v>
      </c>
      <c r="D1950" t="s">
        <v>99</v>
      </c>
      <c r="E1950" t="s">
        <v>120</v>
      </c>
      <c r="F1950" t="s">
        <v>246</v>
      </c>
      <c r="G1950" t="s">
        <v>420</v>
      </c>
      <c r="H1950" t="s">
        <v>136</v>
      </c>
      <c r="I1950" t="s">
        <v>247</v>
      </c>
      <c r="J1950" t="s">
        <v>3035</v>
      </c>
      <c r="K1950" t="s">
        <v>37</v>
      </c>
      <c r="L1950" t="s">
        <v>38</v>
      </c>
      <c r="M1950" t="s">
        <v>81</v>
      </c>
      <c r="N1950" t="s">
        <v>94</v>
      </c>
      <c r="O1950" s="4">
        <v>4</v>
      </c>
      <c r="P1950" s="4">
        <v>8</v>
      </c>
      <c r="Q1950" t="s">
        <v>69</v>
      </c>
      <c r="R1950" s="2">
        <v>46175</v>
      </c>
      <c r="S1950" s="4">
        <v>28</v>
      </c>
      <c r="T1950" s="3">
        <v>275000000</v>
      </c>
      <c r="U1950" t="s">
        <v>42</v>
      </c>
      <c r="V1950" t="s">
        <v>143</v>
      </c>
      <c r="W1950" t="s">
        <v>188</v>
      </c>
      <c r="Y1950" t="s">
        <v>268</v>
      </c>
      <c r="Z1950" t="s">
        <v>3179</v>
      </c>
      <c r="AA1950" t="s">
        <v>97</v>
      </c>
      <c r="AB1950" t="s">
        <v>97</v>
      </c>
      <c r="AC1950" t="s">
        <v>97</v>
      </c>
    </row>
    <row r="1951" spans="1:29">
      <c r="A1951" t="s">
        <v>2368</v>
      </c>
      <c r="B1951" s="2">
        <v>46197</v>
      </c>
      <c r="C1951" t="s">
        <v>30</v>
      </c>
      <c r="D1951" t="s">
        <v>49</v>
      </c>
      <c r="E1951" t="s">
        <v>120</v>
      </c>
      <c r="F1951" t="s">
        <v>121</v>
      </c>
      <c r="G1951" t="s">
        <v>420</v>
      </c>
      <c r="H1951" t="s">
        <v>123</v>
      </c>
      <c r="I1951" t="s">
        <v>838</v>
      </c>
      <c r="J1951" t="s">
        <v>3160</v>
      </c>
      <c r="K1951" t="s">
        <v>37</v>
      </c>
      <c r="L1951" t="s">
        <v>68</v>
      </c>
      <c r="M1951" t="s">
        <v>129</v>
      </c>
      <c r="N1951" t="s">
        <v>57</v>
      </c>
      <c r="O1951" s="4">
        <v>3</v>
      </c>
      <c r="P1951" s="4">
        <v>11</v>
      </c>
      <c r="Q1951" t="s">
        <v>69</v>
      </c>
      <c r="R1951" s="2">
        <v>46193</v>
      </c>
      <c r="S1951" s="4">
        <v>10</v>
      </c>
      <c r="T1951" s="3">
        <v>111000000</v>
      </c>
      <c r="U1951" t="s">
        <v>42</v>
      </c>
      <c r="V1951" t="s">
        <v>59</v>
      </c>
      <c r="W1951" t="s">
        <v>203</v>
      </c>
      <c r="Y1951" t="s">
        <v>158</v>
      </c>
      <c r="Z1951" t="s">
        <v>3177</v>
      </c>
      <c r="AA1951" t="s">
        <v>97</v>
      </c>
      <c r="AB1951" t="s">
        <v>63</v>
      </c>
      <c r="AC1951" t="s">
        <v>97</v>
      </c>
    </row>
    <row r="1952" spans="1:29">
      <c r="A1952" t="s">
        <v>2369</v>
      </c>
      <c r="B1952" s="2">
        <v>46176</v>
      </c>
      <c r="C1952" t="s">
        <v>30</v>
      </c>
      <c r="D1952" t="s">
        <v>134</v>
      </c>
      <c r="E1952" t="s">
        <v>100</v>
      </c>
      <c r="F1952" t="s">
        <v>140</v>
      </c>
      <c r="G1952" t="s">
        <v>147</v>
      </c>
      <c r="H1952" t="s">
        <v>103</v>
      </c>
      <c r="I1952" t="s">
        <v>563</v>
      </c>
      <c r="J1952" t="s">
        <v>3120</v>
      </c>
      <c r="K1952" t="s">
        <v>116</v>
      </c>
      <c r="L1952" t="s">
        <v>150</v>
      </c>
      <c r="M1952" t="s">
        <v>81</v>
      </c>
      <c r="N1952" t="s">
        <v>196</v>
      </c>
      <c r="O1952" s="4">
        <v>7</v>
      </c>
      <c r="P1952" s="4">
        <v>15</v>
      </c>
      <c r="Q1952" t="s">
        <v>83</v>
      </c>
      <c r="R1952" s="2">
        <v>46166</v>
      </c>
      <c r="S1952" s="4">
        <v>37</v>
      </c>
      <c r="T1952" s="3">
        <v>135000000</v>
      </c>
      <c r="U1952" t="s">
        <v>196</v>
      </c>
      <c r="V1952" t="s">
        <v>70</v>
      </c>
      <c r="W1952" t="s">
        <v>197</v>
      </c>
      <c r="Y1952" t="s">
        <v>244</v>
      </c>
      <c r="Z1952" t="s">
        <v>3181</v>
      </c>
      <c r="AA1952" t="s">
        <v>109</v>
      </c>
      <c r="AB1952" t="s">
        <v>199</v>
      </c>
      <c r="AC1952" t="s">
        <v>109</v>
      </c>
    </row>
    <row r="1953" spans="1:29">
      <c r="A1953" t="s">
        <v>2370</v>
      </c>
      <c r="B1953" s="2">
        <v>46191</v>
      </c>
      <c r="C1953" t="s">
        <v>30</v>
      </c>
      <c r="D1953" t="s">
        <v>74</v>
      </c>
      <c r="E1953" t="s">
        <v>120</v>
      </c>
      <c r="F1953" t="s">
        <v>121</v>
      </c>
      <c r="G1953" t="s">
        <v>224</v>
      </c>
      <c r="H1953" t="s">
        <v>300</v>
      </c>
      <c r="I1953" t="s">
        <v>830</v>
      </c>
      <c r="J1953" t="s">
        <v>3159</v>
      </c>
      <c r="K1953" t="s">
        <v>37</v>
      </c>
      <c r="L1953" t="s">
        <v>150</v>
      </c>
      <c r="M1953" t="s">
        <v>106</v>
      </c>
      <c r="N1953" t="s">
        <v>213</v>
      </c>
      <c r="O1953" s="4">
        <v>6</v>
      </c>
      <c r="P1953" s="4">
        <v>7</v>
      </c>
      <c r="Q1953" t="s">
        <v>41</v>
      </c>
      <c r="R1953" s="2">
        <v>46188</v>
      </c>
      <c r="S1953" s="4">
        <v>15</v>
      </c>
      <c r="T1953" s="3">
        <v>233000000</v>
      </c>
      <c r="U1953" t="s">
        <v>214</v>
      </c>
      <c r="V1953" t="s">
        <v>70</v>
      </c>
      <c r="W1953" t="s">
        <v>248</v>
      </c>
      <c r="Y1953" t="s">
        <v>216</v>
      </c>
      <c r="Z1953" t="s">
        <v>3179</v>
      </c>
      <c r="AA1953" t="s">
        <v>97</v>
      </c>
      <c r="AB1953" t="s">
        <v>97</v>
      </c>
      <c r="AC1953" t="s">
        <v>97</v>
      </c>
    </row>
    <row r="1954" spans="1:29">
      <c r="A1954" t="s">
        <v>2371</v>
      </c>
      <c r="B1954" s="2">
        <v>46179</v>
      </c>
      <c r="C1954" t="s">
        <v>30</v>
      </c>
      <c r="D1954" t="s">
        <v>134</v>
      </c>
      <c r="E1954" t="s">
        <v>120</v>
      </c>
      <c r="F1954" t="s">
        <v>167</v>
      </c>
      <c r="G1954" t="s">
        <v>227</v>
      </c>
      <c r="H1954" t="s">
        <v>300</v>
      </c>
      <c r="I1954" t="s">
        <v>527</v>
      </c>
      <c r="J1954" t="s">
        <v>3110</v>
      </c>
      <c r="K1954" t="s">
        <v>92</v>
      </c>
      <c r="L1954" t="s">
        <v>187</v>
      </c>
      <c r="M1954" t="s">
        <v>56</v>
      </c>
      <c r="N1954" t="s">
        <v>213</v>
      </c>
      <c r="O1954" s="4">
        <v>6</v>
      </c>
      <c r="P1954" s="4">
        <v>15</v>
      </c>
      <c r="Q1954" t="s">
        <v>41</v>
      </c>
      <c r="R1954" s="2">
        <v>46171</v>
      </c>
      <c r="S1954" s="4">
        <v>32</v>
      </c>
      <c r="T1954" s="3">
        <v>176000000</v>
      </c>
      <c r="U1954" t="s">
        <v>214</v>
      </c>
      <c r="V1954" t="s">
        <v>70</v>
      </c>
      <c r="W1954" t="s">
        <v>438</v>
      </c>
      <c r="Y1954" t="s">
        <v>249</v>
      </c>
      <c r="Z1954" t="s">
        <v>3179</v>
      </c>
      <c r="AA1954" t="s">
        <v>97</v>
      </c>
      <c r="AB1954" t="s">
        <v>97</v>
      </c>
      <c r="AC1954" t="s">
        <v>97</v>
      </c>
    </row>
    <row r="1955" spans="1:29">
      <c r="A1955" t="s">
        <v>2372</v>
      </c>
      <c r="B1955" s="2">
        <v>46192</v>
      </c>
      <c r="C1955" t="s">
        <v>30</v>
      </c>
      <c r="D1955" t="s">
        <v>74</v>
      </c>
      <c r="E1955" t="s">
        <v>75</v>
      </c>
      <c r="F1955" t="s">
        <v>76</v>
      </c>
      <c r="G1955" t="s">
        <v>162</v>
      </c>
      <c r="H1955" t="s">
        <v>185</v>
      </c>
      <c r="I1955" t="s">
        <v>721</v>
      </c>
      <c r="J1955" t="s">
        <v>3147</v>
      </c>
      <c r="K1955" t="s">
        <v>92</v>
      </c>
      <c r="L1955" t="s">
        <v>150</v>
      </c>
      <c r="M1955" t="s">
        <v>129</v>
      </c>
      <c r="N1955" t="s">
        <v>213</v>
      </c>
      <c r="O1955" s="4">
        <v>6</v>
      </c>
      <c r="P1955" s="4">
        <v>7</v>
      </c>
      <c r="Q1955" t="s">
        <v>142</v>
      </c>
      <c r="R1955" s="2">
        <v>46189</v>
      </c>
      <c r="S1955" s="4">
        <v>14</v>
      </c>
      <c r="T1955" s="3">
        <v>47000000</v>
      </c>
      <c r="U1955" t="s">
        <v>214</v>
      </c>
      <c r="V1955" t="s">
        <v>70</v>
      </c>
      <c r="W1955" t="s">
        <v>248</v>
      </c>
      <c r="Y1955" t="s">
        <v>424</v>
      </c>
      <c r="Z1955" t="s">
        <v>3179</v>
      </c>
      <c r="AA1955" t="s">
        <v>86</v>
      </c>
      <c r="AB1955" t="s">
        <v>97</v>
      </c>
      <c r="AC1955" t="s">
        <v>86</v>
      </c>
    </row>
    <row r="1956" spans="1:29">
      <c r="A1956" t="s">
        <v>2373</v>
      </c>
      <c r="B1956" s="2">
        <v>46199</v>
      </c>
      <c r="C1956" t="s">
        <v>30</v>
      </c>
      <c r="D1956" t="s">
        <v>49</v>
      </c>
      <c r="E1956" t="s">
        <v>50</v>
      </c>
      <c r="F1956" t="s">
        <v>89</v>
      </c>
      <c r="G1956" t="s">
        <v>270</v>
      </c>
      <c r="H1956" t="s">
        <v>53</v>
      </c>
      <c r="I1956" t="s">
        <v>307</v>
      </c>
      <c r="J1956" t="s">
        <v>3047</v>
      </c>
      <c r="K1956" t="s">
        <v>56</v>
      </c>
      <c r="L1956" t="s">
        <v>169</v>
      </c>
      <c r="M1956" t="s">
        <v>129</v>
      </c>
      <c r="N1956" t="s">
        <v>130</v>
      </c>
      <c r="O1956" s="4">
        <v>5</v>
      </c>
      <c r="P1956" s="4">
        <v>10</v>
      </c>
      <c r="Q1956" t="s">
        <v>58</v>
      </c>
      <c r="R1956" s="2">
        <v>46198</v>
      </c>
      <c r="S1956" s="4">
        <v>5</v>
      </c>
      <c r="T1956" s="3">
        <v>369000000</v>
      </c>
      <c r="U1956" t="s">
        <v>42</v>
      </c>
      <c r="V1956" t="s">
        <v>70</v>
      </c>
      <c r="W1956" t="s">
        <v>131</v>
      </c>
      <c r="Y1956" t="s">
        <v>262</v>
      </c>
      <c r="Z1956" t="s">
        <v>3179</v>
      </c>
      <c r="AA1956" t="s">
        <v>62</v>
      </c>
      <c r="AB1956" t="s">
        <v>97</v>
      </c>
      <c r="AC1956" t="s">
        <v>62</v>
      </c>
    </row>
    <row r="1957" spans="1:29">
      <c r="A1957" t="s">
        <v>2374</v>
      </c>
      <c r="B1957" s="2">
        <v>46176</v>
      </c>
      <c r="C1957" t="s">
        <v>30</v>
      </c>
      <c r="D1957" t="s">
        <v>134</v>
      </c>
      <c r="E1957" t="s">
        <v>75</v>
      </c>
      <c r="F1957" t="s">
        <v>76</v>
      </c>
      <c r="G1957" t="s">
        <v>77</v>
      </c>
      <c r="H1957" t="s">
        <v>185</v>
      </c>
      <c r="I1957" t="s">
        <v>673</v>
      </c>
      <c r="J1957" t="s">
        <v>3146</v>
      </c>
      <c r="K1957" t="s">
        <v>56</v>
      </c>
      <c r="L1957" t="s">
        <v>80</v>
      </c>
      <c r="M1957" t="s">
        <v>81</v>
      </c>
      <c r="N1957" t="s">
        <v>82</v>
      </c>
      <c r="O1957" s="4">
        <v>1</v>
      </c>
      <c r="P1957" s="4">
        <v>4</v>
      </c>
      <c r="Q1957" t="s">
        <v>107</v>
      </c>
      <c r="R1957" s="2">
        <v>46170</v>
      </c>
      <c r="S1957" s="4">
        <v>33</v>
      </c>
      <c r="T1957" s="3">
        <v>211000000</v>
      </c>
      <c r="U1957" t="s">
        <v>42</v>
      </c>
      <c r="V1957" t="s">
        <v>43</v>
      </c>
      <c r="W1957" t="s">
        <v>404</v>
      </c>
      <c r="Y1957" t="s">
        <v>305</v>
      </c>
      <c r="Z1957" t="s">
        <v>3176</v>
      </c>
      <c r="AA1957" t="s">
        <v>86</v>
      </c>
      <c r="AB1957" t="s">
        <v>47</v>
      </c>
      <c r="AC1957" t="s">
        <v>86</v>
      </c>
    </row>
    <row r="1958" spans="1:29">
      <c r="A1958" t="s">
        <v>2375</v>
      </c>
      <c r="B1958" s="2">
        <v>46192</v>
      </c>
      <c r="C1958" t="s">
        <v>30</v>
      </c>
      <c r="D1958" t="s">
        <v>74</v>
      </c>
      <c r="E1958" t="s">
        <v>75</v>
      </c>
      <c r="F1958" t="s">
        <v>76</v>
      </c>
      <c r="G1958" t="s">
        <v>184</v>
      </c>
      <c r="H1958" t="s">
        <v>185</v>
      </c>
      <c r="I1958" t="s">
        <v>428</v>
      </c>
      <c r="J1958" t="s">
        <v>3081</v>
      </c>
      <c r="K1958" t="s">
        <v>37</v>
      </c>
      <c r="L1958" t="s">
        <v>169</v>
      </c>
      <c r="M1958" t="s">
        <v>56</v>
      </c>
      <c r="N1958" t="s">
        <v>57</v>
      </c>
      <c r="O1958" s="4">
        <v>3</v>
      </c>
      <c r="P1958" s="4">
        <v>10</v>
      </c>
      <c r="Q1958" t="s">
        <v>69</v>
      </c>
      <c r="R1958" s="2">
        <v>46191</v>
      </c>
      <c r="S1958" s="4">
        <v>12</v>
      </c>
      <c r="T1958" s="3">
        <v>84000000</v>
      </c>
      <c r="U1958" t="s">
        <v>42</v>
      </c>
      <c r="V1958" t="s">
        <v>59</v>
      </c>
      <c r="W1958" t="s">
        <v>157</v>
      </c>
      <c r="Y1958" t="s">
        <v>72</v>
      </c>
      <c r="Z1958" t="s">
        <v>3177</v>
      </c>
      <c r="AA1958" t="s">
        <v>86</v>
      </c>
      <c r="AB1958" t="s">
        <v>63</v>
      </c>
      <c r="AC1958" t="s">
        <v>86</v>
      </c>
    </row>
    <row r="1959" spans="1:29">
      <c r="A1959" t="s">
        <v>2376</v>
      </c>
      <c r="B1959" s="2">
        <v>46185</v>
      </c>
      <c r="C1959" t="s">
        <v>30</v>
      </c>
      <c r="D1959" t="s">
        <v>99</v>
      </c>
      <c r="E1959" t="s">
        <v>111</v>
      </c>
      <c r="F1959" t="s">
        <v>190</v>
      </c>
      <c r="G1959" t="s">
        <v>251</v>
      </c>
      <c r="H1959" t="s">
        <v>114</v>
      </c>
      <c r="I1959" t="s">
        <v>115</v>
      </c>
      <c r="J1959" t="s">
        <v>3014</v>
      </c>
      <c r="K1959" t="s">
        <v>56</v>
      </c>
      <c r="L1959" t="s">
        <v>38</v>
      </c>
      <c r="M1959" t="s">
        <v>129</v>
      </c>
      <c r="N1959" t="s">
        <v>40</v>
      </c>
      <c r="O1959" s="4">
        <v>2</v>
      </c>
      <c r="P1959" s="4">
        <v>9</v>
      </c>
      <c r="Q1959" t="s">
        <v>69</v>
      </c>
      <c r="R1959" s="2">
        <v>46182</v>
      </c>
      <c r="S1959" s="4">
        <v>21</v>
      </c>
      <c r="T1959" s="3">
        <v>314000000</v>
      </c>
      <c r="U1959" t="s">
        <v>42</v>
      </c>
      <c r="V1959" t="s">
        <v>43</v>
      </c>
      <c r="W1959" t="s">
        <v>298</v>
      </c>
      <c r="Y1959" t="s">
        <v>281</v>
      </c>
      <c r="Z1959" t="s">
        <v>3178</v>
      </c>
      <c r="AA1959" t="s">
        <v>118</v>
      </c>
      <c r="AB1959" t="s">
        <v>87</v>
      </c>
      <c r="AC1959" t="s">
        <v>118</v>
      </c>
    </row>
    <row r="1960" spans="1:29">
      <c r="A1960" t="s">
        <v>2377</v>
      </c>
      <c r="B1960" s="2">
        <v>46186</v>
      </c>
      <c r="C1960" t="s">
        <v>30</v>
      </c>
      <c r="D1960" t="s">
        <v>99</v>
      </c>
      <c r="E1960" t="s">
        <v>152</v>
      </c>
      <c r="F1960" t="s">
        <v>205</v>
      </c>
      <c r="G1960" t="s">
        <v>154</v>
      </c>
      <c r="H1960" t="s">
        <v>207</v>
      </c>
      <c r="I1960" t="s">
        <v>222</v>
      </c>
      <c r="J1960" t="s">
        <v>3029</v>
      </c>
      <c r="K1960" t="s">
        <v>92</v>
      </c>
      <c r="L1960" t="s">
        <v>187</v>
      </c>
      <c r="M1960" t="s">
        <v>39</v>
      </c>
      <c r="N1960" t="s">
        <v>196</v>
      </c>
      <c r="O1960" s="4">
        <v>7</v>
      </c>
      <c r="P1960" s="4">
        <v>26</v>
      </c>
      <c r="Q1960" t="s">
        <v>41</v>
      </c>
      <c r="R1960" s="2">
        <v>46179</v>
      </c>
      <c r="S1960" s="4">
        <v>24</v>
      </c>
      <c r="T1960" s="3">
        <v>224000000</v>
      </c>
      <c r="U1960" t="s">
        <v>196</v>
      </c>
      <c r="V1960" t="s">
        <v>70</v>
      </c>
      <c r="W1960" t="s">
        <v>197</v>
      </c>
      <c r="Y1960" t="s">
        <v>210</v>
      </c>
      <c r="Z1960" t="s">
        <v>3181</v>
      </c>
      <c r="AA1960" t="s">
        <v>159</v>
      </c>
      <c r="AB1960" t="s">
        <v>199</v>
      </c>
      <c r="AC1960" t="s">
        <v>159</v>
      </c>
    </row>
    <row r="1961" spans="1:29">
      <c r="A1961" t="s">
        <v>2378</v>
      </c>
      <c r="B1961" s="2">
        <v>46202</v>
      </c>
      <c r="C1961" t="s">
        <v>30</v>
      </c>
      <c r="D1961" t="s">
        <v>31</v>
      </c>
      <c r="E1961" t="s">
        <v>100</v>
      </c>
      <c r="F1961" t="s">
        <v>140</v>
      </c>
      <c r="G1961" t="s">
        <v>102</v>
      </c>
      <c r="H1961" t="s">
        <v>148</v>
      </c>
      <c r="I1961" t="s">
        <v>800</v>
      </c>
      <c r="J1961" t="s">
        <v>3156</v>
      </c>
      <c r="K1961" t="s">
        <v>116</v>
      </c>
      <c r="L1961" t="s">
        <v>55</v>
      </c>
      <c r="M1961" t="s">
        <v>56</v>
      </c>
      <c r="N1961" t="s">
        <v>94</v>
      </c>
      <c r="O1961" s="4">
        <v>4</v>
      </c>
      <c r="P1961" s="4">
        <v>9</v>
      </c>
      <c r="Q1961" t="s">
        <v>83</v>
      </c>
      <c r="R1961" s="2">
        <v>46200</v>
      </c>
      <c r="S1961" s="4">
        <v>3</v>
      </c>
      <c r="T1961" s="3">
        <v>69000000</v>
      </c>
      <c r="U1961" t="s">
        <v>42</v>
      </c>
      <c r="V1961" t="s">
        <v>59</v>
      </c>
      <c r="W1961" t="s">
        <v>95</v>
      </c>
      <c r="X1961" t="s">
        <v>117</v>
      </c>
      <c r="Y1961" t="s">
        <v>108</v>
      </c>
      <c r="Z1961" t="s">
        <v>3179</v>
      </c>
      <c r="AA1961" t="s">
        <v>109</v>
      </c>
      <c r="AB1961" t="s">
        <v>97</v>
      </c>
      <c r="AC1961" t="s">
        <v>109</v>
      </c>
    </row>
    <row r="1962" spans="1:29">
      <c r="A1962" t="s">
        <v>2379</v>
      </c>
      <c r="B1962" s="2">
        <v>46202</v>
      </c>
      <c r="C1962" t="s">
        <v>30</v>
      </c>
      <c r="D1962" t="s">
        <v>31</v>
      </c>
      <c r="E1962" t="s">
        <v>100</v>
      </c>
      <c r="F1962" t="s">
        <v>101</v>
      </c>
      <c r="G1962" t="s">
        <v>147</v>
      </c>
      <c r="H1962" t="s">
        <v>103</v>
      </c>
      <c r="I1962" t="s">
        <v>447</v>
      </c>
      <c r="J1962" t="s">
        <v>3088</v>
      </c>
      <c r="K1962" t="s">
        <v>37</v>
      </c>
      <c r="L1962" t="s">
        <v>55</v>
      </c>
      <c r="M1962" t="s">
        <v>129</v>
      </c>
      <c r="N1962" t="s">
        <v>196</v>
      </c>
      <c r="O1962" s="4">
        <v>7</v>
      </c>
      <c r="P1962" s="4">
        <v>16</v>
      </c>
      <c r="Q1962" t="s">
        <v>142</v>
      </c>
      <c r="R1962" s="2">
        <v>46192</v>
      </c>
      <c r="S1962" s="4">
        <v>11</v>
      </c>
      <c r="T1962" s="3">
        <v>195000000</v>
      </c>
      <c r="U1962" t="s">
        <v>196</v>
      </c>
      <c r="V1962" t="s">
        <v>70</v>
      </c>
      <c r="W1962" t="s">
        <v>675</v>
      </c>
      <c r="Y1962" t="s">
        <v>244</v>
      </c>
      <c r="Z1962" t="s">
        <v>3181</v>
      </c>
      <c r="AA1962" t="s">
        <v>109</v>
      </c>
      <c r="AB1962" t="s">
        <v>199</v>
      </c>
      <c r="AC1962" t="s">
        <v>109</v>
      </c>
    </row>
    <row r="1963" spans="1:29">
      <c r="A1963" t="s">
        <v>2380</v>
      </c>
      <c r="B1963" s="2">
        <v>46187</v>
      </c>
      <c r="C1963" t="s">
        <v>30</v>
      </c>
      <c r="D1963" t="s">
        <v>99</v>
      </c>
      <c r="E1963" t="s">
        <v>120</v>
      </c>
      <c r="F1963" t="s">
        <v>121</v>
      </c>
      <c r="G1963" t="s">
        <v>227</v>
      </c>
      <c r="H1963" t="s">
        <v>123</v>
      </c>
      <c r="I1963" t="s">
        <v>124</v>
      </c>
      <c r="J1963" t="s">
        <v>3015</v>
      </c>
      <c r="K1963" t="s">
        <v>116</v>
      </c>
      <c r="L1963" t="s">
        <v>187</v>
      </c>
      <c r="M1963" t="s">
        <v>56</v>
      </c>
      <c r="N1963" t="s">
        <v>94</v>
      </c>
      <c r="O1963" s="4">
        <v>4</v>
      </c>
      <c r="P1963" s="4">
        <v>8</v>
      </c>
      <c r="Q1963" t="s">
        <v>138</v>
      </c>
      <c r="R1963" s="2">
        <v>46181</v>
      </c>
      <c r="S1963" s="4">
        <v>22</v>
      </c>
      <c r="T1963" s="3">
        <v>170000000</v>
      </c>
      <c r="U1963" t="s">
        <v>42</v>
      </c>
      <c r="V1963" t="s">
        <v>70</v>
      </c>
      <c r="W1963" t="s">
        <v>95</v>
      </c>
      <c r="Y1963" t="s">
        <v>108</v>
      </c>
      <c r="Z1963" t="s">
        <v>3179</v>
      </c>
      <c r="AA1963" t="s">
        <v>97</v>
      </c>
      <c r="AB1963" t="s">
        <v>97</v>
      </c>
      <c r="AC1963" t="s">
        <v>97</v>
      </c>
    </row>
    <row r="1964" spans="1:29">
      <c r="A1964" t="s">
        <v>2381</v>
      </c>
      <c r="B1964" s="2">
        <v>46195</v>
      </c>
      <c r="C1964" t="s">
        <v>30</v>
      </c>
      <c r="D1964" t="s">
        <v>49</v>
      </c>
      <c r="E1964" t="s">
        <v>75</v>
      </c>
      <c r="F1964" t="s">
        <v>161</v>
      </c>
      <c r="G1964" t="s">
        <v>77</v>
      </c>
      <c r="H1964" t="s">
        <v>388</v>
      </c>
      <c r="I1964" t="s">
        <v>540</v>
      </c>
      <c r="J1964" t="s">
        <v>3114</v>
      </c>
      <c r="K1964" t="s">
        <v>105</v>
      </c>
      <c r="L1964" t="s">
        <v>80</v>
      </c>
      <c r="M1964" t="s">
        <v>129</v>
      </c>
      <c r="N1964" t="s">
        <v>57</v>
      </c>
      <c r="O1964" s="4">
        <v>3</v>
      </c>
      <c r="P1964" s="4">
        <v>7</v>
      </c>
      <c r="Q1964" t="s">
        <v>142</v>
      </c>
      <c r="R1964" s="2">
        <v>46187</v>
      </c>
      <c r="S1964" s="4">
        <v>16</v>
      </c>
      <c r="T1964" s="3">
        <v>228000000</v>
      </c>
      <c r="U1964" t="s">
        <v>42</v>
      </c>
      <c r="V1964" t="s">
        <v>59</v>
      </c>
      <c r="W1964" t="s">
        <v>71</v>
      </c>
      <c r="Y1964" t="s">
        <v>158</v>
      </c>
      <c r="Z1964" t="s">
        <v>3177</v>
      </c>
      <c r="AA1964" t="s">
        <v>86</v>
      </c>
      <c r="AB1964" t="s">
        <v>63</v>
      </c>
      <c r="AC1964" t="s">
        <v>86</v>
      </c>
    </row>
    <row r="1965" spans="1:29">
      <c r="A1965" t="s">
        <v>2382</v>
      </c>
      <c r="B1965" s="2">
        <v>46199</v>
      </c>
      <c r="C1965" t="s">
        <v>30</v>
      </c>
      <c r="D1965" t="s">
        <v>49</v>
      </c>
      <c r="E1965" t="s">
        <v>100</v>
      </c>
      <c r="F1965" t="s">
        <v>146</v>
      </c>
      <c r="G1965" t="s">
        <v>313</v>
      </c>
      <c r="H1965" t="s">
        <v>103</v>
      </c>
      <c r="I1965" t="s">
        <v>447</v>
      </c>
      <c r="J1965" t="s">
        <v>3088</v>
      </c>
      <c r="K1965" t="s">
        <v>116</v>
      </c>
      <c r="L1965" t="s">
        <v>187</v>
      </c>
      <c r="M1965" t="s">
        <v>56</v>
      </c>
      <c r="N1965" t="s">
        <v>57</v>
      </c>
      <c r="O1965" s="4">
        <v>3</v>
      </c>
      <c r="P1965" s="4">
        <v>8</v>
      </c>
      <c r="Q1965" t="s">
        <v>138</v>
      </c>
      <c r="R1965" s="2">
        <v>46191</v>
      </c>
      <c r="S1965" s="4">
        <v>12</v>
      </c>
      <c r="T1965" s="3">
        <v>188000000</v>
      </c>
      <c r="U1965" t="s">
        <v>42</v>
      </c>
      <c r="V1965" t="s">
        <v>43</v>
      </c>
      <c r="W1965" t="s">
        <v>157</v>
      </c>
      <c r="Y1965" t="s">
        <v>165</v>
      </c>
      <c r="Z1965" t="s">
        <v>3177</v>
      </c>
      <c r="AA1965" t="s">
        <v>109</v>
      </c>
      <c r="AB1965" t="s">
        <v>63</v>
      </c>
      <c r="AC1965" t="s">
        <v>109</v>
      </c>
    </row>
    <row r="1966" spans="1:29">
      <c r="A1966" t="s">
        <v>2383</v>
      </c>
      <c r="B1966" s="2">
        <v>46176</v>
      </c>
      <c r="C1966" t="s">
        <v>30</v>
      </c>
      <c r="D1966" t="s">
        <v>134</v>
      </c>
      <c r="E1966" t="s">
        <v>100</v>
      </c>
      <c r="F1966" t="s">
        <v>146</v>
      </c>
      <c r="G1966" t="s">
        <v>313</v>
      </c>
      <c r="H1966" t="s">
        <v>148</v>
      </c>
      <c r="I1966" t="s">
        <v>851</v>
      </c>
      <c r="J1966" t="s">
        <v>3163</v>
      </c>
      <c r="K1966" t="s">
        <v>56</v>
      </c>
      <c r="L1966" t="s">
        <v>55</v>
      </c>
      <c r="M1966" t="s">
        <v>93</v>
      </c>
      <c r="N1966" t="s">
        <v>94</v>
      </c>
      <c r="O1966" s="4">
        <v>4</v>
      </c>
      <c r="P1966" s="4">
        <v>13</v>
      </c>
      <c r="Q1966" t="s">
        <v>41</v>
      </c>
      <c r="R1966" s="2">
        <v>46166</v>
      </c>
      <c r="S1966" s="4">
        <v>37</v>
      </c>
      <c r="T1966" s="3">
        <v>403000000</v>
      </c>
      <c r="U1966" t="s">
        <v>426</v>
      </c>
      <c r="V1966" t="s">
        <v>59</v>
      </c>
      <c r="W1966" t="s">
        <v>267</v>
      </c>
      <c r="X1966" t="s">
        <v>261</v>
      </c>
      <c r="Y1966" t="s">
        <v>108</v>
      </c>
      <c r="Z1966" t="s">
        <v>3179</v>
      </c>
      <c r="AA1966" t="s">
        <v>109</v>
      </c>
      <c r="AB1966" t="s">
        <v>97</v>
      </c>
      <c r="AC1966" t="s">
        <v>109</v>
      </c>
    </row>
    <row r="1967" spans="1:29">
      <c r="A1967" t="s">
        <v>2384</v>
      </c>
      <c r="B1967" s="2">
        <v>46193</v>
      </c>
      <c r="C1967" t="s">
        <v>30</v>
      </c>
      <c r="D1967" t="s">
        <v>74</v>
      </c>
      <c r="E1967" t="s">
        <v>75</v>
      </c>
      <c r="F1967" t="s">
        <v>161</v>
      </c>
      <c r="G1967" t="s">
        <v>77</v>
      </c>
      <c r="H1967" t="s">
        <v>185</v>
      </c>
      <c r="I1967" t="s">
        <v>673</v>
      </c>
      <c r="J1967" t="s">
        <v>3146</v>
      </c>
      <c r="K1967" t="s">
        <v>37</v>
      </c>
      <c r="L1967" t="s">
        <v>150</v>
      </c>
      <c r="M1967" t="s">
        <v>56</v>
      </c>
      <c r="N1967" t="s">
        <v>94</v>
      </c>
      <c r="O1967" s="4">
        <v>4</v>
      </c>
      <c r="P1967" s="4">
        <v>5</v>
      </c>
      <c r="Q1967" t="s">
        <v>142</v>
      </c>
      <c r="R1967" s="2">
        <v>46189</v>
      </c>
      <c r="S1967" s="4">
        <v>14</v>
      </c>
      <c r="T1967" s="3">
        <v>200000000</v>
      </c>
      <c r="U1967" t="s">
        <v>42</v>
      </c>
      <c r="V1967" t="s">
        <v>59</v>
      </c>
      <c r="W1967" t="s">
        <v>188</v>
      </c>
      <c r="Y1967" t="s">
        <v>108</v>
      </c>
      <c r="Z1967" t="s">
        <v>3179</v>
      </c>
      <c r="AA1967" t="s">
        <v>86</v>
      </c>
      <c r="AB1967" t="s">
        <v>97</v>
      </c>
      <c r="AC1967" t="s">
        <v>86</v>
      </c>
    </row>
    <row r="1968" spans="1:29">
      <c r="A1968" t="s">
        <v>2385</v>
      </c>
      <c r="B1968" s="2">
        <v>46199</v>
      </c>
      <c r="C1968" t="s">
        <v>30</v>
      </c>
      <c r="D1968" t="s">
        <v>49</v>
      </c>
      <c r="E1968" t="s">
        <v>75</v>
      </c>
      <c r="F1968" t="s">
        <v>76</v>
      </c>
      <c r="G1968" t="s">
        <v>162</v>
      </c>
      <c r="H1968" t="s">
        <v>185</v>
      </c>
      <c r="I1968" t="s">
        <v>721</v>
      </c>
      <c r="J1968" t="s">
        <v>3147</v>
      </c>
      <c r="K1968" t="s">
        <v>105</v>
      </c>
      <c r="L1968" t="s">
        <v>150</v>
      </c>
      <c r="M1968" t="s">
        <v>164</v>
      </c>
      <c r="N1968" t="s">
        <v>94</v>
      </c>
      <c r="O1968" s="4">
        <v>4</v>
      </c>
      <c r="P1968" s="4">
        <v>11</v>
      </c>
      <c r="Q1968" t="s">
        <v>58</v>
      </c>
      <c r="R1968" s="2">
        <v>46194</v>
      </c>
      <c r="S1968" s="4">
        <v>9</v>
      </c>
      <c r="T1968" s="3">
        <v>248000000</v>
      </c>
      <c r="U1968" t="s">
        <v>426</v>
      </c>
      <c r="V1968" t="s">
        <v>143</v>
      </c>
      <c r="W1968" t="s">
        <v>95</v>
      </c>
      <c r="X1968" t="s">
        <v>381</v>
      </c>
      <c r="Y1968" t="s">
        <v>228</v>
      </c>
      <c r="Z1968" t="s">
        <v>3179</v>
      </c>
      <c r="AA1968" t="s">
        <v>86</v>
      </c>
      <c r="AB1968" t="s">
        <v>97</v>
      </c>
      <c r="AC1968" t="s">
        <v>86</v>
      </c>
    </row>
    <row r="1969" spans="1:29">
      <c r="A1969" t="s">
        <v>2386</v>
      </c>
      <c r="B1969" s="2">
        <v>46176</v>
      </c>
      <c r="C1969" t="s">
        <v>30</v>
      </c>
      <c r="D1969" t="s">
        <v>134</v>
      </c>
      <c r="E1969" t="s">
        <v>100</v>
      </c>
      <c r="F1969" t="s">
        <v>146</v>
      </c>
      <c r="G1969" t="s">
        <v>313</v>
      </c>
      <c r="H1969" t="s">
        <v>103</v>
      </c>
      <c r="I1969" t="s">
        <v>563</v>
      </c>
      <c r="J1969" t="s">
        <v>3120</v>
      </c>
      <c r="K1969" t="s">
        <v>37</v>
      </c>
      <c r="L1969" t="s">
        <v>169</v>
      </c>
      <c r="M1969" t="s">
        <v>164</v>
      </c>
      <c r="N1969" t="s">
        <v>130</v>
      </c>
      <c r="O1969" s="4">
        <v>5</v>
      </c>
      <c r="P1969" s="4">
        <v>26</v>
      </c>
      <c r="Q1969" t="s">
        <v>69</v>
      </c>
      <c r="R1969" s="2">
        <v>46169</v>
      </c>
      <c r="S1969" s="4">
        <v>34</v>
      </c>
      <c r="T1969" s="3">
        <v>115000000</v>
      </c>
      <c r="U1969" t="s">
        <v>42</v>
      </c>
      <c r="V1969" t="s">
        <v>70</v>
      </c>
      <c r="W1969" t="s">
        <v>144</v>
      </c>
      <c r="X1969" t="s">
        <v>117</v>
      </c>
      <c r="Y1969" t="s">
        <v>334</v>
      </c>
      <c r="Z1969" t="s">
        <v>3179</v>
      </c>
      <c r="AA1969" t="s">
        <v>109</v>
      </c>
      <c r="AB1969" t="s">
        <v>97</v>
      </c>
      <c r="AC1969" t="s">
        <v>109</v>
      </c>
    </row>
    <row r="1970" spans="1:29">
      <c r="A1970" t="s">
        <v>2387</v>
      </c>
      <c r="B1970" s="2">
        <v>46191</v>
      </c>
      <c r="C1970" t="s">
        <v>30</v>
      </c>
      <c r="D1970" t="s">
        <v>74</v>
      </c>
      <c r="E1970" t="s">
        <v>32</v>
      </c>
      <c r="F1970" t="s">
        <v>273</v>
      </c>
      <c r="G1970" t="s">
        <v>463</v>
      </c>
      <c r="H1970" t="s">
        <v>258</v>
      </c>
      <c r="I1970" t="s">
        <v>1008</v>
      </c>
      <c r="J1970" t="s">
        <v>3170</v>
      </c>
      <c r="K1970" t="s">
        <v>37</v>
      </c>
      <c r="L1970" t="s">
        <v>38</v>
      </c>
      <c r="M1970" t="s">
        <v>106</v>
      </c>
      <c r="N1970" t="s">
        <v>40</v>
      </c>
      <c r="O1970" s="4">
        <v>2</v>
      </c>
      <c r="P1970" s="4">
        <v>3</v>
      </c>
      <c r="Q1970" t="s">
        <v>107</v>
      </c>
      <c r="R1970" s="2">
        <v>46188</v>
      </c>
      <c r="S1970" s="4">
        <v>15</v>
      </c>
      <c r="T1970" s="3">
        <v>111000000</v>
      </c>
      <c r="U1970" t="s">
        <v>42</v>
      </c>
      <c r="V1970" t="s">
        <v>43</v>
      </c>
      <c r="W1970" t="s">
        <v>298</v>
      </c>
      <c r="Y1970" t="s">
        <v>180</v>
      </c>
      <c r="Z1970" t="s">
        <v>3176</v>
      </c>
      <c r="AA1970" t="s">
        <v>46</v>
      </c>
      <c r="AB1970" t="s">
        <v>47</v>
      </c>
      <c r="AC1970" t="s">
        <v>46</v>
      </c>
    </row>
    <row r="1971" spans="1:29">
      <c r="A1971" t="s">
        <v>2388</v>
      </c>
      <c r="B1971" s="2">
        <v>46190</v>
      </c>
      <c r="C1971" t="s">
        <v>30</v>
      </c>
      <c r="D1971" t="s">
        <v>74</v>
      </c>
      <c r="E1971" t="s">
        <v>75</v>
      </c>
      <c r="F1971" t="s">
        <v>161</v>
      </c>
      <c r="G1971" t="s">
        <v>184</v>
      </c>
      <c r="H1971" t="s">
        <v>185</v>
      </c>
      <c r="I1971" t="s">
        <v>186</v>
      </c>
      <c r="J1971" t="s">
        <v>3024</v>
      </c>
      <c r="K1971" t="s">
        <v>105</v>
      </c>
      <c r="L1971" t="s">
        <v>150</v>
      </c>
      <c r="M1971" t="s">
        <v>39</v>
      </c>
      <c r="N1971" t="s">
        <v>94</v>
      </c>
      <c r="O1971" s="4">
        <v>4</v>
      </c>
      <c r="P1971" s="4">
        <v>5</v>
      </c>
      <c r="Q1971" t="s">
        <v>69</v>
      </c>
      <c r="R1971" s="2">
        <v>46182</v>
      </c>
      <c r="S1971" s="4">
        <v>21</v>
      </c>
      <c r="T1971" s="3">
        <v>221000000</v>
      </c>
      <c r="U1971" t="s">
        <v>42</v>
      </c>
      <c r="V1971" t="s">
        <v>59</v>
      </c>
      <c r="W1971" t="s">
        <v>95</v>
      </c>
      <c r="Y1971" t="s">
        <v>96</v>
      </c>
      <c r="Z1971" t="s">
        <v>3179</v>
      </c>
      <c r="AA1971" t="s">
        <v>86</v>
      </c>
      <c r="AB1971" t="s">
        <v>97</v>
      </c>
      <c r="AC1971" t="s">
        <v>86</v>
      </c>
    </row>
    <row r="1972" spans="1:29">
      <c r="A1972" t="s">
        <v>2389</v>
      </c>
      <c r="B1972" s="2">
        <v>46194</v>
      </c>
      <c r="C1972" t="s">
        <v>30</v>
      </c>
      <c r="D1972" t="s">
        <v>74</v>
      </c>
      <c r="E1972" t="s">
        <v>100</v>
      </c>
      <c r="F1972" t="s">
        <v>146</v>
      </c>
      <c r="G1972" t="s">
        <v>212</v>
      </c>
      <c r="H1972" t="s">
        <v>201</v>
      </c>
      <c r="I1972" t="s">
        <v>608</v>
      </c>
      <c r="J1972" t="s">
        <v>3132</v>
      </c>
      <c r="K1972" t="s">
        <v>37</v>
      </c>
      <c r="L1972" t="s">
        <v>80</v>
      </c>
      <c r="M1972" t="s">
        <v>164</v>
      </c>
      <c r="N1972" t="s">
        <v>57</v>
      </c>
      <c r="O1972" s="4">
        <v>3</v>
      </c>
      <c r="P1972" s="4">
        <v>10</v>
      </c>
      <c r="Q1972" t="s">
        <v>107</v>
      </c>
      <c r="R1972" s="2">
        <v>46190</v>
      </c>
      <c r="S1972" s="4">
        <v>13</v>
      </c>
      <c r="T1972" s="3">
        <v>83000000</v>
      </c>
      <c r="U1972" t="s">
        <v>42</v>
      </c>
      <c r="V1972" t="s">
        <v>70</v>
      </c>
      <c r="W1972" t="s">
        <v>203</v>
      </c>
      <c r="Y1972" t="s">
        <v>72</v>
      </c>
      <c r="Z1972" t="s">
        <v>3177</v>
      </c>
      <c r="AA1972" t="s">
        <v>109</v>
      </c>
      <c r="AB1972" t="s">
        <v>63</v>
      </c>
      <c r="AC1972" t="s">
        <v>109</v>
      </c>
    </row>
    <row r="1973" spans="1:29">
      <c r="A1973" t="s">
        <v>2390</v>
      </c>
      <c r="B1973" s="2">
        <v>46187</v>
      </c>
      <c r="C1973" t="s">
        <v>30</v>
      </c>
      <c r="D1973" t="s">
        <v>99</v>
      </c>
      <c r="E1973" t="s">
        <v>152</v>
      </c>
      <c r="F1973" t="s">
        <v>205</v>
      </c>
      <c r="G1973" t="s">
        <v>154</v>
      </c>
      <c r="H1973" t="s">
        <v>207</v>
      </c>
      <c r="I1973" t="s">
        <v>208</v>
      </c>
      <c r="J1973" t="s">
        <v>3027</v>
      </c>
      <c r="K1973" t="s">
        <v>105</v>
      </c>
      <c r="L1973" t="s">
        <v>68</v>
      </c>
      <c r="M1973" t="s">
        <v>164</v>
      </c>
      <c r="N1973" t="s">
        <v>82</v>
      </c>
      <c r="O1973" s="4">
        <v>1</v>
      </c>
      <c r="P1973" s="4">
        <v>13</v>
      </c>
      <c r="Q1973" t="s">
        <v>107</v>
      </c>
      <c r="R1973" s="2">
        <v>46182</v>
      </c>
      <c r="S1973" s="4">
        <v>21</v>
      </c>
      <c r="T1973" s="3">
        <v>156000000</v>
      </c>
      <c r="U1973" t="s">
        <v>42</v>
      </c>
      <c r="V1973" t="s">
        <v>43</v>
      </c>
      <c r="W1973" t="s">
        <v>359</v>
      </c>
      <c r="Y1973" t="s">
        <v>85</v>
      </c>
      <c r="Z1973" t="s">
        <v>3180</v>
      </c>
      <c r="AA1973" t="s">
        <v>159</v>
      </c>
      <c r="AB1973" t="s">
        <v>193</v>
      </c>
      <c r="AC1973" t="s">
        <v>159</v>
      </c>
    </row>
    <row r="1974" spans="1:29">
      <c r="A1974" t="s">
        <v>2391</v>
      </c>
      <c r="B1974" s="2">
        <v>46178</v>
      </c>
      <c r="C1974" t="s">
        <v>30</v>
      </c>
      <c r="D1974" t="s">
        <v>134</v>
      </c>
      <c r="E1974" t="s">
        <v>50</v>
      </c>
      <c r="F1974" t="s">
        <v>51</v>
      </c>
      <c r="G1974" t="s">
        <v>52</v>
      </c>
      <c r="H1974" t="s">
        <v>53</v>
      </c>
      <c r="I1974" t="s">
        <v>54</v>
      </c>
      <c r="J1974" t="s">
        <v>3009</v>
      </c>
      <c r="K1974" t="s">
        <v>105</v>
      </c>
      <c r="L1974" t="s">
        <v>150</v>
      </c>
      <c r="M1974" t="s">
        <v>106</v>
      </c>
      <c r="N1974" t="s">
        <v>130</v>
      </c>
      <c r="O1974" s="4">
        <v>5</v>
      </c>
      <c r="P1974" s="4">
        <v>13</v>
      </c>
      <c r="Q1974" t="s">
        <v>83</v>
      </c>
      <c r="R1974" s="2">
        <v>46174</v>
      </c>
      <c r="S1974" s="4">
        <v>29</v>
      </c>
      <c r="T1974" s="3">
        <v>331000000</v>
      </c>
      <c r="U1974" t="s">
        <v>42</v>
      </c>
      <c r="V1974" t="s">
        <v>59</v>
      </c>
      <c r="W1974" t="s">
        <v>131</v>
      </c>
      <c r="Y1974" t="s">
        <v>132</v>
      </c>
      <c r="Z1974" t="s">
        <v>3179</v>
      </c>
      <c r="AA1974" t="s">
        <v>62</v>
      </c>
      <c r="AB1974" t="s">
        <v>97</v>
      </c>
      <c r="AC1974" t="s">
        <v>62</v>
      </c>
    </row>
    <row r="1975" spans="1:29">
      <c r="A1975" t="s">
        <v>2392</v>
      </c>
      <c r="B1975" s="2">
        <v>46186</v>
      </c>
      <c r="C1975" t="s">
        <v>30</v>
      </c>
      <c r="D1975" t="s">
        <v>99</v>
      </c>
      <c r="E1975" t="s">
        <v>111</v>
      </c>
      <c r="F1975" t="s">
        <v>264</v>
      </c>
      <c r="G1975" t="s">
        <v>251</v>
      </c>
      <c r="H1975" t="s">
        <v>127</v>
      </c>
      <c r="I1975" t="s">
        <v>734</v>
      </c>
      <c r="J1975" t="s">
        <v>3150</v>
      </c>
      <c r="K1975" t="s">
        <v>105</v>
      </c>
      <c r="L1975" t="s">
        <v>150</v>
      </c>
      <c r="M1975" t="s">
        <v>93</v>
      </c>
      <c r="N1975" t="s">
        <v>196</v>
      </c>
      <c r="O1975" s="4">
        <v>7</v>
      </c>
      <c r="P1975" s="4">
        <v>15</v>
      </c>
      <c r="Q1975" t="s">
        <v>107</v>
      </c>
      <c r="R1975" s="2">
        <v>46177</v>
      </c>
      <c r="S1975" s="4">
        <v>26</v>
      </c>
      <c r="T1975" s="3">
        <v>230000000</v>
      </c>
      <c r="U1975" t="s">
        <v>232</v>
      </c>
      <c r="V1975" t="s">
        <v>70</v>
      </c>
      <c r="W1975" t="s">
        <v>209</v>
      </c>
      <c r="Y1975" t="s">
        <v>244</v>
      </c>
      <c r="Z1975" t="s">
        <v>3181</v>
      </c>
      <c r="AA1975" t="s">
        <v>118</v>
      </c>
      <c r="AB1975" t="s">
        <v>199</v>
      </c>
      <c r="AC1975" t="s">
        <v>118</v>
      </c>
    </row>
    <row r="1976" spans="1:29">
      <c r="A1976" t="s">
        <v>2393</v>
      </c>
      <c r="B1976" s="2">
        <v>46201</v>
      </c>
      <c r="C1976" t="s">
        <v>30</v>
      </c>
      <c r="D1976" t="s">
        <v>49</v>
      </c>
      <c r="E1976" t="s">
        <v>50</v>
      </c>
      <c r="F1976" t="s">
        <v>51</v>
      </c>
      <c r="G1976" t="s">
        <v>270</v>
      </c>
      <c r="H1976" t="s">
        <v>66</v>
      </c>
      <c r="I1976" t="s">
        <v>341</v>
      </c>
      <c r="J1976" t="s">
        <v>3056</v>
      </c>
      <c r="K1976" t="s">
        <v>56</v>
      </c>
      <c r="L1976" t="s">
        <v>150</v>
      </c>
      <c r="M1976" t="s">
        <v>56</v>
      </c>
      <c r="N1976" t="s">
        <v>196</v>
      </c>
      <c r="O1976" s="4">
        <v>7</v>
      </c>
      <c r="P1976" s="4">
        <v>17</v>
      </c>
      <c r="Q1976" t="s">
        <v>41</v>
      </c>
      <c r="R1976" s="2">
        <v>46201</v>
      </c>
      <c r="S1976" s="4">
        <v>2</v>
      </c>
      <c r="T1976" s="3">
        <v>412000000</v>
      </c>
      <c r="U1976" t="s">
        <v>196</v>
      </c>
      <c r="V1976" t="s">
        <v>70</v>
      </c>
      <c r="W1976" t="s">
        <v>675</v>
      </c>
      <c r="Y1976" t="s">
        <v>198</v>
      </c>
      <c r="Z1976" t="s">
        <v>3181</v>
      </c>
      <c r="AA1976" t="s">
        <v>62</v>
      </c>
      <c r="AB1976" t="s">
        <v>199</v>
      </c>
      <c r="AC1976" t="s">
        <v>62</v>
      </c>
    </row>
    <row r="1977" spans="1:29">
      <c r="A1977" t="s">
        <v>2394</v>
      </c>
      <c r="B1977" s="2">
        <v>46183</v>
      </c>
      <c r="C1977" t="s">
        <v>30</v>
      </c>
      <c r="D1977" t="s">
        <v>99</v>
      </c>
      <c r="E1977" t="s">
        <v>32</v>
      </c>
      <c r="F1977" t="s">
        <v>33</v>
      </c>
      <c r="G1977" t="s">
        <v>34</v>
      </c>
      <c r="H1977" t="s">
        <v>303</v>
      </c>
      <c r="I1977" t="s">
        <v>304</v>
      </c>
      <c r="J1977" t="s">
        <v>3046</v>
      </c>
      <c r="K1977" t="s">
        <v>37</v>
      </c>
      <c r="L1977" t="s">
        <v>150</v>
      </c>
      <c r="M1977" t="s">
        <v>81</v>
      </c>
      <c r="N1977" t="s">
        <v>82</v>
      </c>
      <c r="O1977" s="4">
        <v>1</v>
      </c>
      <c r="P1977" s="4">
        <v>3</v>
      </c>
      <c r="Q1977" t="s">
        <v>142</v>
      </c>
      <c r="R1977" s="2">
        <v>46179</v>
      </c>
      <c r="S1977" s="4">
        <v>24</v>
      </c>
      <c r="T1977" s="3">
        <v>110000000</v>
      </c>
      <c r="U1977" t="s">
        <v>42</v>
      </c>
      <c r="V1977" t="s">
        <v>43</v>
      </c>
      <c r="W1977" t="s">
        <v>84</v>
      </c>
      <c r="Y1977" t="s">
        <v>291</v>
      </c>
      <c r="Z1977" t="s">
        <v>3176</v>
      </c>
      <c r="AA1977" t="s">
        <v>46</v>
      </c>
      <c r="AB1977" t="s">
        <v>47</v>
      </c>
      <c r="AC1977" t="s">
        <v>46</v>
      </c>
    </row>
    <row r="1978" spans="1:29">
      <c r="A1978" t="s">
        <v>2395</v>
      </c>
      <c r="B1978" s="2">
        <v>46193</v>
      </c>
      <c r="C1978" t="s">
        <v>30</v>
      </c>
      <c r="D1978" t="s">
        <v>74</v>
      </c>
      <c r="E1978" t="s">
        <v>172</v>
      </c>
      <c r="F1978" t="s">
        <v>277</v>
      </c>
      <c r="G1978" t="s">
        <v>174</v>
      </c>
      <c r="H1978" t="s">
        <v>317</v>
      </c>
      <c r="I1978" t="s">
        <v>756</v>
      </c>
      <c r="J1978" t="s">
        <v>3152</v>
      </c>
      <c r="K1978" t="s">
        <v>37</v>
      </c>
      <c r="L1978" t="s">
        <v>38</v>
      </c>
      <c r="M1978" t="s">
        <v>129</v>
      </c>
      <c r="N1978" t="s">
        <v>40</v>
      </c>
      <c r="O1978" s="4">
        <v>2</v>
      </c>
      <c r="P1978" s="4">
        <v>4</v>
      </c>
      <c r="Q1978" t="s">
        <v>138</v>
      </c>
      <c r="R1978" s="2">
        <v>46190</v>
      </c>
      <c r="S1978" s="4">
        <v>13</v>
      </c>
      <c r="T1978" s="3">
        <v>167000000</v>
      </c>
      <c r="U1978" t="s">
        <v>42</v>
      </c>
      <c r="V1978" t="s">
        <v>43</v>
      </c>
      <c r="W1978" t="s">
        <v>178</v>
      </c>
      <c r="Y1978" t="s">
        <v>281</v>
      </c>
      <c r="Z1978" t="s">
        <v>3176</v>
      </c>
      <c r="AA1978" t="s">
        <v>181</v>
      </c>
      <c r="AB1978" t="s">
        <v>47</v>
      </c>
      <c r="AC1978" t="s">
        <v>181</v>
      </c>
    </row>
    <row r="1979" spans="1:29">
      <c r="A1979" t="s">
        <v>2396</v>
      </c>
      <c r="B1979" s="2">
        <v>46192</v>
      </c>
      <c r="C1979" t="s">
        <v>30</v>
      </c>
      <c r="D1979" t="s">
        <v>74</v>
      </c>
      <c r="E1979" t="s">
        <v>50</v>
      </c>
      <c r="F1979" t="s">
        <v>89</v>
      </c>
      <c r="G1979" t="s">
        <v>234</v>
      </c>
      <c r="H1979" t="s">
        <v>66</v>
      </c>
      <c r="I1979" t="s">
        <v>67</v>
      </c>
      <c r="J1979" t="s">
        <v>3010</v>
      </c>
      <c r="K1979" t="s">
        <v>37</v>
      </c>
      <c r="L1979" t="s">
        <v>38</v>
      </c>
      <c r="M1979" t="s">
        <v>164</v>
      </c>
      <c r="N1979" t="s">
        <v>57</v>
      </c>
      <c r="O1979" s="4">
        <v>3</v>
      </c>
      <c r="P1979" s="4">
        <v>8</v>
      </c>
      <c r="Q1979" t="s">
        <v>69</v>
      </c>
      <c r="R1979" s="2">
        <v>46182</v>
      </c>
      <c r="S1979" s="4">
        <v>21</v>
      </c>
      <c r="T1979" s="3">
        <v>232000000</v>
      </c>
      <c r="U1979" t="s">
        <v>42</v>
      </c>
      <c r="V1979" t="s">
        <v>59</v>
      </c>
      <c r="W1979" t="s">
        <v>60</v>
      </c>
      <c r="Y1979" t="s">
        <v>158</v>
      </c>
      <c r="Z1979" t="s">
        <v>3177</v>
      </c>
      <c r="AA1979" t="s">
        <v>62</v>
      </c>
      <c r="AB1979" t="s">
        <v>63</v>
      </c>
      <c r="AC1979" t="s">
        <v>62</v>
      </c>
    </row>
    <row r="1980" spans="1:29">
      <c r="A1980" t="s">
        <v>2397</v>
      </c>
      <c r="B1980" s="2">
        <v>46187</v>
      </c>
      <c r="C1980" t="s">
        <v>30</v>
      </c>
      <c r="D1980" t="s">
        <v>99</v>
      </c>
      <c r="E1980" t="s">
        <v>100</v>
      </c>
      <c r="F1980" t="s">
        <v>140</v>
      </c>
      <c r="G1980" t="s">
        <v>147</v>
      </c>
      <c r="H1980" t="s">
        <v>201</v>
      </c>
      <c r="I1980" t="s">
        <v>371</v>
      </c>
      <c r="J1980" t="s">
        <v>3065</v>
      </c>
      <c r="K1980" t="s">
        <v>56</v>
      </c>
      <c r="L1980" t="s">
        <v>80</v>
      </c>
      <c r="M1980" t="s">
        <v>93</v>
      </c>
      <c r="N1980" t="s">
        <v>40</v>
      </c>
      <c r="O1980" s="4">
        <v>2</v>
      </c>
      <c r="P1980" s="4">
        <v>13</v>
      </c>
      <c r="Q1980" t="s">
        <v>83</v>
      </c>
      <c r="R1980" s="2">
        <v>46181</v>
      </c>
      <c r="S1980" s="4">
        <v>22</v>
      </c>
      <c r="T1980" s="3">
        <v>372000000</v>
      </c>
      <c r="U1980" t="s">
        <v>42</v>
      </c>
      <c r="V1980" t="s">
        <v>43</v>
      </c>
      <c r="W1980" t="s">
        <v>44</v>
      </c>
      <c r="Y1980" t="s">
        <v>281</v>
      </c>
      <c r="Z1980" t="s">
        <v>3180</v>
      </c>
      <c r="AA1980" t="s">
        <v>109</v>
      </c>
      <c r="AB1980" t="s">
        <v>193</v>
      </c>
      <c r="AC1980" t="s">
        <v>109</v>
      </c>
    </row>
    <row r="1981" spans="1:29">
      <c r="A1981" t="s">
        <v>2398</v>
      </c>
      <c r="B1981" s="2">
        <v>46182</v>
      </c>
      <c r="C1981" t="s">
        <v>30</v>
      </c>
      <c r="D1981" t="s">
        <v>99</v>
      </c>
      <c r="E1981" t="s">
        <v>152</v>
      </c>
      <c r="F1981" t="s">
        <v>221</v>
      </c>
      <c r="G1981" t="s">
        <v>294</v>
      </c>
      <c r="H1981" t="s">
        <v>283</v>
      </c>
      <c r="I1981" t="s">
        <v>474</v>
      </c>
      <c r="J1981" t="s">
        <v>3098</v>
      </c>
      <c r="K1981" t="s">
        <v>37</v>
      </c>
      <c r="L1981" t="s">
        <v>80</v>
      </c>
      <c r="M1981" t="s">
        <v>39</v>
      </c>
      <c r="N1981" t="s">
        <v>57</v>
      </c>
      <c r="O1981" s="4">
        <v>3</v>
      </c>
      <c r="P1981" s="4">
        <v>12</v>
      </c>
      <c r="Q1981" t="s">
        <v>142</v>
      </c>
      <c r="R1981" s="2">
        <v>46176</v>
      </c>
      <c r="S1981" s="4">
        <v>27</v>
      </c>
      <c r="T1981" s="3">
        <v>141000000</v>
      </c>
      <c r="U1981" t="s">
        <v>42</v>
      </c>
      <c r="V1981" t="s">
        <v>43</v>
      </c>
      <c r="W1981" t="s">
        <v>71</v>
      </c>
      <c r="Y1981" t="s">
        <v>158</v>
      </c>
      <c r="Z1981" t="s">
        <v>3180</v>
      </c>
      <c r="AA1981" t="s">
        <v>159</v>
      </c>
      <c r="AB1981" t="s">
        <v>193</v>
      </c>
      <c r="AC1981" t="s">
        <v>159</v>
      </c>
    </row>
    <row r="1982" spans="1:29">
      <c r="A1982" t="s">
        <v>2399</v>
      </c>
      <c r="B1982" s="2">
        <v>46196</v>
      </c>
      <c r="C1982" t="s">
        <v>30</v>
      </c>
      <c r="D1982" t="s">
        <v>49</v>
      </c>
      <c r="E1982" t="s">
        <v>75</v>
      </c>
      <c r="F1982" t="s">
        <v>76</v>
      </c>
      <c r="G1982" t="s">
        <v>387</v>
      </c>
      <c r="H1982" t="s">
        <v>388</v>
      </c>
      <c r="I1982" t="s">
        <v>630</v>
      </c>
      <c r="J1982" t="s">
        <v>3135</v>
      </c>
      <c r="K1982" t="s">
        <v>92</v>
      </c>
      <c r="L1982" t="s">
        <v>187</v>
      </c>
      <c r="M1982" t="s">
        <v>106</v>
      </c>
      <c r="N1982" t="s">
        <v>94</v>
      </c>
      <c r="O1982" s="4">
        <v>4</v>
      </c>
      <c r="P1982" s="4">
        <v>8</v>
      </c>
      <c r="Q1982" t="s">
        <v>58</v>
      </c>
      <c r="R1982" s="2">
        <v>46194</v>
      </c>
      <c r="S1982" s="4">
        <v>9</v>
      </c>
      <c r="T1982" s="3">
        <v>190000000</v>
      </c>
      <c r="U1982" t="s">
        <v>42</v>
      </c>
      <c r="V1982" t="s">
        <v>59</v>
      </c>
      <c r="W1982" t="s">
        <v>95</v>
      </c>
      <c r="Y1982" t="s">
        <v>268</v>
      </c>
      <c r="Z1982" t="s">
        <v>3179</v>
      </c>
      <c r="AA1982" t="s">
        <v>86</v>
      </c>
      <c r="AB1982" t="s">
        <v>97</v>
      </c>
      <c r="AC1982" t="s">
        <v>86</v>
      </c>
    </row>
    <row r="1983" spans="1:29">
      <c r="A1983" t="s">
        <v>2400</v>
      </c>
      <c r="B1983" s="2">
        <v>46202</v>
      </c>
      <c r="C1983" t="s">
        <v>30</v>
      </c>
      <c r="D1983" t="s">
        <v>31</v>
      </c>
      <c r="E1983" t="s">
        <v>152</v>
      </c>
      <c r="F1983" t="s">
        <v>205</v>
      </c>
      <c r="G1983" t="s">
        <v>206</v>
      </c>
      <c r="H1983" t="s">
        <v>283</v>
      </c>
      <c r="I1983" t="s">
        <v>663</v>
      </c>
      <c r="J1983" t="s">
        <v>3145</v>
      </c>
      <c r="K1983" t="s">
        <v>105</v>
      </c>
      <c r="L1983" t="s">
        <v>150</v>
      </c>
      <c r="M1983" t="s">
        <v>164</v>
      </c>
      <c r="N1983" t="s">
        <v>213</v>
      </c>
      <c r="O1983" s="4">
        <v>6</v>
      </c>
      <c r="P1983" s="4">
        <v>12</v>
      </c>
      <c r="Q1983" t="s">
        <v>107</v>
      </c>
      <c r="R1983" s="2">
        <v>46199</v>
      </c>
      <c r="S1983" s="4">
        <v>4</v>
      </c>
      <c r="T1983" s="3">
        <v>247000000</v>
      </c>
      <c r="U1983" t="s">
        <v>214</v>
      </c>
      <c r="V1983" t="s">
        <v>70</v>
      </c>
      <c r="W1983" t="s">
        <v>215</v>
      </c>
      <c r="Y1983" t="s">
        <v>249</v>
      </c>
      <c r="Z1983" t="s">
        <v>3179</v>
      </c>
      <c r="AA1983" t="s">
        <v>159</v>
      </c>
      <c r="AB1983" t="s">
        <v>97</v>
      </c>
      <c r="AC1983" t="s">
        <v>159</v>
      </c>
    </row>
    <row r="1984" spans="1:29">
      <c r="A1984" t="s">
        <v>2401</v>
      </c>
      <c r="B1984" s="2">
        <v>46200</v>
      </c>
      <c r="C1984" t="s">
        <v>30</v>
      </c>
      <c r="D1984" t="s">
        <v>49</v>
      </c>
      <c r="E1984" t="s">
        <v>111</v>
      </c>
      <c r="F1984" t="s">
        <v>264</v>
      </c>
      <c r="G1984" t="s">
        <v>113</v>
      </c>
      <c r="H1984" t="s">
        <v>114</v>
      </c>
      <c r="I1984" t="s">
        <v>1078</v>
      </c>
      <c r="J1984" t="s">
        <v>3172</v>
      </c>
      <c r="K1984" t="s">
        <v>92</v>
      </c>
      <c r="L1984" t="s">
        <v>68</v>
      </c>
      <c r="M1984" t="s">
        <v>39</v>
      </c>
      <c r="N1984" t="s">
        <v>94</v>
      </c>
      <c r="O1984" s="4">
        <v>4</v>
      </c>
      <c r="P1984" s="4">
        <v>8</v>
      </c>
      <c r="Q1984" t="s">
        <v>107</v>
      </c>
      <c r="R1984" s="2">
        <v>46191</v>
      </c>
      <c r="S1984" s="4">
        <v>12</v>
      </c>
      <c r="T1984" s="3">
        <v>108000000</v>
      </c>
      <c r="U1984" t="s">
        <v>42</v>
      </c>
      <c r="V1984" t="s">
        <v>143</v>
      </c>
      <c r="W1984" t="s">
        <v>188</v>
      </c>
      <c r="X1984" t="s">
        <v>117</v>
      </c>
      <c r="Y1984" t="s">
        <v>108</v>
      </c>
      <c r="Z1984" t="s">
        <v>3179</v>
      </c>
      <c r="AA1984" t="s">
        <v>118</v>
      </c>
      <c r="AB1984" t="s">
        <v>97</v>
      </c>
      <c r="AC1984" t="s">
        <v>118</v>
      </c>
    </row>
    <row r="1985" spans="1:29">
      <c r="A1985" t="s">
        <v>2402</v>
      </c>
      <c r="B1985" s="2">
        <v>46198</v>
      </c>
      <c r="C1985" t="s">
        <v>30</v>
      </c>
      <c r="D1985" t="s">
        <v>49</v>
      </c>
      <c r="E1985" t="s">
        <v>152</v>
      </c>
      <c r="F1985" t="s">
        <v>205</v>
      </c>
      <c r="G1985" t="s">
        <v>294</v>
      </c>
      <c r="H1985" t="s">
        <v>207</v>
      </c>
      <c r="I1985" t="s">
        <v>773</v>
      </c>
      <c r="J1985" t="s">
        <v>3153</v>
      </c>
      <c r="K1985" t="s">
        <v>92</v>
      </c>
      <c r="L1985" t="s">
        <v>55</v>
      </c>
      <c r="M1985" t="s">
        <v>56</v>
      </c>
      <c r="N1985" t="s">
        <v>130</v>
      </c>
      <c r="O1985" s="4">
        <v>5</v>
      </c>
      <c r="P1985" s="4">
        <v>8</v>
      </c>
      <c r="Q1985" t="s">
        <v>142</v>
      </c>
      <c r="R1985" s="2">
        <v>46193</v>
      </c>
      <c r="S1985" s="4">
        <v>10</v>
      </c>
      <c r="T1985" s="3">
        <v>127000000</v>
      </c>
      <c r="U1985" t="s">
        <v>42</v>
      </c>
      <c r="V1985" t="s">
        <v>143</v>
      </c>
      <c r="W1985" t="s">
        <v>144</v>
      </c>
      <c r="Y1985" t="s">
        <v>334</v>
      </c>
      <c r="Z1985" t="s">
        <v>3179</v>
      </c>
      <c r="AA1985" t="s">
        <v>159</v>
      </c>
      <c r="AB1985" t="s">
        <v>97</v>
      </c>
      <c r="AC1985" t="s">
        <v>159</v>
      </c>
    </row>
    <row r="1986" spans="1:29">
      <c r="A1986" t="s">
        <v>2403</v>
      </c>
      <c r="B1986" s="2">
        <v>46178</v>
      </c>
      <c r="C1986" t="s">
        <v>30</v>
      </c>
      <c r="D1986" t="s">
        <v>134</v>
      </c>
      <c r="E1986" t="s">
        <v>32</v>
      </c>
      <c r="F1986" t="s">
        <v>33</v>
      </c>
      <c r="G1986" t="s">
        <v>463</v>
      </c>
      <c r="H1986" t="s">
        <v>258</v>
      </c>
      <c r="I1986" t="s">
        <v>259</v>
      </c>
      <c r="J1986" t="s">
        <v>3036</v>
      </c>
      <c r="K1986" t="s">
        <v>105</v>
      </c>
      <c r="L1986" t="s">
        <v>38</v>
      </c>
      <c r="M1986" t="s">
        <v>93</v>
      </c>
      <c r="N1986" t="s">
        <v>82</v>
      </c>
      <c r="O1986" s="4">
        <v>1</v>
      </c>
      <c r="P1986" s="4">
        <v>1</v>
      </c>
      <c r="Q1986" t="s">
        <v>142</v>
      </c>
      <c r="R1986" s="2">
        <v>46168</v>
      </c>
      <c r="S1986" s="4">
        <v>35</v>
      </c>
      <c r="T1986" s="3">
        <v>341000000</v>
      </c>
      <c r="U1986" t="s">
        <v>42</v>
      </c>
      <c r="V1986" t="s">
        <v>59</v>
      </c>
      <c r="W1986" t="s">
        <v>290</v>
      </c>
      <c r="Y1986" t="s">
        <v>305</v>
      </c>
      <c r="Z1986" t="s">
        <v>3176</v>
      </c>
      <c r="AA1986" t="s">
        <v>46</v>
      </c>
      <c r="AB1986" t="s">
        <v>47</v>
      </c>
      <c r="AC1986" t="s">
        <v>46</v>
      </c>
    </row>
    <row r="1987" spans="1:29">
      <c r="A1987" t="s">
        <v>2404</v>
      </c>
      <c r="B1987" s="2">
        <v>46196</v>
      </c>
      <c r="C1987" t="s">
        <v>30</v>
      </c>
      <c r="D1987" t="s">
        <v>49</v>
      </c>
      <c r="E1987" t="s">
        <v>32</v>
      </c>
      <c r="F1987" t="s">
        <v>33</v>
      </c>
      <c r="G1987" t="s">
        <v>463</v>
      </c>
      <c r="H1987" t="s">
        <v>303</v>
      </c>
      <c r="I1987" t="s">
        <v>1021</v>
      </c>
      <c r="J1987" t="s">
        <v>3171</v>
      </c>
      <c r="K1987" t="s">
        <v>56</v>
      </c>
      <c r="L1987" t="s">
        <v>150</v>
      </c>
      <c r="M1987" t="s">
        <v>129</v>
      </c>
      <c r="N1987" t="s">
        <v>94</v>
      </c>
      <c r="O1987" s="4">
        <v>4</v>
      </c>
      <c r="P1987" s="4">
        <v>3</v>
      </c>
      <c r="Q1987" t="s">
        <v>58</v>
      </c>
      <c r="R1987" s="2">
        <v>46190</v>
      </c>
      <c r="S1987" s="4">
        <v>13</v>
      </c>
      <c r="T1987" s="3">
        <v>394000000</v>
      </c>
      <c r="U1987" t="s">
        <v>42</v>
      </c>
      <c r="V1987" t="s">
        <v>59</v>
      </c>
      <c r="W1987" t="s">
        <v>170</v>
      </c>
      <c r="X1987" t="s">
        <v>117</v>
      </c>
      <c r="Y1987" t="s">
        <v>268</v>
      </c>
      <c r="Z1987" t="s">
        <v>3179</v>
      </c>
      <c r="AA1987" t="s">
        <v>46</v>
      </c>
      <c r="AB1987" t="s">
        <v>97</v>
      </c>
      <c r="AC1987" t="s">
        <v>46</v>
      </c>
    </row>
    <row r="1988" spans="1:29">
      <c r="A1988" t="s">
        <v>2405</v>
      </c>
      <c r="B1988" s="2">
        <v>46176</v>
      </c>
      <c r="C1988" t="s">
        <v>30</v>
      </c>
      <c r="D1988" t="s">
        <v>134</v>
      </c>
      <c r="E1988" t="s">
        <v>100</v>
      </c>
      <c r="F1988" t="s">
        <v>140</v>
      </c>
      <c r="G1988" t="s">
        <v>313</v>
      </c>
      <c r="H1988" t="s">
        <v>201</v>
      </c>
      <c r="I1988" t="s">
        <v>608</v>
      </c>
      <c r="J1988" t="s">
        <v>3132</v>
      </c>
      <c r="K1988" t="s">
        <v>37</v>
      </c>
      <c r="L1988" t="s">
        <v>169</v>
      </c>
      <c r="M1988" t="s">
        <v>81</v>
      </c>
      <c r="N1988" t="s">
        <v>94</v>
      </c>
      <c r="O1988" s="4">
        <v>4</v>
      </c>
      <c r="P1988" s="4">
        <v>13</v>
      </c>
      <c r="Q1988" t="s">
        <v>107</v>
      </c>
      <c r="R1988" s="2">
        <v>46168</v>
      </c>
      <c r="S1988" s="4">
        <v>35</v>
      </c>
      <c r="T1988" s="3">
        <v>219000000</v>
      </c>
      <c r="U1988" t="s">
        <v>260</v>
      </c>
      <c r="V1988" t="s">
        <v>59</v>
      </c>
      <c r="W1988" t="s">
        <v>188</v>
      </c>
      <c r="X1988" t="s">
        <v>381</v>
      </c>
      <c r="Y1988" t="s">
        <v>228</v>
      </c>
      <c r="Z1988" t="s">
        <v>3179</v>
      </c>
      <c r="AA1988" t="s">
        <v>109</v>
      </c>
      <c r="AB1988" t="s">
        <v>97</v>
      </c>
      <c r="AC1988" t="s">
        <v>109</v>
      </c>
    </row>
    <row r="1989" spans="1:29">
      <c r="A1989" t="s">
        <v>2406</v>
      </c>
      <c r="B1989" s="2">
        <v>46198</v>
      </c>
      <c r="C1989" t="s">
        <v>30</v>
      </c>
      <c r="D1989" t="s">
        <v>49</v>
      </c>
      <c r="E1989" t="s">
        <v>75</v>
      </c>
      <c r="F1989" t="s">
        <v>76</v>
      </c>
      <c r="G1989" t="s">
        <v>387</v>
      </c>
      <c r="H1989" t="s">
        <v>388</v>
      </c>
      <c r="I1989" t="s">
        <v>556</v>
      </c>
      <c r="J1989" t="s">
        <v>3118</v>
      </c>
      <c r="K1989" t="s">
        <v>105</v>
      </c>
      <c r="L1989" t="s">
        <v>80</v>
      </c>
      <c r="M1989" t="s">
        <v>106</v>
      </c>
      <c r="N1989" t="s">
        <v>196</v>
      </c>
      <c r="O1989" s="4">
        <v>7</v>
      </c>
      <c r="P1989" s="4">
        <v>15</v>
      </c>
      <c r="Q1989" t="s">
        <v>83</v>
      </c>
      <c r="R1989" s="2">
        <v>46189</v>
      </c>
      <c r="S1989" s="4">
        <v>14</v>
      </c>
      <c r="T1989" s="3">
        <v>329000000</v>
      </c>
      <c r="U1989" t="s">
        <v>196</v>
      </c>
      <c r="V1989" t="s">
        <v>70</v>
      </c>
      <c r="W1989" t="s">
        <v>209</v>
      </c>
      <c r="Y1989" t="s">
        <v>210</v>
      </c>
      <c r="Z1989" t="s">
        <v>3181</v>
      </c>
      <c r="AA1989" t="s">
        <v>86</v>
      </c>
      <c r="AB1989" t="s">
        <v>199</v>
      </c>
      <c r="AC1989" t="s">
        <v>86</v>
      </c>
    </row>
    <row r="1990" spans="1:29">
      <c r="A1990" t="s">
        <v>2407</v>
      </c>
      <c r="B1990" s="2">
        <v>46178</v>
      </c>
      <c r="C1990" t="s">
        <v>30</v>
      </c>
      <c r="D1990" t="s">
        <v>134</v>
      </c>
      <c r="E1990" t="s">
        <v>32</v>
      </c>
      <c r="F1990" t="s">
        <v>33</v>
      </c>
      <c r="G1990" t="s">
        <v>463</v>
      </c>
      <c r="H1990" t="s">
        <v>258</v>
      </c>
      <c r="I1990" t="s">
        <v>1756</v>
      </c>
      <c r="J1990" t="s">
        <v>3175</v>
      </c>
      <c r="K1990" t="s">
        <v>92</v>
      </c>
      <c r="L1990" t="s">
        <v>150</v>
      </c>
      <c r="M1990" t="s">
        <v>39</v>
      </c>
      <c r="N1990" t="s">
        <v>82</v>
      </c>
      <c r="O1990" s="4">
        <v>1</v>
      </c>
      <c r="P1990" s="4">
        <v>1</v>
      </c>
      <c r="Q1990" t="s">
        <v>138</v>
      </c>
      <c r="R1990" s="2">
        <v>46170</v>
      </c>
      <c r="S1990" s="4">
        <v>33</v>
      </c>
      <c r="T1990" s="3">
        <v>108000000</v>
      </c>
      <c r="U1990" t="s">
        <v>42</v>
      </c>
      <c r="V1990" t="s">
        <v>43</v>
      </c>
      <c r="W1990" t="s">
        <v>84</v>
      </c>
      <c r="Y1990" t="s">
        <v>85</v>
      </c>
      <c r="Z1990" t="s">
        <v>3176</v>
      </c>
      <c r="AA1990" t="s">
        <v>46</v>
      </c>
      <c r="AB1990" t="s">
        <v>47</v>
      </c>
      <c r="AC1990" t="s">
        <v>46</v>
      </c>
    </row>
    <row r="1991" spans="1:29">
      <c r="A1991" t="s">
        <v>2408</v>
      </c>
      <c r="B1991" s="2">
        <v>46198</v>
      </c>
      <c r="C1991" t="s">
        <v>30</v>
      </c>
      <c r="D1991" t="s">
        <v>49</v>
      </c>
      <c r="E1991" t="s">
        <v>111</v>
      </c>
      <c r="F1991" t="s">
        <v>264</v>
      </c>
      <c r="G1991" t="s">
        <v>251</v>
      </c>
      <c r="H1991" t="s">
        <v>127</v>
      </c>
      <c r="I1991" t="s">
        <v>461</v>
      </c>
      <c r="J1991" t="s">
        <v>3094</v>
      </c>
      <c r="K1991" t="s">
        <v>37</v>
      </c>
      <c r="L1991" t="s">
        <v>187</v>
      </c>
      <c r="M1991" t="s">
        <v>164</v>
      </c>
      <c r="N1991" t="s">
        <v>82</v>
      </c>
      <c r="O1991" s="4">
        <v>1</v>
      </c>
      <c r="P1991" s="4">
        <v>7</v>
      </c>
      <c r="Q1991" t="s">
        <v>138</v>
      </c>
      <c r="R1991" s="2">
        <v>46194</v>
      </c>
      <c r="S1991" s="4">
        <v>9</v>
      </c>
      <c r="T1991" s="3">
        <v>227000000</v>
      </c>
      <c r="U1991" t="s">
        <v>42</v>
      </c>
      <c r="V1991" t="s">
        <v>43</v>
      </c>
      <c r="W1991" t="s">
        <v>359</v>
      </c>
      <c r="Y1991" t="s">
        <v>330</v>
      </c>
      <c r="Z1991" t="s">
        <v>3178</v>
      </c>
      <c r="AA1991" t="s">
        <v>118</v>
      </c>
      <c r="AB1991" t="s">
        <v>87</v>
      </c>
      <c r="AC1991" t="s">
        <v>118</v>
      </c>
    </row>
    <row r="1992" spans="1:29">
      <c r="A1992" t="s">
        <v>2409</v>
      </c>
      <c r="B1992" s="2">
        <v>46199</v>
      </c>
      <c r="C1992" t="s">
        <v>30</v>
      </c>
      <c r="D1992" t="s">
        <v>49</v>
      </c>
      <c r="E1992" t="s">
        <v>32</v>
      </c>
      <c r="F1992" t="s">
        <v>273</v>
      </c>
      <c r="G1992" t="s">
        <v>34</v>
      </c>
      <c r="H1992" t="s">
        <v>258</v>
      </c>
      <c r="I1992" t="s">
        <v>593</v>
      </c>
      <c r="J1992" t="s">
        <v>3127</v>
      </c>
      <c r="K1992" t="s">
        <v>92</v>
      </c>
      <c r="L1992" t="s">
        <v>68</v>
      </c>
      <c r="M1992" t="s">
        <v>93</v>
      </c>
      <c r="N1992" t="s">
        <v>57</v>
      </c>
      <c r="O1992" s="4">
        <v>3</v>
      </c>
      <c r="P1992" s="4">
        <v>5</v>
      </c>
      <c r="Q1992" t="s">
        <v>138</v>
      </c>
      <c r="R1992" s="2">
        <v>46196</v>
      </c>
      <c r="S1992" s="4">
        <v>7</v>
      </c>
      <c r="T1992" s="3">
        <v>206000000</v>
      </c>
      <c r="U1992" t="s">
        <v>42</v>
      </c>
      <c r="V1992" t="s">
        <v>59</v>
      </c>
      <c r="W1992" t="s">
        <v>60</v>
      </c>
      <c r="Y1992" t="s">
        <v>61</v>
      </c>
      <c r="Z1992" t="s">
        <v>3177</v>
      </c>
      <c r="AA1992" t="s">
        <v>46</v>
      </c>
      <c r="AB1992" t="s">
        <v>63</v>
      </c>
      <c r="AC1992" t="s">
        <v>46</v>
      </c>
    </row>
    <row r="1993" spans="1:29">
      <c r="A1993" t="s">
        <v>2410</v>
      </c>
      <c r="B1993" s="2">
        <v>46200</v>
      </c>
      <c r="C1993" t="s">
        <v>30</v>
      </c>
      <c r="D1993" t="s">
        <v>49</v>
      </c>
      <c r="E1993" t="s">
        <v>111</v>
      </c>
      <c r="F1993" t="s">
        <v>112</v>
      </c>
      <c r="G1993" t="s">
        <v>348</v>
      </c>
      <c r="H1993" t="s">
        <v>114</v>
      </c>
      <c r="I1993" t="s">
        <v>1078</v>
      </c>
      <c r="J1993" t="s">
        <v>3172</v>
      </c>
      <c r="K1993" t="s">
        <v>105</v>
      </c>
      <c r="L1993" t="s">
        <v>150</v>
      </c>
      <c r="M1993" t="s">
        <v>129</v>
      </c>
      <c r="N1993" t="s">
        <v>94</v>
      </c>
      <c r="O1993" s="4">
        <v>4</v>
      </c>
      <c r="P1993" s="4">
        <v>8</v>
      </c>
      <c r="Q1993" t="s">
        <v>69</v>
      </c>
      <c r="R1993" s="2">
        <v>46192</v>
      </c>
      <c r="S1993" s="4">
        <v>11</v>
      </c>
      <c r="T1993" s="3">
        <v>353000000</v>
      </c>
      <c r="U1993" t="s">
        <v>42</v>
      </c>
      <c r="V1993" t="s">
        <v>59</v>
      </c>
      <c r="W1993" t="s">
        <v>188</v>
      </c>
      <c r="Y1993" t="s">
        <v>228</v>
      </c>
      <c r="Z1993" t="s">
        <v>3179</v>
      </c>
      <c r="AA1993" t="s">
        <v>118</v>
      </c>
      <c r="AB1993" t="s">
        <v>97</v>
      </c>
      <c r="AC1993" t="s">
        <v>118</v>
      </c>
    </row>
    <row r="1994" spans="1:29">
      <c r="A1994" t="s">
        <v>2411</v>
      </c>
      <c r="B1994" s="2">
        <v>46188</v>
      </c>
      <c r="C1994" t="s">
        <v>30</v>
      </c>
      <c r="D1994" t="s">
        <v>74</v>
      </c>
      <c r="E1994" t="s">
        <v>32</v>
      </c>
      <c r="F1994" t="s">
        <v>33</v>
      </c>
      <c r="G1994" t="s">
        <v>463</v>
      </c>
      <c r="H1994" t="s">
        <v>258</v>
      </c>
      <c r="I1994" t="s">
        <v>1756</v>
      </c>
      <c r="J1994" t="s">
        <v>3175</v>
      </c>
      <c r="K1994" t="s">
        <v>56</v>
      </c>
      <c r="L1994" t="s">
        <v>150</v>
      </c>
      <c r="M1994" t="s">
        <v>81</v>
      </c>
      <c r="N1994" t="s">
        <v>57</v>
      </c>
      <c r="O1994" s="4">
        <v>3</v>
      </c>
      <c r="P1994" s="4">
        <v>2</v>
      </c>
      <c r="Q1994" t="s">
        <v>41</v>
      </c>
      <c r="R1994" s="2">
        <v>46188</v>
      </c>
      <c r="S1994" s="4">
        <v>15</v>
      </c>
      <c r="T1994" s="3">
        <v>336000000</v>
      </c>
      <c r="U1994" t="s">
        <v>42</v>
      </c>
      <c r="V1994" t="s">
        <v>59</v>
      </c>
      <c r="W1994" t="s">
        <v>203</v>
      </c>
      <c r="Y1994" t="s">
        <v>165</v>
      </c>
      <c r="Z1994" t="s">
        <v>3177</v>
      </c>
      <c r="AA1994" t="s">
        <v>46</v>
      </c>
      <c r="AB1994" t="s">
        <v>63</v>
      </c>
      <c r="AC1994" t="s">
        <v>46</v>
      </c>
    </row>
    <row r="1995" spans="1:29">
      <c r="A1995" t="s">
        <v>2412</v>
      </c>
      <c r="B1995" s="2">
        <v>46183</v>
      </c>
      <c r="C1995" t="s">
        <v>30</v>
      </c>
      <c r="D1995" t="s">
        <v>99</v>
      </c>
      <c r="E1995" t="s">
        <v>111</v>
      </c>
      <c r="F1995" t="s">
        <v>190</v>
      </c>
      <c r="G1995" t="s">
        <v>251</v>
      </c>
      <c r="H1995" t="s">
        <v>114</v>
      </c>
      <c r="I1995" t="s">
        <v>266</v>
      </c>
      <c r="J1995" t="s">
        <v>3037</v>
      </c>
      <c r="K1995" t="s">
        <v>92</v>
      </c>
      <c r="L1995" t="s">
        <v>80</v>
      </c>
      <c r="M1995" t="s">
        <v>56</v>
      </c>
      <c r="N1995" t="s">
        <v>196</v>
      </c>
      <c r="O1995" s="4">
        <v>7</v>
      </c>
      <c r="P1995" s="4">
        <v>8</v>
      </c>
      <c r="Q1995" t="s">
        <v>107</v>
      </c>
      <c r="R1995" s="2">
        <v>46180</v>
      </c>
      <c r="S1995" s="4">
        <v>23</v>
      </c>
      <c r="T1995" s="3">
        <v>126000000</v>
      </c>
      <c r="U1995" t="s">
        <v>564</v>
      </c>
      <c r="V1995" t="s">
        <v>70</v>
      </c>
      <c r="W1995" t="s">
        <v>243</v>
      </c>
      <c r="Y1995" t="s">
        <v>244</v>
      </c>
      <c r="Z1995" t="s">
        <v>3181</v>
      </c>
      <c r="AA1995" t="s">
        <v>118</v>
      </c>
      <c r="AB1995" t="s">
        <v>199</v>
      </c>
      <c r="AC1995" t="s">
        <v>118</v>
      </c>
    </row>
    <row r="1996" spans="1:29">
      <c r="A1996" t="s">
        <v>2413</v>
      </c>
      <c r="B1996" s="2">
        <v>46194</v>
      </c>
      <c r="C1996" t="s">
        <v>30</v>
      </c>
      <c r="D1996" t="s">
        <v>74</v>
      </c>
      <c r="E1996" t="s">
        <v>120</v>
      </c>
      <c r="F1996" t="s">
        <v>167</v>
      </c>
      <c r="G1996" t="s">
        <v>227</v>
      </c>
      <c r="H1996" t="s">
        <v>123</v>
      </c>
      <c r="I1996" t="s">
        <v>838</v>
      </c>
      <c r="J1996" t="s">
        <v>3160</v>
      </c>
      <c r="K1996" t="s">
        <v>56</v>
      </c>
      <c r="L1996" t="s">
        <v>187</v>
      </c>
      <c r="M1996" t="s">
        <v>93</v>
      </c>
      <c r="N1996" t="s">
        <v>82</v>
      </c>
      <c r="O1996" s="4">
        <v>1</v>
      </c>
      <c r="P1996" s="4">
        <v>11</v>
      </c>
      <c r="Q1996" t="s">
        <v>58</v>
      </c>
      <c r="R1996" s="2">
        <v>46193</v>
      </c>
      <c r="S1996" s="4">
        <v>10</v>
      </c>
      <c r="T1996" s="3">
        <v>371000000</v>
      </c>
      <c r="U1996" t="s">
        <v>42</v>
      </c>
      <c r="V1996" t="s">
        <v>43</v>
      </c>
      <c r="W1996" t="s">
        <v>290</v>
      </c>
      <c r="Y1996" t="s">
        <v>305</v>
      </c>
      <c r="Z1996" t="s">
        <v>3178</v>
      </c>
      <c r="AA1996" t="s">
        <v>97</v>
      </c>
      <c r="AB1996" t="s">
        <v>87</v>
      </c>
      <c r="AC1996" t="s">
        <v>97</v>
      </c>
    </row>
    <row r="1997" spans="1:29">
      <c r="A1997" t="s">
        <v>2414</v>
      </c>
      <c r="B1997" s="2">
        <v>46189</v>
      </c>
      <c r="C1997" t="s">
        <v>30</v>
      </c>
      <c r="D1997" t="s">
        <v>74</v>
      </c>
      <c r="E1997" t="s">
        <v>75</v>
      </c>
      <c r="F1997" t="s">
        <v>76</v>
      </c>
      <c r="G1997" t="s">
        <v>162</v>
      </c>
      <c r="H1997" t="s">
        <v>78</v>
      </c>
      <c r="I1997" t="s">
        <v>494</v>
      </c>
      <c r="J1997" t="s">
        <v>3104</v>
      </c>
      <c r="K1997" t="s">
        <v>56</v>
      </c>
      <c r="L1997" t="s">
        <v>38</v>
      </c>
      <c r="M1997" t="s">
        <v>39</v>
      </c>
      <c r="N1997" t="s">
        <v>57</v>
      </c>
      <c r="O1997" s="4">
        <v>3</v>
      </c>
      <c r="P1997" s="4">
        <v>4</v>
      </c>
      <c r="Q1997" t="s">
        <v>41</v>
      </c>
      <c r="R1997" s="2">
        <v>46188</v>
      </c>
      <c r="S1997" s="4">
        <v>15</v>
      </c>
      <c r="T1997" s="3">
        <v>407000000</v>
      </c>
      <c r="U1997" t="s">
        <v>42</v>
      </c>
      <c r="V1997" t="s">
        <v>59</v>
      </c>
      <c r="W1997" t="s">
        <v>203</v>
      </c>
      <c r="Y1997" t="s">
        <v>165</v>
      </c>
      <c r="Z1997" t="s">
        <v>3177</v>
      </c>
      <c r="AA1997" t="s">
        <v>86</v>
      </c>
      <c r="AB1997" t="s">
        <v>63</v>
      </c>
      <c r="AC1997" t="s">
        <v>86</v>
      </c>
    </row>
    <row r="1998" spans="1:29">
      <c r="A1998" t="s">
        <v>2415</v>
      </c>
      <c r="B1998" s="2">
        <v>46192</v>
      </c>
      <c r="C1998" t="s">
        <v>30</v>
      </c>
      <c r="D1998" t="s">
        <v>74</v>
      </c>
      <c r="E1998" t="s">
        <v>75</v>
      </c>
      <c r="F1998" t="s">
        <v>161</v>
      </c>
      <c r="G1998" t="s">
        <v>77</v>
      </c>
      <c r="H1998" t="s">
        <v>78</v>
      </c>
      <c r="I1998" t="s">
        <v>501</v>
      </c>
      <c r="J1998" t="s">
        <v>3106</v>
      </c>
      <c r="K1998" t="s">
        <v>56</v>
      </c>
      <c r="L1998" t="s">
        <v>187</v>
      </c>
      <c r="M1998" t="s">
        <v>106</v>
      </c>
      <c r="N1998" t="s">
        <v>40</v>
      </c>
      <c r="O1998" s="4">
        <v>2</v>
      </c>
      <c r="P1998" s="4">
        <v>4</v>
      </c>
      <c r="Q1998" t="s">
        <v>69</v>
      </c>
      <c r="R1998" s="2">
        <v>46192</v>
      </c>
      <c r="S1998" s="4">
        <v>11</v>
      </c>
      <c r="T1998" s="3">
        <v>353000000</v>
      </c>
      <c r="U1998" t="s">
        <v>42</v>
      </c>
      <c r="V1998" t="s">
        <v>43</v>
      </c>
      <c r="W1998" t="s">
        <v>298</v>
      </c>
      <c r="Y1998" t="s">
        <v>281</v>
      </c>
      <c r="Z1998" t="s">
        <v>3176</v>
      </c>
      <c r="AA1998" t="s">
        <v>86</v>
      </c>
      <c r="AB1998" t="s">
        <v>47</v>
      </c>
      <c r="AC1998" t="s">
        <v>86</v>
      </c>
    </row>
    <row r="1999" spans="1:29">
      <c r="A1999" t="s">
        <v>2416</v>
      </c>
      <c r="B1999" s="2">
        <v>46183</v>
      </c>
      <c r="C1999" t="s">
        <v>30</v>
      </c>
      <c r="D1999" t="s">
        <v>99</v>
      </c>
      <c r="E1999" t="s">
        <v>100</v>
      </c>
      <c r="F1999" t="s">
        <v>140</v>
      </c>
      <c r="G1999" t="s">
        <v>147</v>
      </c>
      <c r="H1999" t="s">
        <v>201</v>
      </c>
      <c r="I1999" t="s">
        <v>416</v>
      </c>
      <c r="J1999" t="s">
        <v>3078</v>
      </c>
      <c r="K1999" t="s">
        <v>37</v>
      </c>
      <c r="L1999" t="s">
        <v>187</v>
      </c>
      <c r="M1999" t="s">
        <v>106</v>
      </c>
      <c r="N1999" t="s">
        <v>57</v>
      </c>
      <c r="O1999" s="4">
        <v>3</v>
      </c>
      <c r="P1999" s="4">
        <v>10</v>
      </c>
      <c r="Q1999" t="s">
        <v>41</v>
      </c>
      <c r="R1999" s="2">
        <v>46177</v>
      </c>
      <c r="S1999" s="4">
        <v>26</v>
      </c>
      <c r="T1999" s="3">
        <v>197000000</v>
      </c>
      <c r="U1999" t="s">
        <v>42</v>
      </c>
      <c r="V1999" t="s">
        <v>43</v>
      </c>
      <c r="W1999" t="s">
        <v>60</v>
      </c>
      <c r="Y1999" t="s">
        <v>165</v>
      </c>
      <c r="Z1999" t="s">
        <v>3177</v>
      </c>
      <c r="AA1999" t="s">
        <v>109</v>
      </c>
      <c r="AB1999" t="s">
        <v>63</v>
      </c>
      <c r="AC1999" t="s">
        <v>109</v>
      </c>
    </row>
    <row r="2000" spans="1:29">
      <c r="A2000" t="s">
        <v>2417</v>
      </c>
      <c r="B2000" s="2">
        <v>46189</v>
      </c>
      <c r="C2000" t="s">
        <v>30</v>
      </c>
      <c r="D2000" t="s">
        <v>74</v>
      </c>
      <c r="E2000" t="s">
        <v>120</v>
      </c>
      <c r="F2000" t="s">
        <v>246</v>
      </c>
      <c r="G2000" t="s">
        <v>224</v>
      </c>
      <c r="H2000" t="s">
        <v>136</v>
      </c>
      <c r="I2000" t="s">
        <v>247</v>
      </c>
      <c r="J2000" t="s">
        <v>3035</v>
      </c>
      <c r="K2000" t="s">
        <v>105</v>
      </c>
      <c r="L2000" t="s">
        <v>55</v>
      </c>
      <c r="M2000" t="s">
        <v>164</v>
      </c>
      <c r="N2000" t="s">
        <v>82</v>
      </c>
      <c r="O2000" s="4">
        <v>1</v>
      </c>
      <c r="P2000" s="4">
        <v>12</v>
      </c>
      <c r="Q2000" t="s">
        <v>107</v>
      </c>
      <c r="R2000" s="2">
        <v>46180</v>
      </c>
      <c r="S2000" s="4">
        <v>23</v>
      </c>
      <c r="T2000" s="3">
        <v>106000000</v>
      </c>
      <c r="U2000" t="s">
        <v>42</v>
      </c>
      <c r="V2000" t="s">
        <v>43</v>
      </c>
      <c r="W2000" t="s">
        <v>404</v>
      </c>
      <c r="Y2000" t="s">
        <v>291</v>
      </c>
      <c r="Z2000" t="s">
        <v>3180</v>
      </c>
      <c r="AA2000" t="s">
        <v>97</v>
      </c>
      <c r="AB2000" t="s">
        <v>193</v>
      </c>
      <c r="AC2000" t="s">
        <v>97</v>
      </c>
    </row>
    <row r="2001" spans="1:29">
      <c r="A2001" t="s">
        <v>2418</v>
      </c>
      <c r="B2001" s="2">
        <v>46197</v>
      </c>
      <c r="C2001" t="s">
        <v>30</v>
      </c>
      <c r="D2001" t="s">
        <v>49</v>
      </c>
      <c r="E2001" t="s">
        <v>50</v>
      </c>
      <c r="F2001" t="s">
        <v>51</v>
      </c>
      <c r="G2001" t="s">
        <v>52</v>
      </c>
      <c r="H2001" t="s">
        <v>90</v>
      </c>
      <c r="I2001" t="s">
        <v>497</v>
      </c>
      <c r="J2001" t="s">
        <v>3105</v>
      </c>
      <c r="K2001" t="s">
        <v>56</v>
      </c>
      <c r="L2001" t="s">
        <v>187</v>
      </c>
      <c r="M2001" t="s">
        <v>81</v>
      </c>
      <c r="N2001" t="s">
        <v>57</v>
      </c>
      <c r="O2001" s="4">
        <v>3</v>
      </c>
      <c r="P2001" s="4">
        <v>9</v>
      </c>
      <c r="Q2001" t="s">
        <v>138</v>
      </c>
      <c r="R2001" s="2">
        <v>46192</v>
      </c>
      <c r="S2001" s="4">
        <v>11</v>
      </c>
      <c r="T2001" s="3">
        <v>424000000</v>
      </c>
      <c r="U2001" t="s">
        <v>260</v>
      </c>
      <c r="V2001" t="s">
        <v>59</v>
      </c>
      <c r="W2001" t="s">
        <v>157</v>
      </c>
      <c r="X2001" t="s">
        <v>422</v>
      </c>
      <c r="Y2001" t="s">
        <v>61</v>
      </c>
      <c r="Z2001" t="s">
        <v>3177</v>
      </c>
      <c r="AA2001" t="s">
        <v>62</v>
      </c>
      <c r="AB2001" t="s">
        <v>63</v>
      </c>
      <c r="AC2001" t="s">
        <v>62</v>
      </c>
    </row>
    <row r="2002" spans="1:29">
      <c r="A2002" t="s">
        <v>2419</v>
      </c>
      <c r="B2002" s="2">
        <v>46200</v>
      </c>
      <c r="C2002" t="s">
        <v>30</v>
      </c>
      <c r="D2002" t="s">
        <v>49</v>
      </c>
      <c r="E2002" t="s">
        <v>100</v>
      </c>
      <c r="F2002" t="s">
        <v>101</v>
      </c>
      <c r="G2002" t="s">
        <v>313</v>
      </c>
      <c r="H2002" t="s">
        <v>103</v>
      </c>
      <c r="I2002" t="s">
        <v>994</v>
      </c>
      <c r="J2002" t="s">
        <v>3169</v>
      </c>
      <c r="K2002" t="s">
        <v>37</v>
      </c>
      <c r="L2002" t="s">
        <v>187</v>
      </c>
      <c r="M2002" t="s">
        <v>93</v>
      </c>
      <c r="N2002" t="s">
        <v>130</v>
      </c>
      <c r="O2002" s="4">
        <v>5</v>
      </c>
      <c r="P2002" s="4">
        <v>14</v>
      </c>
      <c r="Q2002" t="s">
        <v>107</v>
      </c>
      <c r="R2002" s="2">
        <v>46197</v>
      </c>
      <c r="S2002" s="4">
        <v>6</v>
      </c>
      <c r="T2002" s="3">
        <v>73000000</v>
      </c>
      <c r="U2002" t="s">
        <v>42</v>
      </c>
      <c r="V2002" t="s">
        <v>59</v>
      </c>
      <c r="W2002" t="s">
        <v>355</v>
      </c>
      <c r="Y2002" t="s">
        <v>254</v>
      </c>
      <c r="Z2002" t="s">
        <v>3179</v>
      </c>
      <c r="AA2002" t="s">
        <v>109</v>
      </c>
      <c r="AB2002" t="s">
        <v>97</v>
      </c>
      <c r="AC2002" t="s">
        <v>109</v>
      </c>
    </row>
    <row r="2003" spans="1:29">
      <c r="A2003" t="s">
        <v>2420</v>
      </c>
      <c r="B2003" s="2">
        <v>46178</v>
      </c>
      <c r="C2003" t="s">
        <v>30</v>
      </c>
      <c r="D2003" t="s">
        <v>134</v>
      </c>
      <c r="E2003" t="s">
        <v>75</v>
      </c>
      <c r="F2003" t="s">
        <v>183</v>
      </c>
      <c r="G2003" t="s">
        <v>184</v>
      </c>
      <c r="H2003" t="s">
        <v>185</v>
      </c>
      <c r="I2003" t="s">
        <v>354</v>
      </c>
      <c r="J2003" t="s">
        <v>3061</v>
      </c>
      <c r="K2003" t="s">
        <v>37</v>
      </c>
      <c r="L2003" t="s">
        <v>55</v>
      </c>
      <c r="M2003" t="s">
        <v>129</v>
      </c>
      <c r="N2003" t="s">
        <v>196</v>
      </c>
      <c r="O2003" s="4">
        <v>7</v>
      </c>
      <c r="P2003" s="4">
        <v>9</v>
      </c>
      <c r="Q2003" t="s">
        <v>83</v>
      </c>
      <c r="R2003" s="2">
        <v>46173</v>
      </c>
      <c r="S2003" s="4">
        <v>30</v>
      </c>
      <c r="T2003" s="3">
        <v>113000000</v>
      </c>
      <c r="U2003" t="s">
        <v>564</v>
      </c>
      <c r="V2003" t="s">
        <v>70</v>
      </c>
      <c r="W2003" t="s">
        <v>209</v>
      </c>
      <c r="Y2003" t="s">
        <v>210</v>
      </c>
      <c r="Z2003" t="s">
        <v>3181</v>
      </c>
      <c r="AA2003" t="s">
        <v>86</v>
      </c>
      <c r="AB2003" t="s">
        <v>199</v>
      </c>
      <c r="AC2003" t="s">
        <v>86</v>
      </c>
    </row>
    <row r="2004" spans="1:29">
      <c r="A2004" t="s">
        <v>2421</v>
      </c>
      <c r="B2004" s="2">
        <v>46201</v>
      </c>
      <c r="C2004" t="s">
        <v>30</v>
      </c>
      <c r="D2004" t="s">
        <v>49</v>
      </c>
      <c r="E2004" t="s">
        <v>50</v>
      </c>
      <c r="F2004" t="s">
        <v>89</v>
      </c>
      <c r="G2004" t="s">
        <v>234</v>
      </c>
      <c r="H2004" t="s">
        <v>90</v>
      </c>
      <c r="I2004" t="s">
        <v>740</v>
      </c>
      <c r="J2004" t="s">
        <v>3151</v>
      </c>
      <c r="K2004" t="s">
        <v>105</v>
      </c>
      <c r="L2004" t="s">
        <v>68</v>
      </c>
      <c r="M2004" t="s">
        <v>106</v>
      </c>
      <c r="N2004" t="s">
        <v>196</v>
      </c>
      <c r="O2004" s="4">
        <v>7</v>
      </c>
      <c r="P2004" s="4">
        <v>17</v>
      </c>
      <c r="Q2004" t="s">
        <v>138</v>
      </c>
      <c r="R2004" s="2">
        <v>46201</v>
      </c>
      <c r="S2004" s="4">
        <v>2</v>
      </c>
      <c r="T2004" s="3">
        <v>90000000</v>
      </c>
      <c r="U2004" t="s">
        <v>196</v>
      </c>
      <c r="V2004" t="s">
        <v>70</v>
      </c>
      <c r="W2004" t="s">
        <v>243</v>
      </c>
      <c r="Y2004" t="s">
        <v>210</v>
      </c>
      <c r="Z2004" t="s">
        <v>3181</v>
      </c>
      <c r="AA2004" t="s">
        <v>62</v>
      </c>
      <c r="AB2004" t="s">
        <v>199</v>
      </c>
      <c r="AC2004" t="s">
        <v>62</v>
      </c>
    </row>
    <row r="2005" spans="1:29">
      <c r="A2005" t="s">
        <v>2422</v>
      </c>
      <c r="B2005" s="2">
        <v>46183</v>
      </c>
      <c r="C2005" t="s">
        <v>30</v>
      </c>
      <c r="D2005" t="s">
        <v>99</v>
      </c>
      <c r="E2005" t="s">
        <v>75</v>
      </c>
      <c r="F2005" t="s">
        <v>76</v>
      </c>
      <c r="G2005" t="s">
        <v>77</v>
      </c>
      <c r="H2005" t="s">
        <v>185</v>
      </c>
      <c r="I2005" t="s">
        <v>721</v>
      </c>
      <c r="J2005" t="s">
        <v>3147</v>
      </c>
      <c r="K2005" t="s">
        <v>56</v>
      </c>
      <c r="L2005" t="s">
        <v>38</v>
      </c>
      <c r="M2005" t="s">
        <v>164</v>
      </c>
      <c r="N2005" t="s">
        <v>130</v>
      </c>
      <c r="O2005" s="4">
        <v>5</v>
      </c>
      <c r="P2005" s="4">
        <v>9</v>
      </c>
      <c r="Q2005" t="s">
        <v>69</v>
      </c>
      <c r="R2005" s="2">
        <v>46179</v>
      </c>
      <c r="S2005" s="4">
        <v>24</v>
      </c>
      <c r="T2005" s="3">
        <v>276000000</v>
      </c>
      <c r="U2005" t="s">
        <v>42</v>
      </c>
      <c r="V2005" t="s">
        <v>70</v>
      </c>
      <c r="W2005" t="s">
        <v>252</v>
      </c>
      <c r="Y2005" t="s">
        <v>132</v>
      </c>
      <c r="Z2005" t="s">
        <v>3179</v>
      </c>
      <c r="AA2005" t="s">
        <v>86</v>
      </c>
      <c r="AB2005" t="s">
        <v>97</v>
      </c>
      <c r="AC2005" t="s">
        <v>86</v>
      </c>
    </row>
    <row r="2006" spans="1:29">
      <c r="A2006" t="s">
        <v>2423</v>
      </c>
      <c r="B2006" s="2">
        <v>46187</v>
      </c>
      <c r="C2006" t="s">
        <v>30</v>
      </c>
      <c r="D2006" t="s">
        <v>99</v>
      </c>
      <c r="E2006" t="s">
        <v>111</v>
      </c>
      <c r="F2006" t="s">
        <v>190</v>
      </c>
      <c r="G2006" t="s">
        <v>265</v>
      </c>
      <c r="H2006" t="s">
        <v>127</v>
      </c>
      <c r="I2006" t="s">
        <v>128</v>
      </c>
      <c r="J2006" t="s">
        <v>3016</v>
      </c>
      <c r="K2006" t="s">
        <v>37</v>
      </c>
      <c r="L2006" t="s">
        <v>187</v>
      </c>
      <c r="M2006" t="s">
        <v>56</v>
      </c>
      <c r="N2006" t="s">
        <v>40</v>
      </c>
      <c r="O2006" s="4">
        <v>2</v>
      </c>
      <c r="P2006" s="4">
        <v>7</v>
      </c>
      <c r="Q2006" t="s">
        <v>41</v>
      </c>
      <c r="R2006" s="2">
        <v>46180</v>
      </c>
      <c r="S2006" s="4">
        <v>23</v>
      </c>
      <c r="T2006" s="3">
        <v>186000000</v>
      </c>
      <c r="U2006" t="s">
        <v>42</v>
      </c>
      <c r="V2006" t="s">
        <v>59</v>
      </c>
      <c r="W2006" t="s">
        <v>298</v>
      </c>
      <c r="Y2006" t="s">
        <v>45</v>
      </c>
      <c r="Z2006" t="s">
        <v>3178</v>
      </c>
      <c r="AA2006" t="s">
        <v>118</v>
      </c>
      <c r="AB2006" t="s">
        <v>87</v>
      </c>
      <c r="AC2006" t="s">
        <v>118</v>
      </c>
    </row>
    <row r="2007" spans="1:29">
      <c r="A2007" t="s">
        <v>2424</v>
      </c>
      <c r="B2007" s="2">
        <v>46194</v>
      </c>
      <c r="C2007" t="s">
        <v>30</v>
      </c>
      <c r="D2007" t="s">
        <v>74</v>
      </c>
      <c r="E2007" t="s">
        <v>32</v>
      </c>
      <c r="F2007" t="s">
        <v>273</v>
      </c>
      <c r="G2007" t="s">
        <v>218</v>
      </c>
      <c r="H2007" t="s">
        <v>35</v>
      </c>
      <c r="I2007" t="s">
        <v>862</v>
      </c>
      <c r="J2007" t="s">
        <v>3164</v>
      </c>
      <c r="K2007" t="s">
        <v>56</v>
      </c>
      <c r="L2007" t="s">
        <v>55</v>
      </c>
      <c r="M2007" t="s">
        <v>129</v>
      </c>
      <c r="N2007" t="s">
        <v>40</v>
      </c>
      <c r="O2007" s="4">
        <v>2</v>
      </c>
      <c r="P2007" s="4">
        <v>3</v>
      </c>
      <c r="Q2007" t="s">
        <v>58</v>
      </c>
      <c r="R2007" s="2">
        <v>46187</v>
      </c>
      <c r="S2007" s="4">
        <v>16</v>
      </c>
      <c r="T2007" s="3">
        <v>271000000</v>
      </c>
      <c r="U2007" t="s">
        <v>42</v>
      </c>
      <c r="V2007" t="s">
        <v>59</v>
      </c>
      <c r="W2007" t="s">
        <v>298</v>
      </c>
      <c r="Y2007" t="s">
        <v>309</v>
      </c>
      <c r="Z2007" t="s">
        <v>3176</v>
      </c>
      <c r="AA2007" t="s">
        <v>46</v>
      </c>
      <c r="AB2007" t="s">
        <v>47</v>
      </c>
      <c r="AC2007" t="s">
        <v>46</v>
      </c>
    </row>
    <row r="2008" spans="1:29">
      <c r="A2008" t="s">
        <v>2425</v>
      </c>
      <c r="B2008" s="2">
        <v>46194</v>
      </c>
      <c r="C2008" t="s">
        <v>30</v>
      </c>
      <c r="D2008" t="s">
        <v>74</v>
      </c>
      <c r="E2008" t="s">
        <v>120</v>
      </c>
      <c r="F2008" t="s">
        <v>246</v>
      </c>
      <c r="G2008" t="s">
        <v>420</v>
      </c>
      <c r="H2008" t="s">
        <v>300</v>
      </c>
      <c r="I2008" t="s">
        <v>400</v>
      </c>
      <c r="J2008" t="s">
        <v>3074</v>
      </c>
      <c r="K2008" t="s">
        <v>116</v>
      </c>
      <c r="L2008" t="s">
        <v>169</v>
      </c>
      <c r="M2008" t="s">
        <v>164</v>
      </c>
      <c r="N2008" t="s">
        <v>130</v>
      </c>
      <c r="O2008" s="4">
        <v>5</v>
      </c>
      <c r="P2008" s="4">
        <v>13</v>
      </c>
      <c r="Q2008" t="s">
        <v>138</v>
      </c>
      <c r="R2008" s="2">
        <v>46191</v>
      </c>
      <c r="S2008" s="4">
        <v>12</v>
      </c>
      <c r="T2008" s="3">
        <v>42000000</v>
      </c>
      <c r="U2008" t="s">
        <v>42</v>
      </c>
      <c r="V2008" t="s">
        <v>143</v>
      </c>
      <c r="W2008" t="s">
        <v>252</v>
      </c>
      <c r="Y2008" t="s">
        <v>132</v>
      </c>
      <c r="Z2008" t="s">
        <v>3179</v>
      </c>
      <c r="AA2008" t="s">
        <v>97</v>
      </c>
      <c r="AB2008" t="s">
        <v>97</v>
      </c>
      <c r="AC2008" t="s">
        <v>97</v>
      </c>
    </row>
    <row r="2009" spans="1:29">
      <c r="A2009" t="s">
        <v>2426</v>
      </c>
      <c r="B2009" s="2">
        <v>46189</v>
      </c>
      <c r="C2009" t="s">
        <v>30</v>
      </c>
      <c r="D2009" t="s">
        <v>74</v>
      </c>
      <c r="E2009" t="s">
        <v>75</v>
      </c>
      <c r="F2009" t="s">
        <v>76</v>
      </c>
      <c r="G2009" t="s">
        <v>77</v>
      </c>
      <c r="H2009" t="s">
        <v>185</v>
      </c>
      <c r="I2009" t="s">
        <v>542</v>
      </c>
      <c r="J2009" t="s">
        <v>3115</v>
      </c>
      <c r="K2009" t="s">
        <v>105</v>
      </c>
      <c r="L2009" t="s">
        <v>55</v>
      </c>
      <c r="M2009" t="s">
        <v>93</v>
      </c>
      <c r="N2009" t="s">
        <v>57</v>
      </c>
      <c r="O2009" s="4">
        <v>3</v>
      </c>
      <c r="P2009" s="4">
        <v>6</v>
      </c>
      <c r="Q2009" t="s">
        <v>69</v>
      </c>
      <c r="R2009" s="2">
        <v>46182</v>
      </c>
      <c r="S2009" s="4">
        <v>21</v>
      </c>
      <c r="T2009" s="3">
        <v>288000000</v>
      </c>
      <c r="U2009" t="s">
        <v>42</v>
      </c>
      <c r="V2009" t="s">
        <v>59</v>
      </c>
      <c r="W2009" t="s">
        <v>157</v>
      </c>
      <c r="Y2009" t="s">
        <v>165</v>
      </c>
      <c r="Z2009" t="s">
        <v>3177</v>
      </c>
      <c r="AA2009" t="s">
        <v>86</v>
      </c>
      <c r="AB2009" t="s">
        <v>63</v>
      </c>
      <c r="AC2009" t="s">
        <v>86</v>
      </c>
    </row>
    <row r="2010" spans="1:29">
      <c r="A2010" t="s">
        <v>2427</v>
      </c>
      <c r="B2010" s="2">
        <v>46198</v>
      </c>
      <c r="C2010" t="s">
        <v>30</v>
      </c>
      <c r="D2010" t="s">
        <v>49</v>
      </c>
      <c r="E2010" t="s">
        <v>32</v>
      </c>
      <c r="F2010" t="s">
        <v>33</v>
      </c>
      <c r="G2010" t="s">
        <v>34</v>
      </c>
      <c r="H2010" t="s">
        <v>258</v>
      </c>
      <c r="I2010" t="s">
        <v>1756</v>
      </c>
      <c r="J2010" t="s">
        <v>3175</v>
      </c>
      <c r="K2010" t="s">
        <v>92</v>
      </c>
      <c r="L2010" t="s">
        <v>38</v>
      </c>
      <c r="M2010" t="s">
        <v>56</v>
      </c>
      <c r="N2010" t="s">
        <v>57</v>
      </c>
      <c r="O2010" s="4">
        <v>3</v>
      </c>
      <c r="P2010" s="4">
        <v>4</v>
      </c>
      <c r="Q2010" t="s">
        <v>41</v>
      </c>
      <c r="R2010" s="2">
        <v>46198</v>
      </c>
      <c r="S2010" s="4">
        <v>5</v>
      </c>
      <c r="T2010" s="3">
        <v>185000000</v>
      </c>
      <c r="U2010" t="s">
        <v>42</v>
      </c>
      <c r="V2010" t="s">
        <v>59</v>
      </c>
      <c r="W2010" t="s">
        <v>203</v>
      </c>
      <c r="Y2010" t="s">
        <v>158</v>
      </c>
      <c r="Z2010" t="s">
        <v>3177</v>
      </c>
      <c r="AA2010" t="s">
        <v>46</v>
      </c>
      <c r="AB2010" t="s">
        <v>63</v>
      </c>
      <c r="AC2010" t="s">
        <v>46</v>
      </c>
    </row>
    <row r="2011" spans="1:29">
      <c r="A2011" t="s">
        <v>2428</v>
      </c>
      <c r="B2011" s="2">
        <v>46190</v>
      </c>
      <c r="C2011" t="s">
        <v>30</v>
      </c>
      <c r="D2011" t="s">
        <v>74</v>
      </c>
      <c r="E2011" t="s">
        <v>32</v>
      </c>
      <c r="F2011" t="s">
        <v>33</v>
      </c>
      <c r="G2011" t="s">
        <v>361</v>
      </c>
      <c r="H2011" t="s">
        <v>303</v>
      </c>
      <c r="I2011" t="s">
        <v>1021</v>
      </c>
      <c r="J2011" t="s">
        <v>3171</v>
      </c>
      <c r="K2011" t="s">
        <v>56</v>
      </c>
      <c r="L2011" t="s">
        <v>80</v>
      </c>
      <c r="M2011" t="s">
        <v>93</v>
      </c>
      <c r="N2011" t="s">
        <v>40</v>
      </c>
      <c r="O2011" s="4">
        <v>2</v>
      </c>
      <c r="P2011" s="4">
        <v>5</v>
      </c>
      <c r="Q2011" t="s">
        <v>107</v>
      </c>
      <c r="R2011" s="2">
        <v>46190</v>
      </c>
      <c r="S2011" s="4">
        <v>13</v>
      </c>
      <c r="T2011" s="3">
        <v>421000000</v>
      </c>
      <c r="U2011" t="s">
        <v>42</v>
      </c>
      <c r="V2011" t="s">
        <v>59</v>
      </c>
      <c r="W2011" t="s">
        <v>298</v>
      </c>
      <c r="Y2011" t="s">
        <v>180</v>
      </c>
      <c r="Z2011" t="s">
        <v>3178</v>
      </c>
      <c r="AA2011" t="s">
        <v>46</v>
      </c>
      <c r="AB2011" t="s">
        <v>87</v>
      </c>
      <c r="AC2011" t="s">
        <v>46</v>
      </c>
    </row>
    <row r="2012" spans="1:29">
      <c r="A2012" t="s">
        <v>2429</v>
      </c>
      <c r="B2012" s="2">
        <v>46183</v>
      </c>
      <c r="C2012" t="s">
        <v>30</v>
      </c>
      <c r="D2012" t="s">
        <v>99</v>
      </c>
      <c r="E2012" t="s">
        <v>50</v>
      </c>
      <c r="F2012" t="s">
        <v>89</v>
      </c>
      <c r="G2012" t="s">
        <v>65</v>
      </c>
      <c r="H2012" t="s">
        <v>53</v>
      </c>
      <c r="I2012" t="s">
        <v>235</v>
      </c>
      <c r="J2012" t="s">
        <v>3032</v>
      </c>
      <c r="K2012" t="s">
        <v>37</v>
      </c>
      <c r="L2012" t="s">
        <v>38</v>
      </c>
      <c r="M2012" t="s">
        <v>39</v>
      </c>
      <c r="N2012" t="s">
        <v>94</v>
      </c>
      <c r="O2012" s="4">
        <v>4</v>
      </c>
      <c r="P2012" s="4">
        <v>9</v>
      </c>
      <c r="Q2012" t="s">
        <v>138</v>
      </c>
      <c r="R2012" s="2">
        <v>46181</v>
      </c>
      <c r="S2012" s="4">
        <v>22</v>
      </c>
      <c r="T2012" s="3">
        <v>217000000</v>
      </c>
      <c r="U2012" t="s">
        <v>42</v>
      </c>
      <c r="V2012" t="s">
        <v>143</v>
      </c>
      <c r="W2012" t="s">
        <v>267</v>
      </c>
      <c r="Y2012" t="s">
        <v>96</v>
      </c>
      <c r="Z2012" t="s">
        <v>3179</v>
      </c>
      <c r="AA2012" t="s">
        <v>62</v>
      </c>
      <c r="AB2012" t="s">
        <v>97</v>
      </c>
      <c r="AC2012" t="s">
        <v>62</v>
      </c>
    </row>
    <row r="2013" spans="1:29">
      <c r="A2013" t="s">
        <v>2430</v>
      </c>
      <c r="B2013" s="2">
        <v>46202</v>
      </c>
      <c r="C2013" t="s">
        <v>30</v>
      </c>
      <c r="D2013" t="s">
        <v>31</v>
      </c>
      <c r="E2013" t="s">
        <v>50</v>
      </c>
      <c r="F2013" t="s">
        <v>51</v>
      </c>
      <c r="G2013" t="s">
        <v>52</v>
      </c>
      <c r="H2013" t="s">
        <v>66</v>
      </c>
      <c r="I2013" t="s">
        <v>902</v>
      </c>
      <c r="J2013" t="s">
        <v>3165</v>
      </c>
      <c r="K2013" t="s">
        <v>56</v>
      </c>
      <c r="L2013" t="s">
        <v>187</v>
      </c>
      <c r="M2013" t="s">
        <v>39</v>
      </c>
      <c r="N2013" t="s">
        <v>57</v>
      </c>
      <c r="O2013" s="4">
        <v>3</v>
      </c>
      <c r="P2013" s="4">
        <v>8</v>
      </c>
      <c r="Q2013" t="s">
        <v>41</v>
      </c>
      <c r="R2013" s="2">
        <v>46199</v>
      </c>
      <c r="S2013" s="4">
        <v>4</v>
      </c>
      <c r="T2013" s="3">
        <v>190000000</v>
      </c>
      <c r="U2013" t="s">
        <v>42</v>
      </c>
      <c r="V2013" t="s">
        <v>70</v>
      </c>
      <c r="W2013" t="s">
        <v>157</v>
      </c>
      <c r="Y2013" t="s">
        <v>158</v>
      </c>
      <c r="Z2013" t="s">
        <v>3177</v>
      </c>
      <c r="AA2013" t="s">
        <v>62</v>
      </c>
      <c r="AB2013" t="s">
        <v>63</v>
      </c>
      <c r="AC2013" t="s">
        <v>62</v>
      </c>
    </row>
    <row r="2014" spans="1:29">
      <c r="A2014" t="s">
        <v>2431</v>
      </c>
      <c r="B2014" s="2">
        <v>46201</v>
      </c>
      <c r="C2014" t="s">
        <v>30</v>
      </c>
      <c r="D2014" t="s">
        <v>49</v>
      </c>
      <c r="E2014" t="s">
        <v>50</v>
      </c>
      <c r="F2014" t="s">
        <v>351</v>
      </c>
      <c r="G2014" t="s">
        <v>234</v>
      </c>
      <c r="H2014" t="s">
        <v>53</v>
      </c>
      <c r="I2014" t="s">
        <v>235</v>
      </c>
      <c r="J2014" t="s">
        <v>3032</v>
      </c>
      <c r="K2014" t="s">
        <v>105</v>
      </c>
      <c r="L2014" t="s">
        <v>169</v>
      </c>
      <c r="M2014" t="s">
        <v>129</v>
      </c>
      <c r="N2014" t="s">
        <v>94</v>
      </c>
      <c r="O2014" s="4">
        <v>4</v>
      </c>
      <c r="P2014" s="4">
        <v>10</v>
      </c>
      <c r="Q2014" t="s">
        <v>58</v>
      </c>
      <c r="R2014" s="2">
        <v>46199</v>
      </c>
      <c r="S2014" s="4">
        <v>4</v>
      </c>
      <c r="T2014" s="3">
        <v>285000000</v>
      </c>
      <c r="U2014" t="s">
        <v>42</v>
      </c>
      <c r="V2014" t="s">
        <v>59</v>
      </c>
      <c r="W2014" t="s">
        <v>267</v>
      </c>
      <c r="Y2014" t="s">
        <v>96</v>
      </c>
      <c r="Z2014" t="s">
        <v>3179</v>
      </c>
      <c r="AA2014" t="s">
        <v>62</v>
      </c>
      <c r="AB2014" t="s">
        <v>97</v>
      </c>
      <c r="AC2014" t="s">
        <v>62</v>
      </c>
    </row>
    <row r="2015" spans="1:29">
      <c r="A2015" t="s">
        <v>2432</v>
      </c>
      <c r="B2015" s="2">
        <v>46199</v>
      </c>
      <c r="C2015" t="s">
        <v>30</v>
      </c>
      <c r="D2015" t="s">
        <v>49</v>
      </c>
      <c r="E2015" t="s">
        <v>32</v>
      </c>
      <c r="F2015" t="s">
        <v>33</v>
      </c>
      <c r="G2015" t="s">
        <v>463</v>
      </c>
      <c r="H2015" t="s">
        <v>258</v>
      </c>
      <c r="I2015" t="s">
        <v>651</v>
      </c>
      <c r="J2015" t="s">
        <v>3141</v>
      </c>
      <c r="K2015" t="s">
        <v>37</v>
      </c>
      <c r="L2015" t="s">
        <v>150</v>
      </c>
      <c r="M2015" t="s">
        <v>39</v>
      </c>
      <c r="N2015" t="s">
        <v>82</v>
      </c>
      <c r="O2015" s="4">
        <v>1</v>
      </c>
      <c r="P2015" s="4">
        <v>3</v>
      </c>
      <c r="Q2015" t="s">
        <v>83</v>
      </c>
      <c r="R2015" s="2">
        <v>46192</v>
      </c>
      <c r="S2015" s="4">
        <v>11</v>
      </c>
      <c r="T2015" s="3">
        <v>250000000</v>
      </c>
      <c r="U2015" t="s">
        <v>42</v>
      </c>
      <c r="V2015" t="s">
        <v>43</v>
      </c>
      <c r="W2015" t="s">
        <v>290</v>
      </c>
      <c r="Y2015" t="s">
        <v>305</v>
      </c>
      <c r="Z2015" t="s">
        <v>3176</v>
      </c>
      <c r="AA2015" t="s">
        <v>46</v>
      </c>
      <c r="AB2015" t="s">
        <v>47</v>
      </c>
      <c r="AC2015" t="s">
        <v>46</v>
      </c>
    </row>
    <row r="2016" spans="1:29">
      <c r="A2016" t="s">
        <v>2433</v>
      </c>
      <c r="B2016" s="2">
        <v>46203</v>
      </c>
      <c r="C2016" t="s">
        <v>30</v>
      </c>
      <c r="D2016" t="s">
        <v>31</v>
      </c>
      <c r="E2016" t="s">
        <v>152</v>
      </c>
      <c r="F2016" t="s">
        <v>153</v>
      </c>
      <c r="G2016" t="s">
        <v>294</v>
      </c>
      <c r="H2016" t="s">
        <v>155</v>
      </c>
      <c r="I2016" t="s">
        <v>434</v>
      </c>
      <c r="J2016" t="s">
        <v>3083</v>
      </c>
      <c r="K2016" t="s">
        <v>37</v>
      </c>
      <c r="L2016" t="s">
        <v>150</v>
      </c>
      <c r="M2016" t="s">
        <v>81</v>
      </c>
      <c r="N2016" t="s">
        <v>40</v>
      </c>
      <c r="O2016" s="4">
        <v>2</v>
      </c>
      <c r="P2016" s="4">
        <v>10</v>
      </c>
      <c r="Q2016" t="s">
        <v>41</v>
      </c>
      <c r="R2016" s="2">
        <v>46201</v>
      </c>
      <c r="S2016" s="4">
        <v>2</v>
      </c>
      <c r="T2016" s="3">
        <v>140000000</v>
      </c>
      <c r="U2016" t="s">
        <v>42</v>
      </c>
      <c r="V2016" t="s">
        <v>43</v>
      </c>
      <c r="W2016" t="s">
        <v>44</v>
      </c>
      <c r="Y2016" t="s">
        <v>45</v>
      </c>
      <c r="Z2016" t="s">
        <v>3178</v>
      </c>
      <c r="AA2016" t="s">
        <v>159</v>
      </c>
      <c r="AB2016" t="s">
        <v>87</v>
      </c>
      <c r="AC2016" t="s">
        <v>159</v>
      </c>
    </row>
    <row r="2017" spans="1:29">
      <c r="A2017" t="s">
        <v>2434</v>
      </c>
      <c r="B2017" s="2">
        <v>46192</v>
      </c>
      <c r="C2017" t="s">
        <v>30</v>
      </c>
      <c r="D2017" t="s">
        <v>74</v>
      </c>
      <c r="E2017" t="s">
        <v>100</v>
      </c>
      <c r="F2017" t="s">
        <v>101</v>
      </c>
      <c r="G2017" t="s">
        <v>102</v>
      </c>
      <c r="H2017" t="s">
        <v>103</v>
      </c>
      <c r="I2017" t="s">
        <v>447</v>
      </c>
      <c r="J2017" t="s">
        <v>3088</v>
      </c>
      <c r="K2017" t="s">
        <v>105</v>
      </c>
      <c r="L2017" t="s">
        <v>187</v>
      </c>
      <c r="M2017" t="s">
        <v>106</v>
      </c>
      <c r="N2017" t="s">
        <v>40</v>
      </c>
      <c r="O2017" s="4">
        <v>2</v>
      </c>
      <c r="P2017" s="4">
        <v>10</v>
      </c>
      <c r="Q2017" t="s">
        <v>138</v>
      </c>
      <c r="R2017" s="2">
        <v>46182</v>
      </c>
      <c r="S2017" s="4">
        <v>21</v>
      </c>
      <c r="T2017" s="3">
        <v>212000000</v>
      </c>
      <c r="U2017" t="s">
        <v>42</v>
      </c>
      <c r="V2017" t="s">
        <v>43</v>
      </c>
      <c r="W2017" t="s">
        <v>44</v>
      </c>
      <c r="Y2017" t="s">
        <v>45</v>
      </c>
      <c r="Z2017" t="s">
        <v>3178</v>
      </c>
      <c r="AA2017" t="s">
        <v>109</v>
      </c>
      <c r="AB2017" t="s">
        <v>87</v>
      </c>
      <c r="AC2017" t="s">
        <v>109</v>
      </c>
    </row>
    <row r="2018" spans="1:29">
      <c r="A2018" t="s">
        <v>2435</v>
      </c>
      <c r="B2018" s="2">
        <v>46178</v>
      </c>
      <c r="C2018" t="s">
        <v>30</v>
      </c>
      <c r="D2018" t="s">
        <v>134</v>
      </c>
      <c r="E2018" t="s">
        <v>111</v>
      </c>
      <c r="F2018" t="s">
        <v>112</v>
      </c>
      <c r="G2018" t="s">
        <v>126</v>
      </c>
      <c r="H2018" t="s">
        <v>191</v>
      </c>
      <c r="I2018" t="s">
        <v>467</v>
      </c>
      <c r="J2018" t="s">
        <v>3096</v>
      </c>
      <c r="K2018" t="s">
        <v>56</v>
      </c>
      <c r="L2018" t="s">
        <v>150</v>
      </c>
      <c r="M2018" t="s">
        <v>129</v>
      </c>
      <c r="N2018" t="s">
        <v>40</v>
      </c>
      <c r="O2018" s="4">
        <v>2</v>
      </c>
      <c r="P2018" s="4">
        <v>11</v>
      </c>
      <c r="Q2018" t="s">
        <v>142</v>
      </c>
      <c r="R2018" s="2">
        <v>46171</v>
      </c>
      <c r="S2018" s="4">
        <v>32</v>
      </c>
      <c r="T2018" s="3">
        <v>259000000</v>
      </c>
      <c r="U2018" t="s">
        <v>42</v>
      </c>
      <c r="V2018" t="s">
        <v>43</v>
      </c>
      <c r="W2018" t="s">
        <v>298</v>
      </c>
      <c r="Y2018" t="s">
        <v>45</v>
      </c>
      <c r="Z2018" t="s">
        <v>3178</v>
      </c>
      <c r="AA2018" t="s">
        <v>118</v>
      </c>
      <c r="AB2018" t="s">
        <v>87</v>
      </c>
      <c r="AC2018" t="s">
        <v>118</v>
      </c>
    </row>
    <row r="2019" spans="1:29">
      <c r="A2019" t="s">
        <v>2436</v>
      </c>
      <c r="B2019" s="2">
        <v>46202</v>
      </c>
      <c r="C2019" t="s">
        <v>30</v>
      </c>
      <c r="D2019" t="s">
        <v>31</v>
      </c>
      <c r="E2019" t="s">
        <v>120</v>
      </c>
      <c r="F2019" t="s">
        <v>121</v>
      </c>
      <c r="G2019" t="s">
        <v>420</v>
      </c>
      <c r="H2019" t="s">
        <v>300</v>
      </c>
      <c r="I2019" t="s">
        <v>421</v>
      </c>
      <c r="J2019" t="s">
        <v>3080</v>
      </c>
      <c r="K2019" t="s">
        <v>92</v>
      </c>
      <c r="L2019" t="s">
        <v>169</v>
      </c>
      <c r="M2019" t="s">
        <v>164</v>
      </c>
      <c r="N2019" t="s">
        <v>82</v>
      </c>
      <c r="O2019" s="4">
        <v>1</v>
      </c>
      <c r="P2019" s="4">
        <v>6</v>
      </c>
      <c r="Q2019" t="s">
        <v>58</v>
      </c>
      <c r="R2019" s="2">
        <v>46194</v>
      </c>
      <c r="S2019" s="4">
        <v>9</v>
      </c>
      <c r="T2019" s="3">
        <v>211000000</v>
      </c>
      <c r="U2019" t="s">
        <v>42</v>
      </c>
      <c r="V2019" t="s">
        <v>43</v>
      </c>
      <c r="W2019" t="s">
        <v>84</v>
      </c>
      <c r="Y2019" t="s">
        <v>330</v>
      </c>
      <c r="Z2019" t="s">
        <v>3178</v>
      </c>
      <c r="AA2019" t="s">
        <v>97</v>
      </c>
      <c r="AB2019" t="s">
        <v>87</v>
      </c>
      <c r="AC2019" t="s">
        <v>97</v>
      </c>
    </row>
    <row r="2020" spans="1:29">
      <c r="A2020" t="s">
        <v>2437</v>
      </c>
      <c r="B2020" s="2">
        <v>46190</v>
      </c>
      <c r="C2020" t="s">
        <v>30</v>
      </c>
      <c r="D2020" t="s">
        <v>74</v>
      </c>
      <c r="E2020" t="s">
        <v>152</v>
      </c>
      <c r="F2020" t="s">
        <v>153</v>
      </c>
      <c r="G2020" t="s">
        <v>328</v>
      </c>
      <c r="H2020" t="s">
        <v>283</v>
      </c>
      <c r="I2020" t="s">
        <v>287</v>
      </c>
      <c r="J2020" t="s">
        <v>3042</v>
      </c>
      <c r="K2020" t="s">
        <v>116</v>
      </c>
      <c r="L2020" t="s">
        <v>38</v>
      </c>
      <c r="M2020" t="s">
        <v>39</v>
      </c>
      <c r="N2020" t="s">
        <v>57</v>
      </c>
      <c r="O2020" s="4">
        <v>3</v>
      </c>
      <c r="P2020" s="4">
        <v>8</v>
      </c>
      <c r="Q2020" t="s">
        <v>41</v>
      </c>
      <c r="R2020" s="2">
        <v>46190</v>
      </c>
      <c r="S2020" s="4">
        <v>13</v>
      </c>
      <c r="T2020" s="3">
        <v>140000000</v>
      </c>
      <c r="U2020" t="s">
        <v>42</v>
      </c>
      <c r="V2020" t="s">
        <v>70</v>
      </c>
      <c r="W2020" t="s">
        <v>203</v>
      </c>
      <c r="Y2020" t="s">
        <v>72</v>
      </c>
      <c r="Z2020" t="s">
        <v>3177</v>
      </c>
      <c r="AA2020" t="s">
        <v>159</v>
      </c>
      <c r="AB2020" t="s">
        <v>63</v>
      </c>
      <c r="AC2020" t="s">
        <v>159</v>
      </c>
    </row>
    <row r="2021" spans="1:29">
      <c r="A2021" t="s">
        <v>2438</v>
      </c>
      <c r="B2021" s="2">
        <v>46190</v>
      </c>
      <c r="C2021" t="s">
        <v>30</v>
      </c>
      <c r="D2021" t="s">
        <v>74</v>
      </c>
      <c r="E2021" t="s">
        <v>120</v>
      </c>
      <c r="F2021" t="s">
        <v>121</v>
      </c>
      <c r="G2021" t="s">
        <v>420</v>
      </c>
      <c r="H2021" t="s">
        <v>136</v>
      </c>
      <c r="I2021" t="s">
        <v>247</v>
      </c>
      <c r="J2021" t="s">
        <v>3035</v>
      </c>
      <c r="K2021" t="s">
        <v>56</v>
      </c>
      <c r="L2021" t="s">
        <v>38</v>
      </c>
      <c r="M2021" t="s">
        <v>56</v>
      </c>
      <c r="N2021" t="s">
        <v>94</v>
      </c>
      <c r="O2021" s="4">
        <v>4</v>
      </c>
      <c r="P2021" s="4">
        <v>7</v>
      </c>
      <c r="Q2021" t="s">
        <v>138</v>
      </c>
      <c r="R2021" s="2">
        <v>46183</v>
      </c>
      <c r="S2021" s="4">
        <v>20</v>
      </c>
      <c r="T2021" s="3">
        <v>464000000</v>
      </c>
      <c r="U2021" t="s">
        <v>260</v>
      </c>
      <c r="V2021" t="s">
        <v>59</v>
      </c>
      <c r="W2021" t="s">
        <v>267</v>
      </c>
      <c r="X2021" t="s">
        <v>422</v>
      </c>
      <c r="Y2021" t="s">
        <v>108</v>
      </c>
      <c r="Z2021" t="s">
        <v>3179</v>
      </c>
      <c r="AA2021" t="s">
        <v>97</v>
      </c>
      <c r="AB2021" t="s">
        <v>97</v>
      </c>
      <c r="AC2021" t="s">
        <v>97</v>
      </c>
    </row>
    <row r="2022" spans="1:29">
      <c r="A2022" t="s">
        <v>2439</v>
      </c>
      <c r="B2022" s="2">
        <v>46177</v>
      </c>
      <c r="C2022" t="s">
        <v>30</v>
      </c>
      <c r="D2022" t="s">
        <v>134</v>
      </c>
      <c r="E2022" t="s">
        <v>172</v>
      </c>
      <c r="F2022" t="s">
        <v>173</v>
      </c>
      <c r="G2022" t="s">
        <v>174</v>
      </c>
      <c r="H2022" t="s">
        <v>175</v>
      </c>
      <c r="I2022" t="s">
        <v>956</v>
      </c>
      <c r="J2022" t="s">
        <v>3166</v>
      </c>
      <c r="K2022" t="s">
        <v>56</v>
      </c>
      <c r="L2022" t="s">
        <v>55</v>
      </c>
      <c r="M2022" t="s">
        <v>81</v>
      </c>
      <c r="N2022" t="s">
        <v>196</v>
      </c>
      <c r="O2022" s="4">
        <v>7</v>
      </c>
      <c r="P2022" s="4">
        <v>11</v>
      </c>
      <c r="Q2022" t="s">
        <v>41</v>
      </c>
      <c r="R2022" s="2">
        <v>46172</v>
      </c>
      <c r="S2022" s="4">
        <v>31</v>
      </c>
      <c r="T2022" s="3">
        <v>134000000</v>
      </c>
      <c r="U2022" t="s">
        <v>232</v>
      </c>
      <c r="V2022" t="s">
        <v>70</v>
      </c>
      <c r="W2022" t="s">
        <v>675</v>
      </c>
      <c r="Y2022" t="s">
        <v>244</v>
      </c>
      <c r="Z2022" t="s">
        <v>3181</v>
      </c>
      <c r="AA2022" t="s">
        <v>181</v>
      </c>
      <c r="AB2022" t="s">
        <v>199</v>
      </c>
      <c r="AC2022" t="s">
        <v>181</v>
      </c>
    </row>
    <row r="2023" spans="1:29">
      <c r="A2023" t="s">
        <v>2440</v>
      </c>
      <c r="B2023" s="2">
        <v>46196</v>
      </c>
      <c r="C2023" t="s">
        <v>30</v>
      </c>
      <c r="D2023" t="s">
        <v>49</v>
      </c>
      <c r="E2023" t="s">
        <v>111</v>
      </c>
      <c r="F2023" t="s">
        <v>264</v>
      </c>
      <c r="G2023" t="s">
        <v>251</v>
      </c>
      <c r="H2023" t="s">
        <v>127</v>
      </c>
      <c r="I2023" t="s">
        <v>461</v>
      </c>
      <c r="J2023" t="s">
        <v>3094</v>
      </c>
      <c r="K2023" t="s">
        <v>92</v>
      </c>
      <c r="L2023" t="s">
        <v>38</v>
      </c>
      <c r="M2023" t="s">
        <v>106</v>
      </c>
      <c r="N2023" t="s">
        <v>130</v>
      </c>
      <c r="O2023" s="4">
        <v>5</v>
      </c>
      <c r="P2023" s="4">
        <v>10</v>
      </c>
      <c r="Q2023" t="s">
        <v>58</v>
      </c>
      <c r="R2023" s="2">
        <v>46187</v>
      </c>
      <c r="S2023" s="4">
        <v>16</v>
      </c>
      <c r="T2023" s="3">
        <v>90000000</v>
      </c>
      <c r="U2023" t="s">
        <v>42</v>
      </c>
      <c r="V2023" t="s">
        <v>70</v>
      </c>
      <c r="W2023" t="s">
        <v>355</v>
      </c>
      <c r="Y2023" t="s">
        <v>334</v>
      </c>
      <c r="Z2023" t="s">
        <v>3179</v>
      </c>
      <c r="AA2023" t="s">
        <v>118</v>
      </c>
      <c r="AB2023" t="s">
        <v>97</v>
      </c>
      <c r="AC2023" t="s">
        <v>118</v>
      </c>
    </row>
    <row r="2024" spans="1:29">
      <c r="A2024" t="s">
        <v>2441</v>
      </c>
      <c r="B2024" s="2">
        <v>46181</v>
      </c>
      <c r="C2024" t="s">
        <v>30</v>
      </c>
      <c r="D2024" t="s">
        <v>99</v>
      </c>
      <c r="E2024" t="s">
        <v>32</v>
      </c>
      <c r="F2024" t="s">
        <v>256</v>
      </c>
      <c r="G2024" t="s">
        <v>34</v>
      </c>
      <c r="H2024" t="s">
        <v>35</v>
      </c>
      <c r="I2024" t="s">
        <v>604</v>
      </c>
      <c r="J2024" t="s">
        <v>3130</v>
      </c>
      <c r="K2024" t="s">
        <v>92</v>
      </c>
      <c r="L2024" t="s">
        <v>38</v>
      </c>
      <c r="M2024" t="s">
        <v>39</v>
      </c>
      <c r="N2024" t="s">
        <v>82</v>
      </c>
      <c r="O2024" s="4">
        <v>1</v>
      </c>
      <c r="P2024" s="4">
        <v>3</v>
      </c>
      <c r="Q2024" t="s">
        <v>41</v>
      </c>
      <c r="R2024" s="2">
        <v>46178</v>
      </c>
      <c r="S2024" s="4">
        <v>25</v>
      </c>
      <c r="T2024" s="3">
        <v>181000000</v>
      </c>
      <c r="U2024" t="s">
        <v>42</v>
      </c>
      <c r="V2024" t="s">
        <v>43</v>
      </c>
      <c r="W2024" t="s">
        <v>84</v>
      </c>
      <c r="Y2024" t="s">
        <v>85</v>
      </c>
      <c r="Z2024" t="s">
        <v>3176</v>
      </c>
      <c r="AA2024" t="s">
        <v>46</v>
      </c>
      <c r="AB2024" t="s">
        <v>47</v>
      </c>
      <c r="AC2024" t="s">
        <v>46</v>
      </c>
    </row>
    <row r="2025" spans="1:29">
      <c r="A2025" t="s">
        <v>2442</v>
      </c>
      <c r="B2025" s="2">
        <v>46192</v>
      </c>
      <c r="C2025" t="s">
        <v>30</v>
      </c>
      <c r="D2025" t="s">
        <v>74</v>
      </c>
      <c r="E2025" t="s">
        <v>32</v>
      </c>
      <c r="F2025" t="s">
        <v>273</v>
      </c>
      <c r="G2025" t="s">
        <v>361</v>
      </c>
      <c r="H2025" t="s">
        <v>35</v>
      </c>
      <c r="I2025" t="s">
        <v>36</v>
      </c>
      <c r="J2025" t="s">
        <v>3008</v>
      </c>
      <c r="K2025" t="s">
        <v>105</v>
      </c>
      <c r="L2025" t="s">
        <v>169</v>
      </c>
      <c r="M2025" t="s">
        <v>106</v>
      </c>
      <c r="N2025" t="s">
        <v>82</v>
      </c>
      <c r="O2025" s="4">
        <v>1</v>
      </c>
      <c r="P2025" s="4">
        <v>1</v>
      </c>
      <c r="Q2025" t="s">
        <v>107</v>
      </c>
      <c r="R2025" s="2">
        <v>46186</v>
      </c>
      <c r="S2025" s="4">
        <v>17</v>
      </c>
      <c r="T2025" s="3">
        <v>81000000</v>
      </c>
      <c r="U2025" t="s">
        <v>260</v>
      </c>
      <c r="V2025" t="s">
        <v>59</v>
      </c>
      <c r="W2025" t="s">
        <v>290</v>
      </c>
      <c r="X2025" t="s">
        <v>261</v>
      </c>
      <c r="Y2025" t="s">
        <v>330</v>
      </c>
      <c r="Z2025" t="s">
        <v>3176</v>
      </c>
      <c r="AA2025" t="s">
        <v>46</v>
      </c>
      <c r="AB2025" t="s">
        <v>47</v>
      </c>
      <c r="AC2025" t="s">
        <v>46</v>
      </c>
    </row>
    <row r="2026" spans="1:29">
      <c r="A2026" t="s">
        <v>2443</v>
      </c>
      <c r="B2026" s="2">
        <v>46191</v>
      </c>
      <c r="C2026" t="s">
        <v>30</v>
      </c>
      <c r="D2026" t="s">
        <v>74</v>
      </c>
      <c r="E2026" t="s">
        <v>50</v>
      </c>
      <c r="F2026" t="s">
        <v>89</v>
      </c>
      <c r="G2026" t="s">
        <v>343</v>
      </c>
      <c r="H2026" t="s">
        <v>53</v>
      </c>
      <c r="I2026" t="s">
        <v>54</v>
      </c>
      <c r="J2026" t="s">
        <v>3009</v>
      </c>
      <c r="K2026" t="s">
        <v>37</v>
      </c>
      <c r="L2026" t="s">
        <v>80</v>
      </c>
      <c r="M2026" t="s">
        <v>93</v>
      </c>
      <c r="N2026" t="s">
        <v>57</v>
      </c>
      <c r="O2026" s="4">
        <v>3</v>
      </c>
      <c r="P2026" s="4">
        <v>6</v>
      </c>
      <c r="Q2026" t="s">
        <v>69</v>
      </c>
      <c r="R2026" s="2">
        <v>46190</v>
      </c>
      <c r="S2026" s="4">
        <v>13</v>
      </c>
      <c r="T2026" s="3">
        <v>237000000</v>
      </c>
      <c r="U2026" t="s">
        <v>260</v>
      </c>
      <c r="V2026" t="s">
        <v>43</v>
      </c>
      <c r="W2026" t="s">
        <v>71</v>
      </c>
      <c r="X2026" t="s">
        <v>261</v>
      </c>
      <c r="Y2026" t="s">
        <v>72</v>
      </c>
      <c r="Z2026" t="s">
        <v>3177</v>
      </c>
      <c r="AA2026" t="s">
        <v>62</v>
      </c>
      <c r="AB2026" t="s">
        <v>63</v>
      </c>
      <c r="AC2026" t="s">
        <v>62</v>
      </c>
    </row>
    <row r="2027" spans="1:29">
      <c r="A2027" t="s">
        <v>2444</v>
      </c>
      <c r="B2027" s="2">
        <v>46174</v>
      </c>
      <c r="C2027" t="s">
        <v>30</v>
      </c>
      <c r="D2027" t="s">
        <v>134</v>
      </c>
      <c r="E2027" t="s">
        <v>172</v>
      </c>
      <c r="F2027" t="s">
        <v>195</v>
      </c>
      <c r="G2027" t="s">
        <v>174</v>
      </c>
      <c r="H2027" t="s">
        <v>241</v>
      </c>
      <c r="I2027" t="s">
        <v>379</v>
      </c>
      <c r="J2027" t="s">
        <v>3069</v>
      </c>
      <c r="K2027" t="s">
        <v>105</v>
      </c>
      <c r="L2027" t="s">
        <v>187</v>
      </c>
      <c r="M2027" t="s">
        <v>56</v>
      </c>
      <c r="N2027" t="s">
        <v>57</v>
      </c>
      <c r="O2027" s="4">
        <v>3</v>
      </c>
      <c r="P2027" s="4">
        <v>5</v>
      </c>
      <c r="Q2027" t="s">
        <v>107</v>
      </c>
      <c r="R2027" s="2">
        <v>46167</v>
      </c>
      <c r="S2027" s="4">
        <v>36</v>
      </c>
      <c r="T2027" s="3">
        <v>84000000</v>
      </c>
      <c r="U2027" t="s">
        <v>42</v>
      </c>
      <c r="V2027" t="s">
        <v>59</v>
      </c>
      <c r="W2027" t="s">
        <v>157</v>
      </c>
      <c r="Y2027" t="s">
        <v>158</v>
      </c>
      <c r="Z2027" t="s">
        <v>3177</v>
      </c>
      <c r="AA2027" t="s">
        <v>181</v>
      </c>
      <c r="AB2027" t="s">
        <v>63</v>
      </c>
      <c r="AC2027" t="s">
        <v>181</v>
      </c>
    </row>
    <row r="2028" spans="1:29">
      <c r="A2028" t="s">
        <v>2445</v>
      </c>
      <c r="B2028" s="2">
        <v>46198</v>
      </c>
      <c r="C2028" t="s">
        <v>30</v>
      </c>
      <c r="D2028" t="s">
        <v>49</v>
      </c>
      <c r="E2028" t="s">
        <v>75</v>
      </c>
      <c r="F2028" t="s">
        <v>183</v>
      </c>
      <c r="G2028" t="s">
        <v>230</v>
      </c>
      <c r="H2028" t="s">
        <v>185</v>
      </c>
      <c r="I2028" t="s">
        <v>673</v>
      </c>
      <c r="J2028" t="s">
        <v>3146</v>
      </c>
      <c r="K2028" t="s">
        <v>92</v>
      </c>
      <c r="L2028" t="s">
        <v>187</v>
      </c>
      <c r="M2028" t="s">
        <v>81</v>
      </c>
      <c r="N2028" t="s">
        <v>196</v>
      </c>
      <c r="O2028" s="4">
        <v>7</v>
      </c>
      <c r="P2028" s="4">
        <v>14</v>
      </c>
      <c r="Q2028" t="s">
        <v>41</v>
      </c>
      <c r="R2028" s="2">
        <v>46193</v>
      </c>
      <c r="S2028" s="4">
        <v>10</v>
      </c>
      <c r="T2028" s="3">
        <v>215000000</v>
      </c>
      <c r="U2028" t="s">
        <v>196</v>
      </c>
      <c r="V2028" t="s">
        <v>70</v>
      </c>
      <c r="W2028" t="s">
        <v>675</v>
      </c>
      <c r="Y2028" t="s">
        <v>210</v>
      </c>
      <c r="Z2028" t="s">
        <v>3181</v>
      </c>
      <c r="AA2028" t="s">
        <v>86</v>
      </c>
      <c r="AB2028" t="s">
        <v>199</v>
      </c>
      <c r="AC2028" t="s">
        <v>86</v>
      </c>
    </row>
    <row r="2029" spans="1:29">
      <c r="A2029" t="s">
        <v>2446</v>
      </c>
      <c r="B2029" s="2">
        <v>46179</v>
      </c>
      <c r="C2029" t="s">
        <v>30</v>
      </c>
      <c r="D2029" t="s">
        <v>134</v>
      </c>
      <c r="E2029" t="s">
        <v>50</v>
      </c>
      <c r="F2029" t="s">
        <v>89</v>
      </c>
      <c r="G2029" t="s">
        <v>234</v>
      </c>
      <c r="H2029" t="s">
        <v>90</v>
      </c>
      <c r="I2029" t="s">
        <v>497</v>
      </c>
      <c r="J2029" t="s">
        <v>3105</v>
      </c>
      <c r="K2029" t="s">
        <v>37</v>
      </c>
      <c r="L2029" t="s">
        <v>187</v>
      </c>
      <c r="M2029" t="s">
        <v>164</v>
      </c>
      <c r="N2029" t="s">
        <v>213</v>
      </c>
      <c r="O2029" s="4">
        <v>6</v>
      </c>
      <c r="P2029" s="4">
        <v>12</v>
      </c>
      <c r="Q2029" t="s">
        <v>58</v>
      </c>
      <c r="R2029" s="2">
        <v>46175</v>
      </c>
      <c r="S2029" s="4">
        <v>28</v>
      </c>
      <c r="T2029" s="3">
        <v>272000000</v>
      </c>
      <c r="U2029" t="s">
        <v>214</v>
      </c>
      <c r="V2029" t="s">
        <v>70</v>
      </c>
      <c r="W2029" t="s">
        <v>390</v>
      </c>
      <c r="Y2029" t="s">
        <v>216</v>
      </c>
      <c r="Z2029" t="s">
        <v>3179</v>
      </c>
      <c r="AA2029" t="s">
        <v>62</v>
      </c>
      <c r="AB2029" t="s">
        <v>97</v>
      </c>
      <c r="AC2029" t="s">
        <v>62</v>
      </c>
    </row>
    <row r="2030" spans="1:29">
      <c r="A2030" t="s">
        <v>2447</v>
      </c>
      <c r="B2030" s="2">
        <v>46191</v>
      </c>
      <c r="C2030" t="s">
        <v>30</v>
      </c>
      <c r="D2030" t="s">
        <v>74</v>
      </c>
      <c r="E2030" t="s">
        <v>120</v>
      </c>
      <c r="F2030" t="s">
        <v>167</v>
      </c>
      <c r="G2030" t="s">
        <v>135</v>
      </c>
      <c r="H2030" t="s">
        <v>123</v>
      </c>
      <c r="I2030" t="s">
        <v>225</v>
      </c>
      <c r="J2030" t="s">
        <v>3030</v>
      </c>
      <c r="K2030" t="s">
        <v>92</v>
      </c>
      <c r="L2030" t="s">
        <v>55</v>
      </c>
      <c r="M2030" t="s">
        <v>39</v>
      </c>
      <c r="N2030" t="s">
        <v>213</v>
      </c>
      <c r="O2030" s="4">
        <v>6</v>
      </c>
      <c r="P2030" s="4">
        <v>14</v>
      </c>
      <c r="Q2030" t="s">
        <v>69</v>
      </c>
      <c r="R2030" s="2">
        <v>46184</v>
      </c>
      <c r="S2030" s="4">
        <v>19</v>
      </c>
      <c r="T2030" s="3">
        <v>162000000</v>
      </c>
      <c r="U2030" t="s">
        <v>214</v>
      </c>
      <c r="V2030" t="s">
        <v>70</v>
      </c>
      <c r="W2030" t="s">
        <v>248</v>
      </c>
      <c r="Y2030" t="s">
        <v>432</v>
      </c>
      <c r="Z2030" t="s">
        <v>3179</v>
      </c>
      <c r="AA2030" t="s">
        <v>97</v>
      </c>
      <c r="AB2030" t="s">
        <v>97</v>
      </c>
      <c r="AC2030" t="s">
        <v>97</v>
      </c>
    </row>
    <row r="2031" spans="1:29">
      <c r="A2031" t="s">
        <v>2448</v>
      </c>
      <c r="B2031" s="2">
        <v>46194</v>
      </c>
      <c r="C2031" t="s">
        <v>30</v>
      </c>
      <c r="D2031" t="s">
        <v>74</v>
      </c>
      <c r="E2031" t="s">
        <v>120</v>
      </c>
      <c r="F2031" t="s">
        <v>167</v>
      </c>
      <c r="G2031" t="s">
        <v>420</v>
      </c>
      <c r="H2031" t="s">
        <v>300</v>
      </c>
      <c r="I2031" t="s">
        <v>830</v>
      </c>
      <c r="J2031" t="s">
        <v>3159</v>
      </c>
      <c r="K2031" t="s">
        <v>56</v>
      </c>
      <c r="L2031" t="s">
        <v>80</v>
      </c>
      <c r="M2031" t="s">
        <v>93</v>
      </c>
      <c r="N2031" t="s">
        <v>57</v>
      </c>
      <c r="O2031" s="4">
        <v>3</v>
      </c>
      <c r="P2031" s="4">
        <v>5</v>
      </c>
      <c r="Q2031" t="s">
        <v>83</v>
      </c>
      <c r="R2031" s="2">
        <v>46184</v>
      </c>
      <c r="S2031" s="4">
        <v>19</v>
      </c>
      <c r="T2031" s="3">
        <v>233000000</v>
      </c>
      <c r="U2031" t="s">
        <v>42</v>
      </c>
      <c r="V2031" t="s">
        <v>43</v>
      </c>
      <c r="W2031" t="s">
        <v>71</v>
      </c>
      <c r="Y2031" t="s">
        <v>61</v>
      </c>
      <c r="Z2031" t="s">
        <v>3177</v>
      </c>
      <c r="AA2031" t="s">
        <v>97</v>
      </c>
      <c r="AB2031" t="s">
        <v>63</v>
      </c>
      <c r="AC2031" t="s">
        <v>97</v>
      </c>
    </row>
    <row r="2032" spans="1:29">
      <c r="A2032" t="s">
        <v>2449</v>
      </c>
      <c r="B2032" s="2">
        <v>46186</v>
      </c>
      <c r="C2032" t="s">
        <v>30</v>
      </c>
      <c r="D2032" t="s">
        <v>99</v>
      </c>
      <c r="E2032" t="s">
        <v>100</v>
      </c>
      <c r="F2032" t="s">
        <v>146</v>
      </c>
      <c r="G2032" t="s">
        <v>237</v>
      </c>
      <c r="H2032" t="s">
        <v>148</v>
      </c>
      <c r="I2032" t="s">
        <v>851</v>
      </c>
      <c r="J2032" t="s">
        <v>3163</v>
      </c>
      <c r="K2032" t="s">
        <v>92</v>
      </c>
      <c r="L2032" t="s">
        <v>55</v>
      </c>
      <c r="M2032" t="s">
        <v>129</v>
      </c>
      <c r="N2032" t="s">
        <v>196</v>
      </c>
      <c r="O2032" s="4">
        <v>7</v>
      </c>
      <c r="P2032" s="4">
        <v>20</v>
      </c>
      <c r="Q2032" t="s">
        <v>107</v>
      </c>
      <c r="R2032" s="2">
        <v>46181</v>
      </c>
      <c r="S2032" s="4">
        <v>22</v>
      </c>
      <c r="T2032" s="3">
        <v>153000000</v>
      </c>
      <c r="U2032" t="s">
        <v>196</v>
      </c>
      <c r="V2032" t="s">
        <v>70</v>
      </c>
      <c r="W2032" t="s">
        <v>197</v>
      </c>
      <c r="Y2032" t="s">
        <v>198</v>
      </c>
      <c r="Z2032" t="s">
        <v>3181</v>
      </c>
      <c r="AA2032" t="s">
        <v>109</v>
      </c>
      <c r="AB2032" t="s">
        <v>199</v>
      </c>
      <c r="AC2032" t="s">
        <v>109</v>
      </c>
    </row>
    <row r="2033" spans="1:29">
      <c r="A2033" t="s">
        <v>2450</v>
      </c>
      <c r="B2033" s="2">
        <v>46190</v>
      </c>
      <c r="C2033" t="s">
        <v>30</v>
      </c>
      <c r="D2033" t="s">
        <v>74</v>
      </c>
      <c r="E2033" t="s">
        <v>120</v>
      </c>
      <c r="F2033" t="s">
        <v>167</v>
      </c>
      <c r="G2033" t="s">
        <v>227</v>
      </c>
      <c r="H2033" t="s">
        <v>123</v>
      </c>
      <c r="I2033" t="s">
        <v>225</v>
      </c>
      <c r="J2033" t="s">
        <v>3030</v>
      </c>
      <c r="K2033" t="s">
        <v>56</v>
      </c>
      <c r="L2033" t="s">
        <v>80</v>
      </c>
      <c r="M2033" t="s">
        <v>129</v>
      </c>
      <c r="N2033" t="s">
        <v>196</v>
      </c>
      <c r="O2033" s="4">
        <v>7</v>
      </c>
      <c r="P2033" s="4">
        <v>14</v>
      </c>
      <c r="Q2033" t="s">
        <v>41</v>
      </c>
      <c r="R2033" s="2">
        <v>46188</v>
      </c>
      <c r="S2033" s="4">
        <v>15</v>
      </c>
      <c r="T2033" s="3">
        <v>407000000</v>
      </c>
      <c r="U2033" t="s">
        <v>196</v>
      </c>
      <c r="V2033" t="s">
        <v>70</v>
      </c>
      <c r="W2033" t="s">
        <v>209</v>
      </c>
      <c r="Y2033" t="s">
        <v>210</v>
      </c>
      <c r="Z2033" t="s">
        <v>3181</v>
      </c>
      <c r="AA2033" t="s">
        <v>97</v>
      </c>
      <c r="AB2033" t="s">
        <v>199</v>
      </c>
      <c r="AC2033" t="s">
        <v>97</v>
      </c>
    </row>
    <row r="2034" spans="1:29">
      <c r="A2034" t="s">
        <v>2451</v>
      </c>
      <c r="B2034" s="2">
        <v>46188</v>
      </c>
      <c r="C2034" t="s">
        <v>30</v>
      </c>
      <c r="D2034" t="s">
        <v>74</v>
      </c>
      <c r="E2034" t="s">
        <v>32</v>
      </c>
      <c r="F2034" t="s">
        <v>273</v>
      </c>
      <c r="G2034" t="s">
        <v>463</v>
      </c>
      <c r="H2034" t="s">
        <v>258</v>
      </c>
      <c r="I2034" t="s">
        <v>593</v>
      </c>
      <c r="J2034" t="s">
        <v>3127</v>
      </c>
      <c r="K2034" t="s">
        <v>37</v>
      </c>
      <c r="L2034" t="s">
        <v>55</v>
      </c>
      <c r="M2034" t="s">
        <v>56</v>
      </c>
      <c r="N2034" t="s">
        <v>94</v>
      </c>
      <c r="O2034" s="4">
        <v>4</v>
      </c>
      <c r="P2034" s="4">
        <v>6</v>
      </c>
      <c r="Q2034" t="s">
        <v>58</v>
      </c>
      <c r="R2034" s="2">
        <v>46179</v>
      </c>
      <c r="S2034" s="4">
        <v>24</v>
      </c>
      <c r="T2034" s="3">
        <v>233000000</v>
      </c>
      <c r="U2034" t="s">
        <v>42</v>
      </c>
      <c r="V2034" t="s">
        <v>59</v>
      </c>
      <c r="W2034" t="s">
        <v>188</v>
      </c>
      <c r="Y2034" t="s">
        <v>268</v>
      </c>
      <c r="Z2034" t="s">
        <v>3179</v>
      </c>
      <c r="AA2034" t="s">
        <v>46</v>
      </c>
      <c r="AB2034" t="s">
        <v>97</v>
      </c>
      <c r="AC2034" t="s">
        <v>46</v>
      </c>
    </row>
    <row r="2035" spans="1:29">
      <c r="A2035" t="s">
        <v>2452</v>
      </c>
      <c r="B2035" s="2">
        <v>46201</v>
      </c>
      <c r="C2035" t="s">
        <v>30</v>
      </c>
      <c r="D2035" t="s">
        <v>49</v>
      </c>
      <c r="E2035" t="s">
        <v>100</v>
      </c>
      <c r="F2035" t="s">
        <v>140</v>
      </c>
      <c r="G2035" t="s">
        <v>212</v>
      </c>
      <c r="H2035" t="s">
        <v>103</v>
      </c>
      <c r="I2035" t="s">
        <v>141</v>
      </c>
      <c r="J2035" t="s">
        <v>3018</v>
      </c>
      <c r="K2035" t="s">
        <v>105</v>
      </c>
      <c r="L2035" t="s">
        <v>169</v>
      </c>
      <c r="M2035" t="s">
        <v>129</v>
      </c>
      <c r="N2035" t="s">
        <v>196</v>
      </c>
      <c r="O2035" s="4">
        <v>7</v>
      </c>
      <c r="P2035" s="4">
        <v>19</v>
      </c>
      <c r="Q2035" t="s">
        <v>58</v>
      </c>
      <c r="R2035" s="2">
        <v>46200</v>
      </c>
      <c r="S2035" s="4">
        <v>3</v>
      </c>
      <c r="T2035" s="3">
        <v>132000000</v>
      </c>
      <c r="U2035" t="s">
        <v>196</v>
      </c>
      <c r="V2035" t="s">
        <v>70</v>
      </c>
      <c r="W2035" t="s">
        <v>197</v>
      </c>
      <c r="Y2035" t="s">
        <v>198</v>
      </c>
      <c r="Z2035" t="s">
        <v>3181</v>
      </c>
      <c r="AA2035" t="s">
        <v>109</v>
      </c>
      <c r="AB2035" t="s">
        <v>199</v>
      </c>
      <c r="AC2035" t="s">
        <v>109</v>
      </c>
    </row>
    <row r="2036" spans="1:29">
      <c r="A2036" t="s">
        <v>2453</v>
      </c>
      <c r="B2036" s="2">
        <v>46181</v>
      </c>
      <c r="C2036" t="s">
        <v>30</v>
      </c>
      <c r="D2036" t="s">
        <v>99</v>
      </c>
      <c r="E2036" t="s">
        <v>50</v>
      </c>
      <c r="F2036" t="s">
        <v>51</v>
      </c>
      <c r="G2036" t="s">
        <v>270</v>
      </c>
      <c r="H2036" t="s">
        <v>90</v>
      </c>
      <c r="I2036" t="s">
        <v>842</v>
      </c>
      <c r="J2036" t="s">
        <v>3161</v>
      </c>
      <c r="K2036" t="s">
        <v>105</v>
      </c>
      <c r="L2036" t="s">
        <v>150</v>
      </c>
      <c r="M2036" t="s">
        <v>93</v>
      </c>
      <c r="N2036" t="s">
        <v>196</v>
      </c>
      <c r="O2036" s="4">
        <v>7</v>
      </c>
      <c r="P2036" s="4">
        <v>11</v>
      </c>
      <c r="Q2036" t="s">
        <v>41</v>
      </c>
      <c r="R2036" s="2">
        <v>46171</v>
      </c>
      <c r="S2036" s="4">
        <v>32</v>
      </c>
      <c r="T2036" s="3">
        <v>342000000</v>
      </c>
      <c r="U2036" t="s">
        <v>564</v>
      </c>
      <c r="V2036" t="s">
        <v>70</v>
      </c>
      <c r="W2036" t="s">
        <v>197</v>
      </c>
      <c r="Y2036" t="s">
        <v>210</v>
      </c>
      <c r="Z2036" t="s">
        <v>3181</v>
      </c>
      <c r="AA2036" t="s">
        <v>62</v>
      </c>
      <c r="AB2036" t="s">
        <v>199</v>
      </c>
      <c r="AC2036" t="s">
        <v>62</v>
      </c>
    </row>
    <row r="2037" spans="1:29">
      <c r="A2037" t="s">
        <v>2454</v>
      </c>
      <c r="B2037" s="2">
        <v>46186</v>
      </c>
      <c r="C2037" t="s">
        <v>30</v>
      </c>
      <c r="D2037" t="s">
        <v>99</v>
      </c>
      <c r="E2037" t="s">
        <v>120</v>
      </c>
      <c r="F2037" t="s">
        <v>167</v>
      </c>
      <c r="G2037" t="s">
        <v>135</v>
      </c>
      <c r="H2037" t="s">
        <v>300</v>
      </c>
      <c r="I2037" t="s">
        <v>400</v>
      </c>
      <c r="J2037" t="s">
        <v>3074</v>
      </c>
      <c r="K2037" t="s">
        <v>92</v>
      </c>
      <c r="L2037" t="s">
        <v>68</v>
      </c>
      <c r="M2037" t="s">
        <v>56</v>
      </c>
      <c r="N2037" t="s">
        <v>57</v>
      </c>
      <c r="O2037" s="4">
        <v>3</v>
      </c>
      <c r="P2037" s="4">
        <v>8</v>
      </c>
      <c r="Q2037" t="s">
        <v>142</v>
      </c>
      <c r="R2037" s="2">
        <v>46186</v>
      </c>
      <c r="S2037" s="4">
        <v>17</v>
      </c>
      <c r="T2037" s="3">
        <v>43000000</v>
      </c>
      <c r="U2037" t="s">
        <v>42</v>
      </c>
      <c r="V2037" t="s">
        <v>59</v>
      </c>
      <c r="W2037" t="s">
        <v>71</v>
      </c>
      <c r="Y2037" t="s">
        <v>61</v>
      </c>
      <c r="Z2037" t="s">
        <v>3177</v>
      </c>
      <c r="AA2037" t="s">
        <v>97</v>
      </c>
      <c r="AB2037" t="s">
        <v>63</v>
      </c>
      <c r="AC2037" t="s">
        <v>97</v>
      </c>
    </row>
    <row r="2038" spans="1:29">
      <c r="A2038" t="s">
        <v>2455</v>
      </c>
      <c r="B2038" s="2">
        <v>46192</v>
      </c>
      <c r="C2038" t="s">
        <v>30</v>
      </c>
      <c r="D2038" t="s">
        <v>74</v>
      </c>
      <c r="E2038" t="s">
        <v>111</v>
      </c>
      <c r="F2038" t="s">
        <v>190</v>
      </c>
      <c r="G2038" t="s">
        <v>113</v>
      </c>
      <c r="H2038" t="s">
        <v>127</v>
      </c>
      <c r="I2038" t="s">
        <v>311</v>
      </c>
      <c r="J2038" t="s">
        <v>3048</v>
      </c>
      <c r="K2038" t="s">
        <v>56</v>
      </c>
      <c r="L2038" t="s">
        <v>187</v>
      </c>
      <c r="M2038" t="s">
        <v>39</v>
      </c>
      <c r="N2038" t="s">
        <v>130</v>
      </c>
      <c r="O2038" s="4">
        <v>5</v>
      </c>
      <c r="P2038" s="4">
        <v>14</v>
      </c>
      <c r="Q2038" t="s">
        <v>138</v>
      </c>
      <c r="R2038" s="2">
        <v>46189</v>
      </c>
      <c r="S2038" s="4">
        <v>14</v>
      </c>
      <c r="T2038" s="3">
        <v>319000000</v>
      </c>
      <c r="U2038" t="s">
        <v>42</v>
      </c>
      <c r="V2038" t="s">
        <v>70</v>
      </c>
      <c r="W2038" t="s">
        <v>131</v>
      </c>
      <c r="Y2038" t="s">
        <v>132</v>
      </c>
      <c r="Z2038" t="s">
        <v>3179</v>
      </c>
      <c r="AA2038" t="s">
        <v>118</v>
      </c>
      <c r="AB2038" t="s">
        <v>97</v>
      </c>
      <c r="AC2038" t="s">
        <v>118</v>
      </c>
    </row>
    <row r="2039" spans="1:29">
      <c r="A2039" t="s">
        <v>2456</v>
      </c>
      <c r="B2039" s="2">
        <v>46188</v>
      </c>
      <c r="C2039" t="s">
        <v>30</v>
      </c>
      <c r="D2039" t="s">
        <v>74</v>
      </c>
      <c r="E2039" t="s">
        <v>100</v>
      </c>
      <c r="F2039" t="s">
        <v>140</v>
      </c>
      <c r="G2039" t="s">
        <v>237</v>
      </c>
      <c r="H2039" t="s">
        <v>103</v>
      </c>
      <c r="I2039" t="s">
        <v>104</v>
      </c>
      <c r="J2039" t="s">
        <v>3013</v>
      </c>
      <c r="K2039" t="s">
        <v>92</v>
      </c>
      <c r="L2039" t="s">
        <v>187</v>
      </c>
      <c r="M2039" t="s">
        <v>93</v>
      </c>
      <c r="N2039" t="s">
        <v>213</v>
      </c>
      <c r="O2039" s="4">
        <v>6</v>
      </c>
      <c r="P2039" s="4">
        <v>10</v>
      </c>
      <c r="Q2039" t="s">
        <v>138</v>
      </c>
      <c r="R2039" s="2">
        <v>46179</v>
      </c>
      <c r="S2039" s="4">
        <v>24</v>
      </c>
      <c r="T2039" s="3">
        <v>104000000</v>
      </c>
      <c r="U2039" t="s">
        <v>214</v>
      </c>
      <c r="V2039" t="s">
        <v>70</v>
      </c>
      <c r="W2039" t="s">
        <v>215</v>
      </c>
      <c r="Y2039" t="s">
        <v>216</v>
      </c>
      <c r="Z2039" t="s">
        <v>3179</v>
      </c>
      <c r="AA2039" t="s">
        <v>109</v>
      </c>
      <c r="AB2039" t="s">
        <v>97</v>
      </c>
      <c r="AC2039" t="s">
        <v>109</v>
      </c>
    </row>
    <row r="2040" spans="1:29">
      <c r="A2040" t="s">
        <v>2457</v>
      </c>
      <c r="B2040" s="2">
        <v>46177</v>
      </c>
      <c r="C2040" t="s">
        <v>30</v>
      </c>
      <c r="D2040" t="s">
        <v>134</v>
      </c>
      <c r="E2040" t="s">
        <v>111</v>
      </c>
      <c r="F2040" t="s">
        <v>112</v>
      </c>
      <c r="G2040" t="s">
        <v>348</v>
      </c>
      <c r="H2040" t="s">
        <v>127</v>
      </c>
      <c r="I2040" t="s">
        <v>648</v>
      </c>
      <c r="J2040" t="s">
        <v>3140</v>
      </c>
      <c r="K2040" t="s">
        <v>92</v>
      </c>
      <c r="L2040" t="s">
        <v>80</v>
      </c>
      <c r="M2040" t="s">
        <v>56</v>
      </c>
      <c r="N2040" t="s">
        <v>57</v>
      </c>
      <c r="O2040" s="4">
        <v>3</v>
      </c>
      <c r="P2040" s="4">
        <v>6</v>
      </c>
      <c r="Q2040" t="s">
        <v>41</v>
      </c>
      <c r="R2040" s="2">
        <v>46167</v>
      </c>
      <c r="S2040" s="4">
        <v>36</v>
      </c>
      <c r="T2040" s="3">
        <v>67000000</v>
      </c>
      <c r="U2040" t="s">
        <v>42</v>
      </c>
      <c r="V2040" t="s">
        <v>59</v>
      </c>
      <c r="W2040" t="s">
        <v>71</v>
      </c>
      <c r="Y2040" t="s">
        <v>158</v>
      </c>
      <c r="Z2040" t="s">
        <v>3177</v>
      </c>
      <c r="AA2040" t="s">
        <v>118</v>
      </c>
      <c r="AB2040" t="s">
        <v>63</v>
      </c>
      <c r="AC2040" t="s">
        <v>118</v>
      </c>
    </row>
    <row r="2041" spans="1:29">
      <c r="A2041" t="s">
        <v>2458</v>
      </c>
      <c r="B2041" s="2">
        <v>46196</v>
      </c>
      <c r="C2041" t="s">
        <v>30</v>
      </c>
      <c r="D2041" t="s">
        <v>49</v>
      </c>
      <c r="E2041" t="s">
        <v>100</v>
      </c>
      <c r="F2041" t="s">
        <v>146</v>
      </c>
      <c r="G2041" t="s">
        <v>237</v>
      </c>
      <c r="H2041" t="s">
        <v>103</v>
      </c>
      <c r="I2041" t="s">
        <v>436</v>
      </c>
      <c r="J2041" t="s">
        <v>3084</v>
      </c>
      <c r="K2041" t="s">
        <v>92</v>
      </c>
      <c r="L2041" t="s">
        <v>80</v>
      </c>
      <c r="M2041" t="s">
        <v>39</v>
      </c>
      <c r="N2041" t="s">
        <v>57</v>
      </c>
      <c r="O2041" s="4">
        <v>3</v>
      </c>
      <c r="P2041" s="4">
        <v>6</v>
      </c>
      <c r="Q2041" t="s">
        <v>69</v>
      </c>
      <c r="R2041" s="2">
        <v>46188</v>
      </c>
      <c r="S2041" s="4">
        <v>15</v>
      </c>
      <c r="T2041" s="3">
        <v>93000000</v>
      </c>
      <c r="U2041" t="s">
        <v>42</v>
      </c>
      <c r="V2041" t="s">
        <v>59</v>
      </c>
      <c r="W2041" t="s">
        <v>60</v>
      </c>
      <c r="Y2041" t="s">
        <v>158</v>
      </c>
      <c r="Z2041" t="s">
        <v>3177</v>
      </c>
      <c r="AA2041" t="s">
        <v>109</v>
      </c>
      <c r="AB2041" t="s">
        <v>63</v>
      </c>
      <c r="AC2041" t="s">
        <v>109</v>
      </c>
    </row>
    <row r="2042" spans="1:29">
      <c r="A2042" t="s">
        <v>2459</v>
      </c>
      <c r="B2042" s="2">
        <v>46189</v>
      </c>
      <c r="C2042" t="s">
        <v>30</v>
      </c>
      <c r="D2042" t="s">
        <v>74</v>
      </c>
      <c r="E2042" t="s">
        <v>111</v>
      </c>
      <c r="F2042" t="s">
        <v>264</v>
      </c>
      <c r="G2042" t="s">
        <v>251</v>
      </c>
      <c r="H2042" t="s">
        <v>127</v>
      </c>
      <c r="I2042" t="s">
        <v>349</v>
      </c>
      <c r="J2042" t="s">
        <v>3059</v>
      </c>
      <c r="K2042" t="s">
        <v>37</v>
      </c>
      <c r="L2042" t="s">
        <v>55</v>
      </c>
      <c r="M2042" t="s">
        <v>129</v>
      </c>
      <c r="N2042" t="s">
        <v>213</v>
      </c>
      <c r="O2042" s="4">
        <v>6</v>
      </c>
      <c r="P2042" s="4">
        <v>9</v>
      </c>
      <c r="Q2042" t="s">
        <v>83</v>
      </c>
      <c r="R2042" s="2">
        <v>46189</v>
      </c>
      <c r="S2042" s="4">
        <v>14</v>
      </c>
      <c r="T2042" s="3">
        <v>208000000</v>
      </c>
      <c r="U2042" t="s">
        <v>214</v>
      </c>
      <c r="V2042" t="s">
        <v>70</v>
      </c>
      <c r="W2042" t="s">
        <v>438</v>
      </c>
      <c r="Y2042" t="s">
        <v>424</v>
      </c>
      <c r="Z2042" t="s">
        <v>3179</v>
      </c>
      <c r="AA2042" t="s">
        <v>118</v>
      </c>
      <c r="AB2042" t="s">
        <v>97</v>
      </c>
      <c r="AC2042" t="s">
        <v>118</v>
      </c>
    </row>
    <row r="2043" spans="1:29">
      <c r="A2043" t="s">
        <v>2460</v>
      </c>
      <c r="B2043" s="2">
        <v>46202</v>
      </c>
      <c r="C2043" t="s">
        <v>30</v>
      </c>
      <c r="D2043" t="s">
        <v>31</v>
      </c>
      <c r="E2043" t="s">
        <v>172</v>
      </c>
      <c r="F2043" t="s">
        <v>173</v>
      </c>
      <c r="G2043" t="s">
        <v>278</v>
      </c>
      <c r="H2043" t="s">
        <v>317</v>
      </c>
      <c r="I2043" t="s">
        <v>478</v>
      </c>
      <c r="J2043" t="s">
        <v>3099</v>
      </c>
      <c r="K2043" t="s">
        <v>116</v>
      </c>
      <c r="L2043" t="s">
        <v>80</v>
      </c>
      <c r="M2043" t="s">
        <v>81</v>
      </c>
      <c r="N2043" t="s">
        <v>40</v>
      </c>
      <c r="O2043" s="4">
        <v>2</v>
      </c>
      <c r="P2043" s="4">
        <v>6</v>
      </c>
      <c r="Q2043" t="s">
        <v>83</v>
      </c>
      <c r="R2043" s="2">
        <v>46196</v>
      </c>
      <c r="S2043" s="4">
        <v>7</v>
      </c>
      <c r="T2043" s="3">
        <v>132000000</v>
      </c>
      <c r="U2043" t="s">
        <v>42</v>
      </c>
      <c r="V2043" t="s">
        <v>43</v>
      </c>
      <c r="W2043" t="s">
        <v>44</v>
      </c>
      <c r="Y2043" t="s">
        <v>45</v>
      </c>
      <c r="Z2043" t="s">
        <v>3178</v>
      </c>
      <c r="AA2043" t="s">
        <v>181</v>
      </c>
      <c r="AB2043" t="s">
        <v>87</v>
      </c>
      <c r="AC2043" t="s">
        <v>181</v>
      </c>
    </row>
    <row r="2044" spans="1:29">
      <c r="A2044" t="s">
        <v>2461</v>
      </c>
      <c r="B2044" s="2">
        <v>46177</v>
      </c>
      <c r="C2044" t="s">
        <v>30</v>
      </c>
      <c r="D2044" t="s">
        <v>134</v>
      </c>
      <c r="E2044" t="s">
        <v>75</v>
      </c>
      <c r="F2044" t="s">
        <v>161</v>
      </c>
      <c r="G2044" t="s">
        <v>77</v>
      </c>
      <c r="H2044" t="s">
        <v>78</v>
      </c>
      <c r="I2044" t="s">
        <v>810</v>
      </c>
      <c r="J2044" t="s">
        <v>3157</v>
      </c>
      <c r="K2044" t="s">
        <v>92</v>
      </c>
      <c r="L2044" t="s">
        <v>38</v>
      </c>
      <c r="M2044" t="s">
        <v>93</v>
      </c>
      <c r="N2044" t="s">
        <v>196</v>
      </c>
      <c r="O2044" s="4">
        <v>7</v>
      </c>
      <c r="P2044" s="4">
        <v>10</v>
      </c>
      <c r="Q2044" t="s">
        <v>142</v>
      </c>
      <c r="R2044" s="2">
        <v>46170</v>
      </c>
      <c r="S2044" s="4">
        <v>33</v>
      </c>
      <c r="T2044" s="3">
        <v>252000000</v>
      </c>
      <c r="U2044" t="s">
        <v>196</v>
      </c>
      <c r="V2044" t="s">
        <v>70</v>
      </c>
      <c r="W2044" t="s">
        <v>243</v>
      </c>
      <c r="Y2044" t="s">
        <v>210</v>
      </c>
      <c r="Z2044" t="s">
        <v>3181</v>
      </c>
      <c r="AA2044" t="s">
        <v>86</v>
      </c>
      <c r="AB2044" t="s">
        <v>199</v>
      </c>
      <c r="AC2044" t="s">
        <v>86</v>
      </c>
    </row>
    <row r="2045" spans="1:29">
      <c r="A2045" t="s">
        <v>2462</v>
      </c>
      <c r="B2045" s="2">
        <v>46178</v>
      </c>
      <c r="C2045" t="s">
        <v>30</v>
      </c>
      <c r="D2045" t="s">
        <v>134</v>
      </c>
      <c r="E2045" t="s">
        <v>75</v>
      </c>
      <c r="F2045" t="s">
        <v>76</v>
      </c>
      <c r="G2045" t="s">
        <v>162</v>
      </c>
      <c r="H2045" t="s">
        <v>185</v>
      </c>
      <c r="I2045" t="s">
        <v>795</v>
      </c>
      <c r="J2045" t="s">
        <v>3155</v>
      </c>
      <c r="K2045" t="s">
        <v>92</v>
      </c>
      <c r="L2045" t="s">
        <v>187</v>
      </c>
      <c r="M2045" t="s">
        <v>39</v>
      </c>
      <c r="N2045" t="s">
        <v>82</v>
      </c>
      <c r="O2045" s="4">
        <v>1</v>
      </c>
      <c r="P2045" s="4">
        <v>9</v>
      </c>
      <c r="Q2045" t="s">
        <v>69</v>
      </c>
      <c r="R2045" s="2">
        <v>46175</v>
      </c>
      <c r="S2045" s="4">
        <v>28</v>
      </c>
      <c r="T2045" s="3">
        <v>166000000</v>
      </c>
      <c r="U2045" t="s">
        <v>42</v>
      </c>
      <c r="V2045" t="s">
        <v>43</v>
      </c>
      <c r="W2045" t="s">
        <v>290</v>
      </c>
      <c r="Y2045" t="s">
        <v>305</v>
      </c>
      <c r="Z2045" t="s">
        <v>3178</v>
      </c>
      <c r="AA2045" t="s">
        <v>86</v>
      </c>
      <c r="AB2045" t="s">
        <v>87</v>
      </c>
      <c r="AC2045" t="s">
        <v>86</v>
      </c>
    </row>
    <row r="2046" spans="1:29">
      <c r="A2046" t="s">
        <v>2463</v>
      </c>
      <c r="B2046" s="2">
        <v>46203</v>
      </c>
      <c r="C2046" t="s">
        <v>30</v>
      </c>
      <c r="D2046" t="s">
        <v>31</v>
      </c>
      <c r="E2046" t="s">
        <v>111</v>
      </c>
      <c r="F2046" t="s">
        <v>264</v>
      </c>
      <c r="G2046" t="s">
        <v>126</v>
      </c>
      <c r="H2046" t="s">
        <v>114</v>
      </c>
      <c r="I2046" t="s">
        <v>383</v>
      </c>
      <c r="J2046" t="s">
        <v>3070</v>
      </c>
      <c r="K2046" t="s">
        <v>105</v>
      </c>
      <c r="L2046" t="s">
        <v>187</v>
      </c>
      <c r="M2046" t="s">
        <v>129</v>
      </c>
      <c r="N2046" t="s">
        <v>57</v>
      </c>
      <c r="O2046" s="4">
        <v>3</v>
      </c>
      <c r="P2046" s="4">
        <v>6</v>
      </c>
      <c r="Q2046" t="s">
        <v>142</v>
      </c>
      <c r="R2046" s="2">
        <v>46194</v>
      </c>
      <c r="S2046" s="4">
        <v>9</v>
      </c>
      <c r="T2046" s="3">
        <v>146000000</v>
      </c>
      <c r="U2046" t="s">
        <v>42</v>
      </c>
      <c r="V2046" t="s">
        <v>59</v>
      </c>
      <c r="W2046" t="s">
        <v>157</v>
      </c>
      <c r="Y2046" t="s">
        <v>165</v>
      </c>
      <c r="Z2046" t="s">
        <v>3177</v>
      </c>
      <c r="AA2046" t="s">
        <v>118</v>
      </c>
      <c r="AB2046" t="s">
        <v>63</v>
      </c>
      <c r="AC2046" t="s">
        <v>118</v>
      </c>
    </row>
    <row r="2047" spans="1:29">
      <c r="A2047" t="s">
        <v>2464</v>
      </c>
      <c r="B2047" s="2">
        <v>46191</v>
      </c>
      <c r="C2047" t="s">
        <v>30</v>
      </c>
      <c r="D2047" t="s">
        <v>74</v>
      </c>
      <c r="E2047" t="s">
        <v>152</v>
      </c>
      <c r="F2047" t="s">
        <v>221</v>
      </c>
      <c r="G2047" t="s">
        <v>294</v>
      </c>
      <c r="H2047" t="s">
        <v>207</v>
      </c>
      <c r="I2047" t="s">
        <v>547</v>
      </c>
      <c r="J2047" t="s">
        <v>3116</v>
      </c>
      <c r="K2047" t="s">
        <v>92</v>
      </c>
      <c r="L2047" t="s">
        <v>80</v>
      </c>
      <c r="M2047" t="s">
        <v>106</v>
      </c>
      <c r="N2047" t="s">
        <v>82</v>
      </c>
      <c r="O2047" s="4">
        <v>1</v>
      </c>
      <c r="P2047" s="4">
        <v>9</v>
      </c>
      <c r="Q2047" t="s">
        <v>138</v>
      </c>
      <c r="R2047" s="2">
        <v>46187</v>
      </c>
      <c r="S2047" s="4">
        <v>16</v>
      </c>
      <c r="T2047" s="3">
        <v>158000000</v>
      </c>
      <c r="U2047" t="s">
        <v>42</v>
      </c>
      <c r="V2047" t="s">
        <v>43</v>
      </c>
      <c r="W2047" t="s">
        <v>290</v>
      </c>
      <c r="Y2047" t="s">
        <v>330</v>
      </c>
      <c r="Z2047" t="s">
        <v>3178</v>
      </c>
      <c r="AA2047" t="s">
        <v>159</v>
      </c>
      <c r="AB2047" t="s">
        <v>87</v>
      </c>
      <c r="AC2047" t="s">
        <v>159</v>
      </c>
    </row>
    <row r="2048" spans="1:29">
      <c r="A2048" t="s">
        <v>2465</v>
      </c>
      <c r="B2048" s="2">
        <v>46174</v>
      </c>
      <c r="C2048" t="s">
        <v>30</v>
      </c>
      <c r="D2048" t="s">
        <v>134</v>
      </c>
      <c r="E2048" t="s">
        <v>111</v>
      </c>
      <c r="F2048" t="s">
        <v>112</v>
      </c>
      <c r="G2048" t="s">
        <v>113</v>
      </c>
      <c r="H2048" t="s">
        <v>114</v>
      </c>
      <c r="I2048" t="s">
        <v>645</v>
      </c>
      <c r="J2048" t="s">
        <v>3139</v>
      </c>
      <c r="K2048" t="s">
        <v>105</v>
      </c>
      <c r="L2048" t="s">
        <v>150</v>
      </c>
      <c r="M2048" t="s">
        <v>164</v>
      </c>
      <c r="N2048" t="s">
        <v>82</v>
      </c>
      <c r="O2048" s="4">
        <v>1</v>
      </c>
      <c r="P2048" s="4">
        <v>8</v>
      </c>
      <c r="Q2048" t="s">
        <v>142</v>
      </c>
      <c r="R2048" s="2">
        <v>46170</v>
      </c>
      <c r="S2048" s="4">
        <v>33</v>
      </c>
      <c r="T2048" s="3">
        <v>249000000</v>
      </c>
      <c r="U2048" t="s">
        <v>42</v>
      </c>
      <c r="V2048" t="s">
        <v>43</v>
      </c>
      <c r="W2048" t="s">
        <v>84</v>
      </c>
      <c r="Y2048" t="s">
        <v>85</v>
      </c>
      <c r="Z2048" t="s">
        <v>3178</v>
      </c>
      <c r="AA2048" t="s">
        <v>118</v>
      </c>
      <c r="AB2048" t="s">
        <v>87</v>
      </c>
      <c r="AC2048" t="s">
        <v>118</v>
      </c>
    </row>
    <row r="2049" spans="1:29">
      <c r="A2049" t="s">
        <v>2466</v>
      </c>
      <c r="B2049" s="2">
        <v>46179</v>
      </c>
      <c r="C2049" t="s">
        <v>30</v>
      </c>
      <c r="D2049" t="s">
        <v>134</v>
      </c>
      <c r="E2049" t="s">
        <v>100</v>
      </c>
      <c r="F2049" t="s">
        <v>146</v>
      </c>
      <c r="G2049" t="s">
        <v>237</v>
      </c>
      <c r="H2049" t="s">
        <v>103</v>
      </c>
      <c r="I2049" t="s">
        <v>563</v>
      </c>
      <c r="J2049" t="s">
        <v>3120</v>
      </c>
      <c r="K2049" t="s">
        <v>37</v>
      </c>
      <c r="L2049" t="s">
        <v>55</v>
      </c>
      <c r="M2049" t="s">
        <v>129</v>
      </c>
      <c r="N2049" t="s">
        <v>57</v>
      </c>
      <c r="O2049" s="4">
        <v>3</v>
      </c>
      <c r="P2049" s="4">
        <v>10</v>
      </c>
      <c r="Q2049" t="s">
        <v>107</v>
      </c>
      <c r="R2049" s="2">
        <v>46179</v>
      </c>
      <c r="S2049" s="4">
        <v>24</v>
      </c>
      <c r="T2049" s="3">
        <v>80000000</v>
      </c>
      <c r="U2049" t="s">
        <v>42</v>
      </c>
      <c r="V2049" t="s">
        <v>59</v>
      </c>
      <c r="W2049" t="s">
        <v>203</v>
      </c>
      <c r="Y2049" t="s">
        <v>165</v>
      </c>
      <c r="Z2049" t="s">
        <v>3177</v>
      </c>
      <c r="AA2049" t="s">
        <v>109</v>
      </c>
      <c r="AB2049" t="s">
        <v>63</v>
      </c>
      <c r="AC2049" t="s">
        <v>109</v>
      </c>
    </row>
    <row r="2050" spans="1:29">
      <c r="A2050" t="s">
        <v>2467</v>
      </c>
      <c r="B2050" s="2">
        <v>46175</v>
      </c>
      <c r="C2050" t="s">
        <v>30</v>
      </c>
      <c r="D2050" t="s">
        <v>134</v>
      </c>
      <c r="E2050" t="s">
        <v>50</v>
      </c>
      <c r="F2050" t="s">
        <v>89</v>
      </c>
      <c r="G2050" t="s">
        <v>343</v>
      </c>
      <c r="H2050" t="s">
        <v>53</v>
      </c>
      <c r="I2050" t="s">
        <v>787</v>
      </c>
      <c r="J2050" t="s">
        <v>3154</v>
      </c>
      <c r="K2050" t="s">
        <v>37</v>
      </c>
      <c r="L2050" t="s">
        <v>187</v>
      </c>
      <c r="M2050" t="s">
        <v>93</v>
      </c>
      <c r="N2050" t="s">
        <v>196</v>
      </c>
      <c r="O2050" s="4">
        <v>7</v>
      </c>
      <c r="P2050" s="4">
        <v>17</v>
      </c>
      <c r="Q2050" t="s">
        <v>138</v>
      </c>
      <c r="R2050" s="2">
        <v>46173</v>
      </c>
      <c r="S2050" s="4">
        <v>30</v>
      </c>
      <c r="T2050" s="3">
        <v>110000000</v>
      </c>
      <c r="U2050" t="s">
        <v>564</v>
      </c>
      <c r="V2050" t="s">
        <v>70</v>
      </c>
      <c r="W2050" t="s">
        <v>209</v>
      </c>
      <c r="Y2050" t="s">
        <v>369</v>
      </c>
      <c r="Z2050" t="s">
        <v>3181</v>
      </c>
      <c r="AA2050" t="s">
        <v>62</v>
      </c>
      <c r="AB2050" t="s">
        <v>199</v>
      </c>
      <c r="AC2050" t="s">
        <v>62</v>
      </c>
    </row>
    <row r="2051" spans="1:29">
      <c r="A2051" t="s">
        <v>2468</v>
      </c>
      <c r="B2051" s="2">
        <v>46183</v>
      </c>
      <c r="C2051" t="s">
        <v>30</v>
      </c>
      <c r="D2051" t="s">
        <v>99</v>
      </c>
      <c r="E2051" t="s">
        <v>111</v>
      </c>
      <c r="F2051" t="s">
        <v>264</v>
      </c>
      <c r="G2051" t="s">
        <v>265</v>
      </c>
      <c r="H2051" t="s">
        <v>114</v>
      </c>
      <c r="I2051" t="s">
        <v>266</v>
      </c>
      <c r="J2051" t="s">
        <v>3037</v>
      </c>
      <c r="K2051" t="s">
        <v>116</v>
      </c>
      <c r="L2051" t="s">
        <v>38</v>
      </c>
      <c r="M2051" t="s">
        <v>56</v>
      </c>
      <c r="N2051" t="s">
        <v>130</v>
      </c>
      <c r="O2051" s="4">
        <v>5</v>
      </c>
      <c r="P2051" s="4">
        <v>8</v>
      </c>
      <c r="Q2051" t="s">
        <v>138</v>
      </c>
      <c r="R2051" s="2">
        <v>46181</v>
      </c>
      <c r="S2051" s="4">
        <v>22</v>
      </c>
      <c r="T2051" s="3">
        <v>79000000</v>
      </c>
      <c r="U2051" t="s">
        <v>42</v>
      </c>
      <c r="V2051" t="s">
        <v>59</v>
      </c>
      <c r="W2051" t="s">
        <v>144</v>
      </c>
      <c r="Y2051" t="s">
        <v>262</v>
      </c>
      <c r="Z2051" t="s">
        <v>3179</v>
      </c>
      <c r="AA2051" t="s">
        <v>118</v>
      </c>
      <c r="AB2051" t="s">
        <v>97</v>
      </c>
      <c r="AC2051" t="s">
        <v>118</v>
      </c>
    </row>
    <row r="2052" spans="1:29">
      <c r="A2052" t="s">
        <v>2469</v>
      </c>
      <c r="B2052" s="2">
        <v>46196</v>
      </c>
      <c r="C2052" t="s">
        <v>30</v>
      </c>
      <c r="D2052" t="s">
        <v>49</v>
      </c>
      <c r="E2052" t="s">
        <v>32</v>
      </c>
      <c r="F2052" t="s">
        <v>256</v>
      </c>
      <c r="G2052" t="s">
        <v>34</v>
      </c>
      <c r="H2052" t="s">
        <v>303</v>
      </c>
      <c r="I2052" t="s">
        <v>1021</v>
      </c>
      <c r="J2052" t="s">
        <v>3171</v>
      </c>
      <c r="K2052" t="s">
        <v>105</v>
      </c>
      <c r="L2052" t="s">
        <v>187</v>
      </c>
      <c r="M2052" t="s">
        <v>39</v>
      </c>
      <c r="N2052" t="s">
        <v>94</v>
      </c>
      <c r="O2052" s="4">
        <v>4</v>
      </c>
      <c r="P2052" s="4">
        <v>4</v>
      </c>
      <c r="Q2052" t="s">
        <v>69</v>
      </c>
      <c r="R2052" s="2">
        <v>46193</v>
      </c>
      <c r="S2052" s="4">
        <v>10</v>
      </c>
      <c r="T2052" s="3">
        <v>147000000</v>
      </c>
      <c r="U2052" t="s">
        <v>42</v>
      </c>
      <c r="V2052" t="s">
        <v>143</v>
      </c>
      <c r="W2052" t="s">
        <v>188</v>
      </c>
      <c r="Y2052" t="s">
        <v>108</v>
      </c>
      <c r="Z2052" t="s">
        <v>3179</v>
      </c>
      <c r="AA2052" t="s">
        <v>46</v>
      </c>
      <c r="AB2052" t="s">
        <v>97</v>
      </c>
      <c r="AC2052" t="s">
        <v>46</v>
      </c>
    </row>
    <row r="2053" spans="1:29">
      <c r="A2053" t="s">
        <v>2470</v>
      </c>
      <c r="B2053" s="2">
        <v>46180</v>
      </c>
      <c r="C2053" t="s">
        <v>30</v>
      </c>
      <c r="D2053" t="s">
        <v>134</v>
      </c>
      <c r="E2053" t="s">
        <v>111</v>
      </c>
      <c r="F2053" t="s">
        <v>112</v>
      </c>
      <c r="G2053" t="s">
        <v>113</v>
      </c>
      <c r="H2053" t="s">
        <v>191</v>
      </c>
      <c r="I2053" t="s">
        <v>606</v>
      </c>
      <c r="J2053" t="s">
        <v>3131</v>
      </c>
      <c r="K2053" t="s">
        <v>116</v>
      </c>
      <c r="L2053" t="s">
        <v>38</v>
      </c>
      <c r="M2053" t="s">
        <v>129</v>
      </c>
      <c r="N2053" t="s">
        <v>94</v>
      </c>
      <c r="O2053" s="4">
        <v>4</v>
      </c>
      <c r="P2053" s="4">
        <v>6</v>
      </c>
      <c r="Q2053" t="s">
        <v>41</v>
      </c>
      <c r="R2053" s="2">
        <v>46174</v>
      </c>
      <c r="S2053" s="4">
        <v>29</v>
      </c>
      <c r="T2053" s="3">
        <v>33000000</v>
      </c>
      <c r="U2053" t="s">
        <v>42</v>
      </c>
      <c r="V2053" t="s">
        <v>59</v>
      </c>
      <c r="W2053" t="s">
        <v>267</v>
      </c>
      <c r="Y2053" t="s">
        <v>96</v>
      </c>
      <c r="Z2053" t="s">
        <v>3179</v>
      </c>
      <c r="AA2053" t="s">
        <v>118</v>
      </c>
      <c r="AB2053" t="s">
        <v>97</v>
      </c>
      <c r="AC2053" t="s">
        <v>118</v>
      </c>
    </row>
    <row r="2054" spans="1:29">
      <c r="A2054" t="s">
        <v>2471</v>
      </c>
      <c r="B2054" s="2">
        <v>46198</v>
      </c>
      <c r="C2054" t="s">
        <v>30</v>
      </c>
      <c r="D2054" t="s">
        <v>49</v>
      </c>
      <c r="E2054" t="s">
        <v>152</v>
      </c>
      <c r="F2054" t="s">
        <v>153</v>
      </c>
      <c r="G2054" t="s">
        <v>206</v>
      </c>
      <c r="H2054" t="s">
        <v>207</v>
      </c>
      <c r="I2054" t="s">
        <v>365</v>
      </c>
      <c r="J2054" t="s">
        <v>3063</v>
      </c>
      <c r="K2054" t="s">
        <v>116</v>
      </c>
      <c r="L2054" t="s">
        <v>68</v>
      </c>
      <c r="M2054" t="s">
        <v>56</v>
      </c>
      <c r="N2054" t="s">
        <v>57</v>
      </c>
      <c r="O2054" s="4">
        <v>3</v>
      </c>
      <c r="P2054" s="4">
        <v>12</v>
      </c>
      <c r="Q2054" t="s">
        <v>83</v>
      </c>
      <c r="R2054" s="2">
        <v>46195</v>
      </c>
      <c r="S2054" s="4">
        <v>8</v>
      </c>
      <c r="T2054" s="3">
        <v>73000000</v>
      </c>
      <c r="U2054" t="s">
        <v>42</v>
      </c>
      <c r="V2054" t="s">
        <v>59</v>
      </c>
      <c r="W2054" t="s">
        <v>157</v>
      </c>
      <c r="Y2054" t="s">
        <v>158</v>
      </c>
      <c r="Z2054" t="s">
        <v>3180</v>
      </c>
      <c r="AA2054" t="s">
        <v>159</v>
      </c>
      <c r="AB2054" t="s">
        <v>193</v>
      </c>
      <c r="AC2054" t="s">
        <v>159</v>
      </c>
    </row>
    <row r="2055" spans="1:29">
      <c r="A2055" t="s">
        <v>2472</v>
      </c>
      <c r="B2055" s="2">
        <v>46190</v>
      </c>
      <c r="C2055" t="s">
        <v>30</v>
      </c>
      <c r="D2055" t="s">
        <v>74</v>
      </c>
      <c r="E2055" t="s">
        <v>120</v>
      </c>
      <c r="F2055" t="s">
        <v>121</v>
      </c>
      <c r="G2055" t="s">
        <v>420</v>
      </c>
      <c r="H2055" t="s">
        <v>123</v>
      </c>
      <c r="I2055" t="s">
        <v>519</v>
      </c>
      <c r="J2055" t="s">
        <v>3109</v>
      </c>
      <c r="K2055" t="s">
        <v>116</v>
      </c>
      <c r="L2055" t="s">
        <v>80</v>
      </c>
      <c r="M2055" t="s">
        <v>106</v>
      </c>
      <c r="N2055" t="s">
        <v>40</v>
      </c>
      <c r="O2055" s="4">
        <v>2</v>
      </c>
      <c r="P2055" s="4">
        <v>7</v>
      </c>
      <c r="Q2055" t="s">
        <v>58</v>
      </c>
      <c r="R2055" s="2">
        <v>46187</v>
      </c>
      <c r="S2055" s="4">
        <v>16</v>
      </c>
      <c r="T2055" s="3">
        <v>54000000</v>
      </c>
      <c r="U2055" t="s">
        <v>42</v>
      </c>
      <c r="V2055" t="s">
        <v>43</v>
      </c>
      <c r="W2055" t="s">
        <v>44</v>
      </c>
      <c r="Y2055" t="s">
        <v>180</v>
      </c>
      <c r="Z2055" t="s">
        <v>3178</v>
      </c>
      <c r="AA2055" t="s">
        <v>97</v>
      </c>
      <c r="AB2055" t="s">
        <v>87</v>
      </c>
      <c r="AC2055" t="s">
        <v>97</v>
      </c>
    </row>
    <row r="2056" spans="1:29">
      <c r="A2056" t="s">
        <v>2473</v>
      </c>
      <c r="B2056" s="2">
        <v>46179</v>
      </c>
      <c r="C2056" t="s">
        <v>30</v>
      </c>
      <c r="D2056" t="s">
        <v>134</v>
      </c>
      <c r="E2056" t="s">
        <v>100</v>
      </c>
      <c r="F2056" t="s">
        <v>101</v>
      </c>
      <c r="G2056" t="s">
        <v>313</v>
      </c>
      <c r="H2056" t="s">
        <v>103</v>
      </c>
      <c r="I2056" t="s">
        <v>563</v>
      </c>
      <c r="J2056" t="s">
        <v>3120</v>
      </c>
      <c r="K2056" t="s">
        <v>37</v>
      </c>
      <c r="L2056" t="s">
        <v>38</v>
      </c>
      <c r="M2056" t="s">
        <v>106</v>
      </c>
      <c r="N2056" t="s">
        <v>196</v>
      </c>
      <c r="O2056" s="4">
        <v>7</v>
      </c>
      <c r="P2056" s="4">
        <v>17</v>
      </c>
      <c r="Q2056" t="s">
        <v>107</v>
      </c>
      <c r="R2056" s="2">
        <v>46175</v>
      </c>
      <c r="S2056" s="4">
        <v>28</v>
      </c>
      <c r="T2056" s="3">
        <v>117000000</v>
      </c>
      <c r="U2056" t="s">
        <v>196</v>
      </c>
      <c r="V2056" t="s">
        <v>70</v>
      </c>
      <c r="W2056" t="s">
        <v>243</v>
      </c>
      <c r="Y2056" t="s">
        <v>244</v>
      </c>
      <c r="Z2056" t="s">
        <v>3181</v>
      </c>
      <c r="AA2056" t="s">
        <v>109</v>
      </c>
      <c r="AB2056" t="s">
        <v>199</v>
      </c>
      <c r="AC2056" t="s">
        <v>109</v>
      </c>
    </row>
    <row r="2057" spans="1:29">
      <c r="A2057" t="s">
        <v>2474</v>
      </c>
      <c r="B2057" s="2">
        <v>46196</v>
      </c>
      <c r="C2057" t="s">
        <v>30</v>
      </c>
      <c r="D2057" t="s">
        <v>49</v>
      </c>
      <c r="E2057" t="s">
        <v>75</v>
      </c>
      <c r="F2057" t="s">
        <v>76</v>
      </c>
      <c r="G2057" t="s">
        <v>387</v>
      </c>
      <c r="H2057" t="s">
        <v>185</v>
      </c>
      <c r="I2057" t="s">
        <v>428</v>
      </c>
      <c r="J2057" t="s">
        <v>3081</v>
      </c>
      <c r="K2057" t="s">
        <v>92</v>
      </c>
      <c r="L2057" t="s">
        <v>38</v>
      </c>
      <c r="M2057" t="s">
        <v>164</v>
      </c>
      <c r="N2057" t="s">
        <v>94</v>
      </c>
      <c r="O2057" s="4">
        <v>4</v>
      </c>
      <c r="P2057" s="4">
        <v>16</v>
      </c>
      <c r="Q2057" t="s">
        <v>83</v>
      </c>
      <c r="R2057" s="2">
        <v>46186</v>
      </c>
      <c r="S2057" s="4">
        <v>17</v>
      </c>
      <c r="T2057" s="3">
        <v>88000000</v>
      </c>
      <c r="U2057" t="s">
        <v>42</v>
      </c>
      <c r="V2057" t="s">
        <v>59</v>
      </c>
      <c r="W2057" t="s">
        <v>188</v>
      </c>
      <c r="Y2057" t="s">
        <v>96</v>
      </c>
      <c r="Z2057" t="s">
        <v>3179</v>
      </c>
      <c r="AA2057" t="s">
        <v>86</v>
      </c>
      <c r="AB2057" t="s">
        <v>97</v>
      </c>
      <c r="AC2057" t="s">
        <v>86</v>
      </c>
    </row>
    <row r="2058" spans="1:29">
      <c r="A2058" t="s">
        <v>2475</v>
      </c>
      <c r="B2058" s="2">
        <v>46193</v>
      </c>
      <c r="C2058" t="s">
        <v>30</v>
      </c>
      <c r="D2058" t="s">
        <v>74</v>
      </c>
      <c r="E2058" t="s">
        <v>50</v>
      </c>
      <c r="F2058" t="s">
        <v>51</v>
      </c>
      <c r="G2058" t="s">
        <v>65</v>
      </c>
      <c r="H2058" t="s">
        <v>53</v>
      </c>
      <c r="I2058" t="s">
        <v>235</v>
      </c>
      <c r="J2058" t="s">
        <v>3032</v>
      </c>
      <c r="K2058" t="s">
        <v>92</v>
      </c>
      <c r="L2058" t="s">
        <v>187</v>
      </c>
      <c r="M2058" t="s">
        <v>81</v>
      </c>
      <c r="N2058" t="s">
        <v>130</v>
      </c>
      <c r="O2058" s="4">
        <v>5</v>
      </c>
      <c r="P2058" s="4">
        <v>12</v>
      </c>
      <c r="Q2058" t="s">
        <v>83</v>
      </c>
      <c r="R2058" s="2">
        <v>46193</v>
      </c>
      <c r="S2058" s="4">
        <v>10</v>
      </c>
      <c r="T2058" s="3">
        <v>54000000</v>
      </c>
      <c r="U2058" t="s">
        <v>42</v>
      </c>
      <c r="V2058" t="s">
        <v>59</v>
      </c>
      <c r="W2058" t="s">
        <v>144</v>
      </c>
      <c r="Y2058" t="s">
        <v>334</v>
      </c>
      <c r="Z2058" t="s">
        <v>3179</v>
      </c>
      <c r="AA2058" t="s">
        <v>62</v>
      </c>
      <c r="AB2058" t="s">
        <v>97</v>
      </c>
      <c r="AC2058" t="s">
        <v>62</v>
      </c>
    </row>
    <row r="2059" spans="1:29">
      <c r="A2059" t="s">
        <v>2476</v>
      </c>
      <c r="B2059" s="2">
        <v>46202</v>
      </c>
      <c r="C2059" t="s">
        <v>30</v>
      </c>
      <c r="D2059" t="s">
        <v>31</v>
      </c>
      <c r="E2059" t="s">
        <v>75</v>
      </c>
      <c r="F2059" t="s">
        <v>76</v>
      </c>
      <c r="G2059" t="s">
        <v>162</v>
      </c>
      <c r="H2059" t="s">
        <v>78</v>
      </c>
      <c r="I2059" t="s">
        <v>231</v>
      </c>
      <c r="J2059" t="s">
        <v>3031</v>
      </c>
      <c r="K2059" t="s">
        <v>56</v>
      </c>
      <c r="L2059" t="s">
        <v>187</v>
      </c>
      <c r="M2059" t="s">
        <v>129</v>
      </c>
      <c r="N2059" t="s">
        <v>82</v>
      </c>
      <c r="O2059" s="4">
        <v>1</v>
      </c>
      <c r="P2059" s="4">
        <v>10</v>
      </c>
      <c r="Q2059" t="s">
        <v>138</v>
      </c>
      <c r="R2059" s="2">
        <v>46201</v>
      </c>
      <c r="S2059" s="4">
        <v>2</v>
      </c>
      <c r="T2059" s="3">
        <v>243000000</v>
      </c>
      <c r="U2059" t="s">
        <v>42</v>
      </c>
      <c r="V2059" t="s">
        <v>43</v>
      </c>
      <c r="W2059" t="s">
        <v>84</v>
      </c>
      <c r="Y2059" t="s">
        <v>291</v>
      </c>
      <c r="Z2059" t="s">
        <v>3178</v>
      </c>
      <c r="AA2059" t="s">
        <v>86</v>
      </c>
      <c r="AB2059" t="s">
        <v>87</v>
      </c>
      <c r="AC2059" t="s">
        <v>86</v>
      </c>
    </row>
    <row r="2060" spans="1:29">
      <c r="A2060" t="s">
        <v>2477</v>
      </c>
      <c r="B2060" s="2">
        <v>46192</v>
      </c>
      <c r="C2060" t="s">
        <v>30</v>
      </c>
      <c r="D2060" t="s">
        <v>74</v>
      </c>
      <c r="E2060" t="s">
        <v>111</v>
      </c>
      <c r="F2060" t="s">
        <v>190</v>
      </c>
      <c r="G2060" t="s">
        <v>126</v>
      </c>
      <c r="H2060" t="s">
        <v>127</v>
      </c>
      <c r="I2060" t="s">
        <v>311</v>
      </c>
      <c r="J2060" t="s">
        <v>3048</v>
      </c>
      <c r="K2060" t="s">
        <v>92</v>
      </c>
      <c r="L2060" t="s">
        <v>80</v>
      </c>
      <c r="M2060" t="s">
        <v>81</v>
      </c>
      <c r="N2060" t="s">
        <v>94</v>
      </c>
      <c r="O2060" s="4">
        <v>4</v>
      </c>
      <c r="P2060" s="4">
        <v>7</v>
      </c>
      <c r="Q2060" t="s">
        <v>69</v>
      </c>
      <c r="R2060" s="2">
        <v>46190</v>
      </c>
      <c r="S2060" s="4">
        <v>13</v>
      </c>
      <c r="T2060" s="3">
        <v>234000000</v>
      </c>
      <c r="U2060" t="s">
        <v>42</v>
      </c>
      <c r="V2060" t="s">
        <v>59</v>
      </c>
      <c r="W2060" t="s">
        <v>188</v>
      </c>
      <c r="X2060" t="s">
        <v>117</v>
      </c>
      <c r="Y2060" t="s">
        <v>228</v>
      </c>
      <c r="Z2060" t="s">
        <v>3179</v>
      </c>
      <c r="AA2060" t="s">
        <v>118</v>
      </c>
      <c r="AB2060" t="s">
        <v>97</v>
      </c>
      <c r="AC2060" t="s">
        <v>118</v>
      </c>
    </row>
    <row r="2061" spans="1:29">
      <c r="A2061" t="s">
        <v>2478</v>
      </c>
      <c r="B2061" s="2">
        <v>46176</v>
      </c>
      <c r="C2061" t="s">
        <v>30</v>
      </c>
      <c r="D2061" t="s">
        <v>134</v>
      </c>
      <c r="E2061" t="s">
        <v>120</v>
      </c>
      <c r="F2061" t="s">
        <v>121</v>
      </c>
      <c r="G2061" t="s">
        <v>135</v>
      </c>
      <c r="H2061" t="s">
        <v>123</v>
      </c>
      <c r="I2061" t="s">
        <v>397</v>
      </c>
      <c r="J2061" t="s">
        <v>3073</v>
      </c>
      <c r="K2061" t="s">
        <v>56</v>
      </c>
      <c r="L2061" t="s">
        <v>150</v>
      </c>
      <c r="M2061" t="s">
        <v>56</v>
      </c>
      <c r="N2061" t="s">
        <v>40</v>
      </c>
      <c r="O2061" s="4">
        <v>2</v>
      </c>
      <c r="P2061" s="4">
        <v>10</v>
      </c>
      <c r="Q2061" t="s">
        <v>142</v>
      </c>
      <c r="R2061" s="2">
        <v>46174</v>
      </c>
      <c r="S2061" s="4">
        <v>29</v>
      </c>
      <c r="T2061" s="3">
        <v>327000000</v>
      </c>
      <c r="U2061" t="s">
        <v>42</v>
      </c>
      <c r="V2061" t="s">
        <v>43</v>
      </c>
      <c r="W2061" t="s">
        <v>239</v>
      </c>
      <c r="Y2061" t="s">
        <v>180</v>
      </c>
      <c r="Z2061" t="s">
        <v>3178</v>
      </c>
      <c r="AA2061" t="s">
        <v>97</v>
      </c>
      <c r="AB2061" t="s">
        <v>87</v>
      </c>
      <c r="AC2061" t="s">
        <v>97</v>
      </c>
    </row>
    <row r="2062" spans="1:29">
      <c r="A2062" t="s">
        <v>2479</v>
      </c>
      <c r="B2062" s="2">
        <v>46178</v>
      </c>
      <c r="C2062" t="s">
        <v>30</v>
      </c>
      <c r="D2062" t="s">
        <v>134</v>
      </c>
      <c r="E2062" t="s">
        <v>172</v>
      </c>
      <c r="F2062" t="s">
        <v>173</v>
      </c>
      <c r="G2062" t="s">
        <v>289</v>
      </c>
      <c r="H2062" t="s">
        <v>317</v>
      </c>
      <c r="I2062" t="s">
        <v>318</v>
      </c>
      <c r="J2062" t="s">
        <v>3050</v>
      </c>
      <c r="K2062" t="s">
        <v>116</v>
      </c>
      <c r="L2062" t="s">
        <v>68</v>
      </c>
      <c r="M2062" t="s">
        <v>81</v>
      </c>
      <c r="N2062" t="s">
        <v>130</v>
      </c>
      <c r="O2062" s="4">
        <v>5</v>
      </c>
      <c r="P2062" s="4">
        <v>11</v>
      </c>
      <c r="Q2062" t="s">
        <v>83</v>
      </c>
      <c r="R2062" s="2">
        <v>46178</v>
      </c>
      <c r="S2062" s="4">
        <v>25</v>
      </c>
      <c r="T2062" s="3">
        <v>99000000</v>
      </c>
      <c r="U2062" t="s">
        <v>42</v>
      </c>
      <c r="V2062" t="s">
        <v>59</v>
      </c>
      <c r="W2062" t="s">
        <v>144</v>
      </c>
      <c r="Y2062" t="s">
        <v>254</v>
      </c>
      <c r="Z2062" t="s">
        <v>3179</v>
      </c>
      <c r="AA2062" t="s">
        <v>181</v>
      </c>
      <c r="AB2062" t="s">
        <v>97</v>
      </c>
      <c r="AC2062" t="s">
        <v>181</v>
      </c>
    </row>
    <row r="2063" spans="1:29">
      <c r="A2063" t="s">
        <v>2480</v>
      </c>
      <c r="B2063" s="2">
        <v>46187</v>
      </c>
      <c r="C2063" t="s">
        <v>30</v>
      </c>
      <c r="D2063" t="s">
        <v>99</v>
      </c>
      <c r="E2063" t="s">
        <v>32</v>
      </c>
      <c r="F2063" t="s">
        <v>33</v>
      </c>
      <c r="G2063" t="s">
        <v>257</v>
      </c>
      <c r="H2063" t="s">
        <v>303</v>
      </c>
      <c r="I2063" t="s">
        <v>483</v>
      </c>
      <c r="J2063" t="s">
        <v>3100</v>
      </c>
      <c r="K2063" t="s">
        <v>92</v>
      </c>
      <c r="L2063" t="s">
        <v>55</v>
      </c>
      <c r="M2063" t="s">
        <v>164</v>
      </c>
      <c r="N2063" t="s">
        <v>40</v>
      </c>
      <c r="O2063" s="4">
        <v>2</v>
      </c>
      <c r="P2063" s="4">
        <v>2</v>
      </c>
      <c r="Q2063" t="s">
        <v>58</v>
      </c>
      <c r="R2063" s="2">
        <v>46179</v>
      </c>
      <c r="S2063" s="4">
        <v>24</v>
      </c>
      <c r="T2063" s="3">
        <v>49000000</v>
      </c>
      <c r="U2063" t="s">
        <v>42</v>
      </c>
      <c r="V2063" t="s">
        <v>43</v>
      </c>
      <c r="W2063" t="s">
        <v>239</v>
      </c>
      <c r="Y2063" t="s">
        <v>309</v>
      </c>
      <c r="Z2063" t="s">
        <v>3176</v>
      </c>
      <c r="AA2063" t="s">
        <v>46</v>
      </c>
      <c r="AB2063" t="s">
        <v>47</v>
      </c>
      <c r="AC2063" t="s">
        <v>46</v>
      </c>
    </row>
    <row r="2064" spans="1:29">
      <c r="A2064" t="s">
        <v>2481</v>
      </c>
      <c r="B2064" s="2">
        <v>46194</v>
      </c>
      <c r="C2064" t="s">
        <v>30</v>
      </c>
      <c r="D2064" t="s">
        <v>74</v>
      </c>
      <c r="E2064" t="s">
        <v>32</v>
      </c>
      <c r="F2064" t="s">
        <v>273</v>
      </c>
      <c r="G2064" t="s">
        <v>34</v>
      </c>
      <c r="H2064" t="s">
        <v>258</v>
      </c>
      <c r="I2064" t="s">
        <v>259</v>
      </c>
      <c r="J2064" t="s">
        <v>3036</v>
      </c>
      <c r="K2064" t="s">
        <v>56</v>
      </c>
      <c r="L2064" t="s">
        <v>80</v>
      </c>
      <c r="M2064" t="s">
        <v>39</v>
      </c>
      <c r="N2064" t="s">
        <v>40</v>
      </c>
      <c r="O2064" s="4">
        <v>2</v>
      </c>
      <c r="P2064" s="4">
        <v>4</v>
      </c>
      <c r="Q2064" t="s">
        <v>58</v>
      </c>
      <c r="R2064" s="2">
        <v>46184</v>
      </c>
      <c r="S2064" s="4">
        <v>19</v>
      </c>
      <c r="T2064" s="3">
        <v>172000000</v>
      </c>
      <c r="U2064" t="s">
        <v>42</v>
      </c>
      <c r="V2064" t="s">
        <v>59</v>
      </c>
      <c r="W2064" t="s">
        <v>178</v>
      </c>
      <c r="Y2064" t="s">
        <v>281</v>
      </c>
      <c r="Z2064" t="s">
        <v>3176</v>
      </c>
      <c r="AA2064" t="s">
        <v>46</v>
      </c>
      <c r="AB2064" t="s">
        <v>47</v>
      </c>
      <c r="AC2064" t="s">
        <v>46</v>
      </c>
    </row>
    <row r="2065" spans="1:29">
      <c r="A2065" t="s">
        <v>2482</v>
      </c>
      <c r="B2065" s="2">
        <v>46193</v>
      </c>
      <c r="C2065" t="s">
        <v>30</v>
      </c>
      <c r="D2065" t="s">
        <v>74</v>
      </c>
      <c r="E2065" t="s">
        <v>120</v>
      </c>
      <c r="F2065" t="s">
        <v>167</v>
      </c>
      <c r="G2065" t="s">
        <v>224</v>
      </c>
      <c r="H2065" t="s">
        <v>123</v>
      </c>
      <c r="I2065" t="s">
        <v>225</v>
      </c>
      <c r="J2065" t="s">
        <v>3030</v>
      </c>
      <c r="K2065" t="s">
        <v>56</v>
      </c>
      <c r="L2065" t="s">
        <v>80</v>
      </c>
      <c r="M2065" t="s">
        <v>56</v>
      </c>
      <c r="N2065" t="s">
        <v>130</v>
      </c>
      <c r="O2065" s="4">
        <v>5</v>
      </c>
      <c r="P2065" s="4">
        <v>10</v>
      </c>
      <c r="Q2065" t="s">
        <v>107</v>
      </c>
      <c r="R2065" s="2">
        <v>46183</v>
      </c>
      <c r="S2065" s="4">
        <v>20</v>
      </c>
      <c r="T2065" s="3">
        <v>150000000</v>
      </c>
      <c r="U2065" t="s">
        <v>42</v>
      </c>
      <c r="V2065" t="s">
        <v>70</v>
      </c>
      <c r="W2065" t="s">
        <v>252</v>
      </c>
      <c r="Y2065" t="s">
        <v>132</v>
      </c>
      <c r="Z2065" t="s">
        <v>3179</v>
      </c>
      <c r="AA2065" t="s">
        <v>97</v>
      </c>
      <c r="AB2065" t="s">
        <v>97</v>
      </c>
      <c r="AC2065" t="s">
        <v>97</v>
      </c>
    </row>
    <row r="2066" spans="1:29">
      <c r="A2066" t="s">
        <v>2483</v>
      </c>
      <c r="B2066" s="2">
        <v>46192</v>
      </c>
      <c r="C2066" t="s">
        <v>30</v>
      </c>
      <c r="D2066" t="s">
        <v>74</v>
      </c>
      <c r="E2066" t="s">
        <v>75</v>
      </c>
      <c r="F2066" t="s">
        <v>183</v>
      </c>
      <c r="G2066" t="s">
        <v>387</v>
      </c>
      <c r="H2066" t="s">
        <v>185</v>
      </c>
      <c r="I2066" t="s">
        <v>186</v>
      </c>
      <c r="J2066" t="s">
        <v>3024</v>
      </c>
      <c r="K2066" t="s">
        <v>37</v>
      </c>
      <c r="L2066" t="s">
        <v>55</v>
      </c>
      <c r="M2066" t="s">
        <v>129</v>
      </c>
      <c r="N2066" t="s">
        <v>40</v>
      </c>
      <c r="O2066" s="4">
        <v>2</v>
      </c>
      <c r="P2066" s="4">
        <v>13</v>
      </c>
      <c r="Q2066" t="s">
        <v>41</v>
      </c>
      <c r="R2066" s="2">
        <v>46183</v>
      </c>
      <c r="S2066" s="4">
        <v>20</v>
      </c>
      <c r="T2066" s="3">
        <v>141000000</v>
      </c>
      <c r="U2066" t="s">
        <v>42</v>
      </c>
      <c r="V2066" t="s">
        <v>43</v>
      </c>
      <c r="W2066" t="s">
        <v>44</v>
      </c>
      <c r="Y2066" t="s">
        <v>281</v>
      </c>
      <c r="Z2066" t="s">
        <v>3180</v>
      </c>
      <c r="AA2066" t="s">
        <v>86</v>
      </c>
      <c r="AB2066" t="s">
        <v>193</v>
      </c>
      <c r="AC2066" t="s">
        <v>86</v>
      </c>
    </row>
    <row r="2067" spans="1:29">
      <c r="A2067" t="s">
        <v>2484</v>
      </c>
      <c r="B2067" s="2">
        <v>46175</v>
      </c>
      <c r="C2067" t="s">
        <v>30</v>
      </c>
      <c r="D2067" t="s">
        <v>134</v>
      </c>
      <c r="E2067" t="s">
        <v>100</v>
      </c>
      <c r="F2067" t="s">
        <v>140</v>
      </c>
      <c r="G2067" t="s">
        <v>212</v>
      </c>
      <c r="H2067" t="s">
        <v>201</v>
      </c>
      <c r="I2067" t="s">
        <v>416</v>
      </c>
      <c r="J2067" t="s">
        <v>3078</v>
      </c>
      <c r="K2067" t="s">
        <v>105</v>
      </c>
      <c r="L2067" t="s">
        <v>187</v>
      </c>
      <c r="M2067" t="s">
        <v>56</v>
      </c>
      <c r="N2067" t="s">
        <v>130</v>
      </c>
      <c r="O2067" s="4">
        <v>5</v>
      </c>
      <c r="P2067" s="4">
        <v>15</v>
      </c>
      <c r="Q2067" t="s">
        <v>41</v>
      </c>
      <c r="R2067" s="2">
        <v>46169</v>
      </c>
      <c r="S2067" s="4">
        <v>34</v>
      </c>
      <c r="T2067" s="3">
        <v>318000000</v>
      </c>
      <c r="U2067" t="s">
        <v>260</v>
      </c>
      <c r="V2067" t="s">
        <v>70</v>
      </c>
      <c r="W2067" t="s">
        <v>355</v>
      </c>
      <c r="X2067" t="s">
        <v>381</v>
      </c>
      <c r="Y2067" t="s">
        <v>254</v>
      </c>
      <c r="Z2067" t="s">
        <v>3179</v>
      </c>
      <c r="AA2067" t="s">
        <v>109</v>
      </c>
      <c r="AB2067" t="s">
        <v>97</v>
      </c>
      <c r="AC2067" t="s">
        <v>109</v>
      </c>
    </row>
    <row r="2068" spans="1:29">
      <c r="A2068" t="s">
        <v>2485</v>
      </c>
      <c r="B2068" s="2">
        <v>46191</v>
      </c>
      <c r="C2068" t="s">
        <v>30</v>
      </c>
      <c r="D2068" t="s">
        <v>74</v>
      </c>
      <c r="E2068" t="s">
        <v>111</v>
      </c>
      <c r="F2068" t="s">
        <v>112</v>
      </c>
      <c r="G2068" t="s">
        <v>265</v>
      </c>
      <c r="H2068" t="s">
        <v>127</v>
      </c>
      <c r="I2068" t="s">
        <v>654</v>
      </c>
      <c r="J2068" t="s">
        <v>3142</v>
      </c>
      <c r="K2068" t="s">
        <v>92</v>
      </c>
      <c r="L2068" t="s">
        <v>80</v>
      </c>
      <c r="M2068" t="s">
        <v>164</v>
      </c>
      <c r="N2068" t="s">
        <v>82</v>
      </c>
      <c r="O2068" s="4">
        <v>1</v>
      </c>
      <c r="P2068" s="4">
        <v>5</v>
      </c>
      <c r="Q2068" t="s">
        <v>142</v>
      </c>
      <c r="R2068" s="2">
        <v>46185</v>
      </c>
      <c r="S2068" s="4">
        <v>18</v>
      </c>
      <c r="T2068" s="3">
        <v>130000000</v>
      </c>
      <c r="U2068" t="s">
        <v>42</v>
      </c>
      <c r="V2068" t="s">
        <v>43</v>
      </c>
      <c r="W2068" t="s">
        <v>404</v>
      </c>
      <c r="Y2068" t="s">
        <v>330</v>
      </c>
      <c r="Z2068" t="s">
        <v>3178</v>
      </c>
      <c r="AA2068" t="s">
        <v>118</v>
      </c>
      <c r="AB2068" t="s">
        <v>87</v>
      </c>
      <c r="AC2068" t="s">
        <v>118</v>
      </c>
    </row>
    <row r="2069" spans="1:29">
      <c r="A2069" t="s">
        <v>2486</v>
      </c>
      <c r="B2069" s="2">
        <v>46179</v>
      </c>
      <c r="C2069" t="s">
        <v>30</v>
      </c>
      <c r="D2069" t="s">
        <v>134</v>
      </c>
      <c r="E2069" t="s">
        <v>120</v>
      </c>
      <c r="F2069" t="s">
        <v>246</v>
      </c>
      <c r="G2069" t="s">
        <v>227</v>
      </c>
      <c r="H2069" t="s">
        <v>123</v>
      </c>
      <c r="I2069" t="s">
        <v>397</v>
      </c>
      <c r="J2069" t="s">
        <v>3073</v>
      </c>
      <c r="K2069" t="s">
        <v>92</v>
      </c>
      <c r="L2069" t="s">
        <v>80</v>
      </c>
      <c r="M2069" t="s">
        <v>164</v>
      </c>
      <c r="N2069" t="s">
        <v>196</v>
      </c>
      <c r="O2069" s="4">
        <v>7</v>
      </c>
      <c r="P2069" s="4">
        <v>13</v>
      </c>
      <c r="Q2069" t="s">
        <v>83</v>
      </c>
      <c r="R2069" s="2">
        <v>46174</v>
      </c>
      <c r="S2069" s="4">
        <v>29</v>
      </c>
      <c r="T2069" s="3">
        <v>57000000</v>
      </c>
      <c r="U2069" t="s">
        <v>196</v>
      </c>
      <c r="V2069" t="s">
        <v>70</v>
      </c>
      <c r="W2069" t="s">
        <v>197</v>
      </c>
      <c r="Y2069" t="s">
        <v>210</v>
      </c>
      <c r="Z2069" t="s">
        <v>3181</v>
      </c>
      <c r="AA2069" t="s">
        <v>97</v>
      </c>
      <c r="AB2069" t="s">
        <v>199</v>
      </c>
      <c r="AC2069" t="s">
        <v>97</v>
      </c>
    </row>
    <row r="2070" spans="1:29">
      <c r="A2070" t="s">
        <v>2487</v>
      </c>
      <c r="B2070" s="2">
        <v>46179</v>
      </c>
      <c r="C2070" t="s">
        <v>30</v>
      </c>
      <c r="D2070" t="s">
        <v>134</v>
      </c>
      <c r="E2070" t="s">
        <v>172</v>
      </c>
      <c r="F2070" t="s">
        <v>195</v>
      </c>
      <c r="G2070" t="s">
        <v>289</v>
      </c>
      <c r="H2070" t="s">
        <v>175</v>
      </c>
      <c r="I2070" t="s">
        <v>485</v>
      </c>
      <c r="J2070" t="s">
        <v>3101</v>
      </c>
      <c r="K2070" t="s">
        <v>105</v>
      </c>
      <c r="L2070" t="s">
        <v>80</v>
      </c>
      <c r="M2070" t="s">
        <v>39</v>
      </c>
      <c r="N2070" t="s">
        <v>57</v>
      </c>
      <c r="O2070" s="4">
        <v>3</v>
      </c>
      <c r="P2070" s="4">
        <v>3</v>
      </c>
      <c r="Q2070" t="s">
        <v>41</v>
      </c>
      <c r="R2070" s="2">
        <v>46175</v>
      </c>
      <c r="S2070" s="4">
        <v>28</v>
      </c>
      <c r="T2070" s="3">
        <v>299000000</v>
      </c>
      <c r="U2070" t="s">
        <v>42</v>
      </c>
      <c r="V2070" t="s">
        <v>59</v>
      </c>
      <c r="W2070" t="s">
        <v>157</v>
      </c>
      <c r="Y2070" t="s">
        <v>61</v>
      </c>
      <c r="Z2070" t="s">
        <v>3177</v>
      </c>
      <c r="AA2070" t="s">
        <v>181</v>
      </c>
      <c r="AB2070" t="s">
        <v>63</v>
      </c>
      <c r="AC2070" t="s">
        <v>181</v>
      </c>
    </row>
    <row r="2071" spans="1:29">
      <c r="A2071" t="s">
        <v>2488</v>
      </c>
      <c r="B2071" s="2">
        <v>46200</v>
      </c>
      <c r="C2071" t="s">
        <v>30</v>
      </c>
      <c r="D2071" t="s">
        <v>49</v>
      </c>
      <c r="E2071" t="s">
        <v>111</v>
      </c>
      <c r="F2071" t="s">
        <v>112</v>
      </c>
      <c r="G2071" t="s">
        <v>251</v>
      </c>
      <c r="H2071" t="s">
        <v>191</v>
      </c>
      <c r="I2071" t="s">
        <v>643</v>
      </c>
      <c r="J2071" t="s">
        <v>3138</v>
      </c>
      <c r="K2071" t="s">
        <v>92</v>
      </c>
      <c r="L2071" t="s">
        <v>169</v>
      </c>
      <c r="M2071" t="s">
        <v>81</v>
      </c>
      <c r="N2071" t="s">
        <v>94</v>
      </c>
      <c r="O2071" s="4">
        <v>4</v>
      </c>
      <c r="P2071" s="4">
        <v>6</v>
      </c>
      <c r="Q2071" t="s">
        <v>69</v>
      </c>
      <c r="R2071" s="2">
        <v>46191</v>
      </c>
      <c r="S2071" s="4">
        <v>12</v>
      </c>
      <c r="T2071" s="3">
        <v>121000000</v>
      </c>
      <c r="U2071" t="s">
        <v>42</v>
      </c>
      <c r="V2071" t="s">
        <v>59</v>
      </c>
      <c r="W2071" t="s">
        <v>95</v>
      </c>
      <c r="X2071" t="s">
        <v>253</v>
      </c>
      <c r="Y2071" t="s">
        <v>228</v>
      </c>
      <c r="Z2071" t="s">
        <v>3179</v>
      </c>
      <c r="AA2071" t="s">
        <v>118</v>
      </c>
      <c r="AB2071" t="s">
        <v>97</v>
      </c>
      <c r="AC2071" t="s">
        <v>118</v>
      </c>
    </row>
    <row r="2072" spans="1:29">
      <c r="A2072" t="s">
        <v>2489</v>
      </c>
      <c r="B2072" s="2">
        <v>46197</v>
      </c>
      <c r="C2072" t="s">
        <v>30</v>
      </c>
      <c r="D2072" t="s">
        <v>49</v>
      </c>
      <c r="E2072" t="s">
        <v>75</v>
      </c>
      <c r="F2072" t="s">
        <v>161</v>
      </c>
      <c r="G2072" t="s">
        <v>387</v>
      </c>
      <c r="H2072" t="s">
        <v>185</v>
      </c>
      <c r="I2072" t="s">
        <v>673</v>
      </c>
      <c r="J2072" t="s">
        <v>3146</v>
      </c>
      <c r="K2072" t="s">
        <v>92</v>
      </c>
      <c r="L2072" t="s">
        <v>80</v>
      </c>
      <c r="M2072" t="s">
        <v>56</v>
      </c>
      <c r="N2072" t="s">
        <v>57</v>
      </c>
      <c r="O2072" s="4">
        <v>3</v>
      </c>
      <c r="P2072" s="4">
        <v>9</v>
      </c>
      <c r="Q2072" t="s">
        <v>58</v>
      </c>
      <c r="R2072" s="2">
        <v>46196</v>
      </c>
      <c r="S2072" s="4">
        <v>7</v>
      </c>
      <c r="T2072" s="3">
        <v>114000000</v>
      </c>
      <c r="U2072" t="s">
        <v>42</v>
      </c>
      <c r="V2072" t="s">
        <v>43</v>
      </c>
      <c r="W2072" t="s">
        <v>60</v>
      </c>
      <c r="Y2072" t="s">
        <v>158</v>
      </c>
      <c r="Z2072" t="s">
        <v>3177</v>
      </c>
      <c r="AA2072" t="s">
        <v>86</v>
      </c>
      <c r="AB2072" t="s">
        <v>63</v>
      </c>
      <c r="AC2072" t="s">
        <v>86</v>
      </c>
    </row>
    <row r="2073" spans="1:29">
      <c r="A2073" t="s">
        <v>2490</v>
      </c>
      <c r="B2073" s="2">
        <v>46202</v>
      </c>
      <c r="C2073" t="s">
        <v>30</v>
      </c>
      <c r="D2073" t="s">
        <v>31</v>
      </c>
      <c r="E2073" t="s">
        <v>50</v>
      </c>
      <c r="F2073" t="s">
        <v>51</v>
      </c>
      <c r="G2073" t="s">
        <v>270</v>
      </c>
      <c r="H2073" t="s">
        <v>53</v>
      </c>
      <c r="I2073" t="s">
        <v>307</v>
      </c>
      <c r="J2073" t="s">
        <v>3047</v>
      </c>
      <c r="K2073" t="s">
        <v>92</v>
      </c>
      <c r="L2073" t="s">
        <v>38</v>
      </c>
      <c r="M2073" t="s">
        <v>164</v>
      </c>
      <c r="N2073" t="s">
        <v>213</v>
      </c>
      <c r="O2073" s="4">
        <v>6</v>
      </c>
      <c r="P2073" s="4">
        <v>16</v>
      </c>
      <c r="Q2073" t="s">
        <v>41</v>
      </c>
      <c r="R2073" s="2">
        <v>46198</v>
      </c>
      <c r="S2073" s="4">
        <v>5</v>
      </c>
      <c r="T2073" s="3">
        <v>70000000</v>
      </c>
      <c r="U2073" t="s">
        <v>214</v>
      </c>
      <c r="V2073" t="s">
        <v>70</v>
      </c>
      <c r="W2073" t="s">
        <v>215</v>
      </c>
      <c r="Y2073" t="s">
        <v>249</v>
      </c>
      <c r="Z2073" t="s">
        <v>3179</v>
      </c>
      <c r="AA2073" t="s">
        <v>62</v>
      </c>
      <c r="AB2073" t="s">
        <v>97</v>
      </c>
      <c r="AC2073" t="s">
        <v>62</v>
      </c>
    </row>
    <row r="2074" spans="1:29">
      <c r="A2074" t="s">
        <v>2491</v>
      </c>
      <c r="B2074" s="2">
        <v>46174</v>
      </c>
      <c r="C2074" t="s">
        <v>30</v>
      </c>
      <c r="D2074" t="s">
        <v>134</v>
      </c>
      <c r="E2074" t="s">
        <v>152</v>
      </c>
      <c r="F2074" t="s">
        <v>205</v>
      </c>
      <c r="G2074" t="s">
        <v>286</v>
      </c>
      <c r="H2074" t="s">
        <v>207</v>
      </c>
      <c r="I2074" t="s">
        <v>571</v>
      </c>
      <c r="J2074" t="s">
        <v>3122</v>
      </c>
      <c r="K2074" t="s">
        <v>56</v>
      </c>
      <c r="L2074" t="s">
        <v>55</v>
      </c>
      <c r="M2074" t="s">
        <v>129</v>
      </c>
      <c r="N2074" t="s">
        <v>57</v>
      </c>
      <c r="O2074" s="4">
        <v>3</v>
      </c>
      <c r="P2074" s="4">
        <v>6</v>
      </c>
      <c r="Q2074" t="s">
        <v>58</v>
      </c>
      <c r="R2074" s="2">
        <v>46167</v>
      </c>
      <c r="S2074" s="4">
        <v>36</v>
      </c>
      <c r="T2074" s="3">
        <v>160000000</v>
      </c>
      <c r="U2074" t="s">
        <v>42</v>
      </c>
      <c r="V2074" t="s">
        <v>43</v>
      </c>
      <c r="W2074" t="s">
        <v>157</v>
      </c>
      <c r="Y2074" t="s">
        <v>165</v>
      </c>
      <c r="Z2074" t="s">
        <v>3177</v>
      </c>
      <c r="AA2074" t="s">
        <v>159</v>
      </c>
      <c r="AB2074" t="s">
        <v>63</v>
      </c>
      <c r="AC2074" t="s">
        <v>159</v>
      </c>
    </row>
    <row r="2075" spans="1:29">
      <c r="A2075" t="s">
        <v>2492</v>
      </c>
      <c r="B2075" s="2">
        <v>46186</v>
      </c>
      <c r="C2075" t="s">
        <v>30</v>
      </c>
      <c r="D2075" t="s">
        <v>99</v>
      </c>
      <c r="E2075" t="s">
        <v>152</v>
      </c>
      <c r="F2075" t="s">
        <v>221</v>
      </c>
      <c r="G2075" t="s">
        <v>154</v>
      </c>
      <c r="H2075" t="s">
        <v>155</v>
      </c>
      <c r="I2075" t="s">
        <v>156</v>
      </c>
      <c r="J2075" t="s">
        <v>3020</v>
      </c>
      <c r="K2075" t="s">
        <v>92</v>
      </c>
      <c r="L2075" t="s">
        <v>68</v>
      </c>
      <c r="M2075" t="s">
        <v>106</v>
      </c>
      <c r="N2075" t="s">
        <v>94</v>
      </c>
      <c r="O2075" s="4">
        <v>4</v>
      </c>
      <c r="P2075" s="4">
        <v>13</v>
      </c>
      <c r="Q2075" t="s">
        <v>41</v>
      </c>
      <c r="R2075" s="2">
        <v>46185</v>
      </c>
      <c r="S2075" s="4">
        <v>18</v>
      </c>
      <c r="T2075" s="3">
        <v>48000000</v>
      </c>
      <c r="U2075" t="s">
        <v>42</v>
      </c>
      <c r="V2075" t="s">
        <v>143</v>
      </c>
      <c r="W2075" t="s">
        <v>95</v>
      </c>
      <c r="Y2075" t="s">
        <v>108</v>
      </c>
      <c r="Z2075" t="s">
        <v>3179</v>
      </c>
      <c r="AA2075" t="s">
        <v>159</v>
      </c>
      <c r="AB2075" t="s">
        <v>97</v>
      </c>
      <c r="AC2075" t="s">
        <v>159</v>
      </c>
    </row>
    <row r="2076" spans="1:29">
      <c r="A2076" t="s">
        <v>2493</v>
      </c>
      <c r="B2076" s="2">
        <v>46174</v>
      </c>
      <c r="C2076" t="s">
        <v>30</v>
      </c>
      <c r="D2076" t="s">
        <v>134</v>
      </c>
      <c r="E2076" t="s">
        <v>111</v>
      </c>
      <c r="F2076" t="s">
        <v>190</v>
      </c>
      <c r="G2076" t="s">
        <v>126</v>
      </c>
      <c r="H2076" t="s">
        <v>127</v>
      </c>
      <c r="I2076" t="s">
        <v>349</v>
      </c>
      <c r="J2076" t="s">
        <v>3059</v>
      </c>
      <c r="K2076" t="s">
        <v>92</v>
      </c>
      <c r="L2076" t="s">
        <v>68</v>
      </c>
      <c r="M2076" t="s">
        <v>56</v>
      </c>
      <c r="N2076" t="s">
        <v>196</v>
      </c>
      <c r="O2076" s="4">
        <v>7</v>
      </c>
      <c r="P2076" s="4">
        <v>16</v>
      </c>
      <c r="Q2076" t="s">
        <v>107</v>
      </c>
      <c r="R2076" s="2">
        <v>46166</v>
      </c>
      <c r="S2076" s="4">
        <v>37</v>
      </c>
      <c r="T2076" s="3">
        <v>239000000</v>
      </c>
      <c r="U2076" t="s">
        <v>196</v>
      </c>
      <c r="V2076" t="s">
        <v>70</v>
      </c>
      <c r="W2076" t="s">
        <v>209</v>
      </c>
      <c r="Y2076" t="s">
        <v>244</v>
      </c>
      <c r="Z2076" t="s">
        <v>3181</v>
      </c>
      <c r="AA2076" t="s">
        <v>118</v>
      </c>
      <c r="AB2076" t="s">
        <v>199</v>
      </c>
      <c r="AC2076" t="s">
        <v>118</v>
      </c>
    </row>
    <row r="2077" spans="1:29">
      <c r="A2077" t="s">
        <v>2494</v>
      </c>
      <c r="B2077" s="2">
        <v>46180</v>
      </c>
      <c r="C2077" t="s">
        <v>30</v>
      </c>
      <c r="D2077" t="s">
        <v>134</v>
      </c>
      <c r="E2077" t="s">
        <v>100</v>
      </c>
      <c r="F2077" t="s">
        <v>146</v>
      </c>
      <c r="G2077" t="s">
        <v>147</v>
      </c>
      <c r="H2077" t="s">
        <v>201</v>
      </c>
      <c r="I2077" t="s">
        <v>371</v>
      </c>
      <c r="J2077" t="s">
        <v>3065</v>
      </c>
      <c r="K2077" t="s">
        <v>92</v>
      </c>
      <c r="L2077" t="s">
        <v>80</v>
      </c>
      <c r="M2077" t="s">
        <v>93</v>
      </c>
      <c r="N2077" t="s">
        <v>57</v>
      </c>
      <c r="O2077" s="4">
        <v>3</v>
      </c>
      <c r="P2077" s="4">
        <v>15</v>
      </c>
      <c r="Q2077" t="s">
        <v>58</v>
      </c>
      <c r="R2077" s="2">
        <v>46171</v>
      </c>
      <c r="S2077" s="4">
        <v>32</v>
      </c>
      <c r="T2077" s="3">
        <v>140000000</v>
      </c>
      <c r="U2077" t="s">
        <v>42</v>
      </c>
      <c r="V2077" t="s">
        <v>70</v>
      </c>
      <c r="W2077" t="s">
        <v>203</v>
      </c>
      <c r="Y2077" t="s">
        <v>72</v>
      </c>
      <c r="Z2077" t="s">
        <v>3180</v>
      </c>
      <c r="AA2077" t="s">
        <v>109</v>
      </c>
      <c r="AB2077" t="s">
        <v>193</v>
      </c>
      <c r="AC2077" t="s">
        <v>109</v>
      </c>
    </row>
    <row r="2078" spans="1:29">
      <c r="A2078" t="s">
        <v>2495</v>
      </c>
      <c r="B2078" s="2">
        <v>46193</v>
      </c>
      <c r="C2078" t="s">
        <v>30</v>
      </c>
      <c r="D2078" t="s">
        <v>74</v>
      </c>
      <c r="E2078" t="s">
        <v>111</v>
      </c>
      <c r="F2078" t="s">
        <v>264</v>
      </c>
      <c r="G2078" t="s">
        <v>251</v>
      </c>
      <c r="H2078" t="s">
        <v>191</v>
      </c>
      <c r="I2078" t="s">
        <v>192</v>
      </c>
      <c r="J2078" t="s">
        <v>3025</v>
      </c>
      <c r="K2078" t="s">
        <v>56</v>
      </c>
      <c r="L2078" t="s">
        <v>80</v>
      </c>
      <c r="M2078" t="s">
        <v>56</v>
      </c>
      <c r="N2078" t="s">
        <v>57</v>
      </c>
      <c r="O2078" s="4">
        <v>3</v>
      </c>
      <c r="P2078" s="4">
        <v>17</v>
      </c>
      <c r="Q2078" t="s">
        <v>69</v>
      </c>
      <c r="R2078" s="2">
        <v>46191</v>
      </c>
      <c r="S2078" s="4">
        <v>12</v>
      </c>
      <c r="T2078" s="3">
        <v>417000000</v>
      </c>
      <c r="U2078" t="s">
        <v>42</v>
      </c>
      <c r="V2078" t="s">
        <v>70</v>
      </c>
      <c r="W2078" t="s">
        <v>203</v>
      </c>
      <c r="Y2078" t="s">
        <v>158</v>
      </c>
      <c r="Z2078" t="s">
        <v>3180</v>
      </c>
      <c r="AA2078" t="s">
        <v>118</v>
      </c>
      <c r="AB2078" t="s">
        <v>193</v>
      </c>
      <c r="AC2078" t="s">
        <v>118</v>
      </c>
    </row>
    <row r="2079" spans="1:29">
      <c r="A2079" t="s">
        <v>2496</v>
      </c>
      <c r="B2079" s="2">
        <v>46193</v>
      </c>
      <c r="C2079" t="s">
        <v>30</v>
      </c>
      <c r="D2079" t="s">
        <v>74</v>
      </c>
      <c r="E2079" t="s">
        <v>32</v>
      </c>
      <c r="F2079" t="s">
        <v>273</v>
      </c>
      <c r="G2079" t="s">
        <v>257</v>
      </c>
      <c r="H2079" t="s">
        <v>258</v>
      </c>
      <c r="I2079" t="s">
        <v>651</v>
      </c>
      <c r="J2079" t="s">
        <v>3141</v>
      </c>
      <c r="K2079" t="s">
        <v>105</v>
      </c>
      <c r="L2079" t="s">
        <v>150</v>
      </c>
      <c r="M2079" t="s">
        <v>106</v>
      </c>
      <c r="N2079" t="s">
        <v>40</v>
      </c>
      <c r="O2079" s="4">
        <v>2</v>
      </c>
      <c r="P2079" s="4">
        <v>5</v>
      </c>
      <c r="Q2079" t="s">
        <v>107</v>
      </c>
      <c r="R2079" s="2">
        <v>46183</v>
      </c>
      <c r="S2079" s="4">
        <v>20</v>
      </c>
      <c r="T2079" s="3">
        <v>75000000</v>
      </c>
      <c r="U2079" t="s">
        <v>42</v>
      </c>
      <c r="V2079" t="s">
        <v>43</v>
      </c>
      <c r="W2079" t="s">
        <v>44</v>
      </c>
      <c r="Y2079" t="s">
        <v>180</v>
      </c>
      <c r="Z2079" t="s">
        <v>3178</v>
      </c>
      <c r="AA2079" t="s">
        <v>46</v>
      </c>
      <c r="AB2079" t="s">
        <v>87</v>
      </c>
      <c r="AC2079" t="s">
        <v>46</v>
      </c>
    </row>
    <row r="2080" spans="1:29">
      <c r="A2080" t="s">
        <v>2497</v>
      </c>
      <c r="B2080" s="2">
        <v>46196</v>
      </c>
      <c r="C2080" t="s">
        <v>30</v>
      </c>
      <c r="D2080" t="s">
        <v>49</v>
      </c>
      <c r="E2080" t="s">
        <v>120</v>
      </c>
      <c r="F2080" t="s">
        <v>246</v>
      </c>
      <c r="G2080" t="s">
        <v>135</v>
      </c>
      <c r="H2080" t="s">
        <v>136</v>
      </c>
      <c r="I2080" t="s">
        <v>658</v>
      </c>
      <c r="J2080" t="s">
        <v>3143</v>
      </c>
      <c r="K2080" t="s">
        <v>105</v>
      </c>
      <c r="L2080" t="s">
        <v>55</v>
      </c>
      <c r="M2080" t="s">
        <v>129</v>
      </c>
      <c r="N2080" t="s">
        <v>94</v>
      </c>
      <c r="O2080" s="4">
        <v>4</v>
      </c>
      <c r="P2080" s="4">
        <v>6</v>
      </c>
      <c r="Q2080" t="s">
        <v>58</v>
      </c>
      <c r="R2080" s="2">
        <v>46195</v>
      </c>
      <c r="S2080" s="4">
        <v>8</v>
      </c>
      <c r="T2080" s="3">
        <v>305000000</v>
      </c>
      <c r="U2080" t="s">
        <v>42</v>
      </c>
      <c r="V2080" t="s">
        <v>70</v>
      </c>
      <c r="W2080" t="s">
        <v>188</v>
      </c>
      <c r="Y2080" t="s">
        <v>96</v>
      </c>
      <c r="Z2080" t="s">
        <v>3179</v>
      </c>
      <c r="AA2080" t="s">
        <v>97</v>
      </c>
      <c r="AB2080" t="s">
        <v>97</v>
      </c>
      <c r="AC2080" t="s">
        <v>97</v>
      </c>
    </row>
    <row r="2081" spans="1:29">
      <c r="A2081" t="s">
        <v>2498</v>
      </c>
      <c r="B2081" s="2">
        <v>46175</v>
      </c>
      <c r="C2081" t="s">
        <v>30</v>
      </c>
      <c r="D2081" t="s">
        <v>134</v>
      </c>
      <c r="E2081" t="s">
        <v>100</v>
      </c>
      <c r="F2081" t="s">
        <v>146</v>
      </c>
      <c r="G2081" t="s">
        <v>237</v>
      </c>
      <c r="H2081" t="s">
        <v>103</v>
      </c>
      <c r="I2081" t="s">
        <v>104</v>
      </c>
      <c r="J2081" t="s">
        <v>3013</v>
      </c>
      <c r="K2081" t="s">
        <v>105</v>
      </c>
      <c r="L2081" t="s">
        <v>150</v>
      </c>
      <c r="M2081" t="s">
        <v>93</v>
      </c>
      <c r="N2081" t="s">
        <v>196</v>
      </c>
      <c r="O2081" s="4">
        <v>7</v>
      </c>
      <c r="P2081" s="4">
        <v>21</v>
      </c>
      <c r="Q2081" t="s">
        <v>138</v>
      </c>
      <c r="R2081" s="2">
        <v>46167</v>
      </c>
      <c r="S2081" s="4">
        <v>36</v>
      </c>
      <c r="T2081" s="3">
        <v>94000000</v>
      </c>
      <c r="U2081" t="s">
        <v>196</v>
      </c>
      <c r="V2081" t="s">
        <v>70</v>
      </c>
      <c r="W2081" t="s">
        <v>197</v>
      </c>
      <c r="Y2081" t="s">
        <v>198</v>
      </c>
      <c r="Z2081" t="s">
        <v>3181</v>
      </c>
      <c r="AA2081" t="s">
        <v>109</v>
      </c>
      <c r="AB2081" t="s">
        <v>199</v>
      </c>
      <c r="AC2081" t="s">
        <v>109</v>
      </c>
    </row>
    <row r="2082" spans="1:29">
      <c r="A2082" t="s">
        <v>2499</v>
      </c>
      <c r="B2082" s="2">
        <v>46176</v>
      </c>
      <c r="C2082" t="s">
        <v>30</v>
      </c>
      <c r="D2082" t="s">
        <v>134</v>
      </c>
      <c r="E2082" t="s">
        <v>32</v>
      </c>
      <c r="F2082" t="s">
        <v>273</v>
      </c>
      <c r="G2082" t="s">
        <v>361</v>
      </c>
      <c r="H2082" t="s">
        <v>258</v>
      </c>
      <c r="I2082" t="s">
        <v>568</v>
      </c>
      <c r="J2082" t="s">
        <v>3121</v>
      </c>
      <c r="K2082" t="s">
        <v>56</v>
      </c>
      <c r="L2082" t="s">
        <v>80</v>
      </c>
      <c r="M2082" t="s">
        <v>39</v>
      </c>
      <c r="N2082" t="s">
        <v>94</v>
      </c>
      <c r="O2082" s="4">
        <v>4</v>
      </c>
      <c r="P2082" s="4">
        <v>3</v>
      </c>
      <c r="Q2082" t="s">
        <v>69</v>
      </c>
      <c r="R2082" s="2">
        <v>46171</v>
      </c>
      <c r="S2082" s="4">
        <v>32</v>
      </c>
      <c r="T2082" s="3">
        <v>371000000</v>
      </c>
      <c r="U2082" t="s">
        <v>42</v>
      </c>
      <c r="V2082" t="s">
        <v>59</v>
      </c>
      <c r="W2082" t="s">
        <v>267</v>
      </c>
      <c r="Y2082" t="s">
        <v>228</v>
      </c>
      <c r="Z2082" t="s">
        <v>3179</v>
      </c>
      <c r="AA2082" t="s">
        <v>46</v>
      </c>
      <c r="AB2082" t="s">
        <v>97</v>
      </c>
      <c r="AC2082" t="s">
        <v>46</v>
      </c>
    </row>
    <row r="2083" spans="1:29">
      <c r="A2083" t="s">
        <v>2500</v>
      </c>
      <c r="B2083" s="2">
        <v>46203</v>
      </c>
      <c r="C2083" t="s">
        <v>30</v>
      </c>
      <c r="D2083" t="s">
        <v>31</v>
      </c>
      <c r="E2083" t="s">
        <v>172</v>
      </c>
      <c r="F2083" t="s">
        <v>277</v>
      </c>
      <c r="G2083" t="s">
        <v>338</v>
      </c>
      <c r="H2083" t="s">
        <v>241</v>
      </c>
      <c r="I2083" t="s">
        <v>242</v>
      </c>
      <c r="J2083" t="s">
        <v>3034</v>
      </c>
      <c r="K2083" t="s">
        <v>37</v>
      </c>
      <c r="L2083" t="s">
        <v>80</v>
      </c>
      <c r="M2083" t="s">
        <v>164</v>
      </c>
      <c r="N2083" t="s">
        <v>40</v>
      </c>
      <c r="O2083" s="4">
        <v>2</v>
      </c>
      <c r="P2083" s="4">
        <v>17</v>
      </c>
      <c r="Q2083" t="s">
        <v>138</v>
      </c>
      <c r="R2083" s="2">
        <v>46202</v>
      </c>
      <c r="S2083" s="4">
        <v>1</v>
      </c>
      <c r="T2083" s="3">
        <v>231000000</v>
      </c>
      <c r="U2083" t="s">
        <v>42</v>
      </c>
      <c r="V2083" t="s">
        <v>43</v>
      </c>
      <c r="W2083" t="s">
        <v>298</v>
      </c>
      <c r="Y2083" t="s">
        <v>281</v>
      </c>
      <c r="Z2083" t="s">
        <v>3180</v>
      </c>
      <c r="AA2083" t="s">
        <v>181</v>
      </c>
      <c r="AB2083" t="s">
        <v>193</v>
      </c>
      <c r="AC2083" t="s">
        <v>181</v>
      </c>
    </row>
    <row r="2084" spans="1:29">
      <c r="A2084" t="s">
        <v>2501</v>
      </c>
      <c r="B2084" s="2">
        <v>46197</v>
      </c>
      <c r="C2084" t="s">
        <v>30</v>
      </c>
      <c r="D2084" t="s">
        <v>49</v>
      </c>
      <c r="E2084" t="s">
        <v>32</v>
      </c>
      <c r="F2084" t="s">
        <v>256</v>
      </c>
      <c r="G2084" t="s">
        <v>463</v>
      </c>
      <c r="H2084" t="s">
        <v>258</v>
      </c>
      <c r="I2084" t="s">
        <v>297</v>
      </c>
      <c r="J2084" t="s">
        <v>3044</v>
      </c>
      <c r="K2084" t="s">
        <v>105</v>
      </c>
      <c r="L2084" t="s">
        <v>38</v>
      </c>
      <c r="M2084" t="s">
        <v>93</v>
      </c>
      <c r="N2084" t="s">
        <v>82</v>
      </c>
      <c r="O2084" s="4">
        <v>1</v>
      </c>
      <c r="P2084" s="4">
        <v>4</v>
      </c>
      <c r="Q2084" t="s">
        <v>69</v>
      </c>
      <c r="R2084" s="2">
        <v>46187</v>
      </c>
      <c r="S2084" s="4">
        <v>16</v>
      </c>
      <c r="T2084" s="3">
        <v>283000000</v>
      </c>
      <c r="U2084" t="s">
        <v>260</v>
      </c>
      <c r="V2084" t="s">
        <v>43</v>
      </c>
      <c r="W2084" t="s">
        <v>84</v>
      </c>
      <c r="X2084" t="s">
        <v>381</v>
      </c>
      <c r="Y2084" t="s">
        <v>291</v>
      </c>
      <c r="Z2084" t="s">
        <v>3176</v>
      </c>
      <c r="AA2084" t="s">
        <v>46</v>
      </c>
      <c r="AB2084" t="s">
        <v>47</v>
      </c>
      <c r="AC2084" t="s">
        <v>46</v>
      </c>
    </row>
    <row r="2085" spans="1:29">
      <c r="A2085" t="s">
        <v>2502</v>
      </c>
      <c r="B2085" s="2">
        <v>46194</v>
      </c>
      <c r="C2085" t="s">
        <v>30</v>
      </c>
      <c r="D2085" t="s">
        <v>74</v>
      </c>
      <c r="E2085" t="s">
        <v>111</v>
      </c>
      <c r="F2085" t="s">
        <v>190</v>
      </c>
      <c r="G2085" t="s">
        <v>126</v>
      </c>
      <c r="H2085" t="s">
        <v>114</v>
      </c>
      <c r="I2085" t="s">
        <v>1078</v>
      </c>
      <c r="J2085" t="s">
        <v>3172</v>
      </c>
      <c r="K2085" t="s">
        <v>37</v>
      </c>
      <c r="L2085" t="s">
        <v>80</v>
      </c>
      <c r="M2085" t="s">
        <v>106</v>
      </c>
      <c r="N2085" t="s">
        <v>130</v>
      </c>
      <c r="O2085" s="4">
        <v>5</v>
      </c>
      <c r="P2085" s="4">
        <v>12</v>
      </c>
      <c r="Q2085" t="s">
        <v>69</v>
      </c>
      <c r="R2085" s="2">
        <v>46190</v>
      </c>
      <c r="S2085" s="4">
        <v>13</v>
      </c>
      <c r="T2085" s="3">
        <v>164000000</v>
      </c>
      <c r="U2085" t="s">
        <v>42</v>
      </c>
      <c r="V2085" t="s">
        <v>70</v>
      </c>
      <c r="W2085" t="s">
        <v>131</v>
      </c>
      <c r="X2085" t="s">
        <v>117</v>
      </c>
      <c r="Y2085" t="s">
        <v>262</v>
      </c>
      <c r="Z2085" t="s">
        <v>3179</v>
      </c>
      <c r="AA2085" t="s">
        <v>118</v>
      </c>
      <c r="AB2085" t="s">
        <v>97</v>
      </c>
      <c r="AC2085" t="s">
        <v>118</v>
      </c>
    </row>
    <row r="2086" spans="1:29">
      <c r="A2086" t="s">
        <v>2503</v>
      </c>
      <c r="B2086" s="2">
        <v>46179</v>
      </c>
      <c r="C2086" t="s">
        <v>30</v>
      </c>
      <c r="D2086" t="s">
        <v>134</v>
      </c>
      <c r="E2086" t="s">
        <v>152</v>
      </c>
      <c r="F2086" t="s">
        <v>205</v>
      </c>
      <c r="G2086" t="s">
        <v>294</v>
      </c>
      <c r="H2086" t="s">
        <v>283</v>
      </c>
      <c r="I2086" t="s">
        <v>472</v>
      </c>
      <c r="J2086" t="s">
        <v>3097</v>
      </c>
      <c r="K2086" t="s">
        <v>105</v>
      </c>
      <c r="L2086" t="s">
        <v>55</v>
      </c>
      <c r="M2086" t="s">
        <v>81</v>
      </c>
      <c r="N2086" t="s">
        <v>213</v>
      </c>
      <c r="O2086" s="4">
        <v>6</v>
      </c>
      <c r="P2086" s="4">
        <v>17</v>
      </c>
      <c r="Q2086" t="s">
        <v>107</v>
      </c>
      <c r="R2086" s="2">
        <v>46176</v>
      </c>
      <c r="S2086" s="4">
        <v>27</v>
      </c>
      <c r="T2086" s="3">
        <v>323000000</v>
      </c>
      <c r="U2086" t="s">
        <v>214</v>
      </c>
      <c r="V2086" t="s">
        <v>70</v>
      </c>
      <c r="W2086" t="s">
        <v>438</v>
      </c>
      <c r="Y2086" t="s">
        <v>249</v>
      </c>
      <c r="Z2086" t="s">
        <v>3179</v>
      </c>
      <c r="AA2086" t="s">
        <v>159</v>
      </c>
      <c r="AB2086" t="s">
        <v>97</v>
      </c>
      <c r="AC2086" t="s">
        <v>159</v>
      </c>
    </row>
    <row r="2087" spans="1:29">
      <c r="A2087" t="s">
        <v>2504</v>
      </c>
      <c r="B2087" s="2">
        <v>46188</v>
      </c>
      <c r="C2087" t="s">
        <v>30</v>
      </c>
      <c r="D2087" t="s">
        <v>74</v>
      </c>
      <c r="E2087" t="s">
        <v>120</v>
      </c>
      <c r="F2087" t="s">
        <v>167</v>
      </c>
      <c r="G2087" t="s">
        <v>135</v>
      </c>
      <c r="H2087" t="s">
        <v>136</v>
      </c>
      <c r="I2087" t="s">
        <v>168</v>
      </c>
      <c r="J2087" t="s">
        <v>3022</v>
      </c>
      <c r="K2087" t="s">
        <v>92</v>
      </c>
      <c r="L2087" t="s">
        <v>68</v>
      </c>
      <c r="M2087" t="s">
        <v>129</v>
      </c>
      <c r="N2087" t="s">
        <v>57</v>
      </c>
      <c r="O2087" s="4">
        <v>3</v>
      </c>
      <c r="P2087" s="4">
        <v>8</v>
      </c>
      <c r="Q2087" t="s">
        <v>138</v>
      </c>
      <c r="R2087" s="2">
        <v>46179</v>
      </c>
      <c r="S2087" s="4">
        <v>24</v>
      </c>
      <c r="T2087" s="3">
        <v>103000000</v>
      </c>
      <c r="U2087" t="s">
        <v>42</v>
      </c>
      <c r="V2087" t="s">
        <v>43</v>
      </c>
      <c r="W2087" t="s">
        <v>157</v>
      </c>
      <c r="Y2087" t="s">
        <v>61</v>
      </c>
      <c r="Z2087" t="s">
        <v>3177</v>
      </c>
      <c r="AA2087" t="s">
        <v>97</v>
      </c>
      <c r="AB2087" t="s">
        <v>63</v>
      </c>
      <c r="AC2087" t="s">
        <v>97</v>
      </c>
    </row>
    <row r="2088" spans="1:29">
      <c r="A2088" t="s">
        <v>2505</v>
      </c>
      <c r="B2088" s="2">
        <v>46202</v>
      </c>
      <c r="C2088" t="s">
        <v>30</v>
      </c>
      <c r="D2088" t="s">
        <v>31</v>
      </c>
      <c r="E2088" t="s">
        <v>172</v>
      </c>
      <c r="F2088" t="s">
        <v>173</v>
      </c>
      <c r="G2088" t="s">
        <v>278</v>
      </c>
      <c r="H2088" t="s">
        <v>241</v>
      </c>
      <c r="I2088" t="s">
        <v>457</v>
      </c>
      <c r="J2088" t="s">
        <v>3092</v>
      </c>
      <c r="K2088" t="s">
        <v>92</v>
      </c>
      <c r="L2088" t="s">
        <v>68</v>
      </c>
      <c r="M2088" t="s">
        <v>164</v>
      </c>
      <c r="N2088" t="s">
        <v>40</v>
      </c>
      <c r="O2088" s="4">
        <v>2</v>
      </c>
      <c r="P2088" s="4">
        <v>4</v>
      </c>
      <c r="Q2088" t="s">
        <v>138</v>
      </c>
      <c r="R2088" s="2">
        <v>46200</v>
      </c>
      <c r="S2088" s="4">
        <v>3</v>
      </c>
      <c r="T2088" s="3">
        <v>158000000</v>
      </c>
      <c r="U2088" t="s">
        <v>42</v>
      </c>
      <c r="V2088" t="s">
        <v>59</v>
      </c>
      <c r="W2088" t="s">
        <v>298</v>
      </c>
      <c r="Y2088" t="s">
        <v>45</v>
      </c>
      <c r="Z2088" t="s">
        <v>3176</v>
      </c>
      <c r="AA2088" t="s">
        <v>181</v>
      </c>
      <c r="AB2088" t="s">
        <v>47</v>
      </c>
      <c r="AC2088" t="s">
        <v>181</v>
      </c>
    </row>
    <row r="2089" spans="1:29">
      <c r="A2089" t="s">
        <v>2506</v>
      </c>
      <c r="B2089" s="2">
        <v>46185</v>
      </c>
      <c r="C2089" t="s">
        <v>30</v>
      </c>
      <c r="D2089" t="s">
        <v>99</v>
      </c>
      <c r="E2089" t="s">
        <v>50</v>
      </c>
      <c r="F2089" t="s">
        <v>351</v>
      </c>
      <c r="G2089" t="s">
        <v>52</v>
      </c>
      <c r="H2089" t="s">
        <v>90</v>
      </c>
      <c r="I2089" t="s">
        <v>585</v>
      </c>
      <c r="J2089" t="s">
        <v>3126</v>
      </c>
      <c r="K2089" t="s">
        <v>92</v>
      </c>
      <c r="L2089" t="s">
        <v>169</v>
      </c>
      <c r="M2089" t="s">
        <v>56</v>
      </c>
      <c r="N2089" t="s">
        <v>130</v>
      </c>
      <c r="O2089" s="4">
        <v>5</v>
      </c>
      <c r="P2089" s="4">
        <v>9</v>
      </c>
      <c r="Q2089" t="s">
        <v>138</v>
      </c>
      <c r="R2089" s="2">
        <v>46177</v>
      </c>
      <c r="S2089" s="4">
        <v>26</v>
      </c>
      <c r="T2089" s="3">
        <v>109000000</v>
      </c>
      <c r="U2089" t="s">
        <v>42</v>
      </c>
      <c r="V2089" t="s">
        <v>70</v>
      </c>
      <c r="W2089" t="s">
        <v>131</v>
      </c>
      <c r="Y2089" t="s">
        <v>262</v>
      </c>
      <c r="Z2089" t="s">
        <v>3179</v>
      </c>
      <c r="AA2089" t="s">
        <v>62</v>
      </c>
      <c r="AB2089" t="s">
        <v>97</v>
      </c>
      <c r="AC2089" t="s">
        <v>62</v>
      </c>
    </row>
    <row r="2090" spans="1:29">
      <c r="A2090" t="s">
        <v>2507</v>
      </c>
      <c r="B2090" s="2">
        <v>46193</v>
      </c>
      <c r="C2090" t="s">
        <v>30</v>
      </c>
      <c r="D2090" t="s">
        <v>74</v>
      </c>
      <c r="E2090" t="s">
        <v>50</v>
      </c>
      <c r="F2090" t="s">
        <v>351</v>
      </c>
      <c r="G2090" t="s">
        <v>234</v>
      </c>
      <c r="H2090" t="s">
        <v>90</v>
      </c>
      <c r="I2090" t="s">
        <v>585</v>
      </c>
      <c r="J2090" t="s">
        <v>3126</v>
      </c>
      <c r="K2090" t="s">
        <v>116</v>
      </c>
      <c r="L2090" t="s">
        <v>169</v>
      </c>
      <c r="M2090" t="s">
        <v>164</v>
      </c>
      <c r="N2090" t="s">
        <v>196</v>
      </c>
      <c r="O2090" s="4">
        <v>7</v>
      </c>
      <c r="P2090" s="4">
        <v>17</v>
      </c>
      <c r="Q2090" t="s">
        <v>83</v>
      </c>
      <c r="R2090" s="2">
        <v>46193</v>
      </c>
      <c r="S2090" s="4">
        <v>10</v>
      </c>
      <c r="T2090" s="3">
        <v>114000000</v>
      </c>
      <c r="U2090" t="s">
        <v>196</v>
      </c>
      <c r="V2090" t="s">
        <v>70</v>
      </c>
      <c r="W2090" t="s">
        <v>197</v>
      </c>
      <c r="Y2090" t="s">
        <v>210</v>
      </c>
      <c r="Z2090" t="s">
        <v>3181</v>
      </c>
      <c r="AA2090" t="s">
        <v>62</v>
      </c>
      <c r="AB2090" t="s">
        <v>199</v>
      </c>
      <c r="AC2090" t="s">
        <v>62</v>
      </c>
    </row>
    <row r="2091" spans="1:29">
      <c r="A2091" t="s">
        <v>2508</v>
      </c>
      <c r="B2091" s="2">
        <v>46176</v>
      </c>
      <c r="C2091" t="s">
        <v>30</v>
      </c>
      <c r="D2091" t="s">
        <v>134</v>
      </c>
      <c r="E2091" t="s">
        <v>100</v>
      </c>
      <c r="F2091" t="s">
        <v>146</v>
      </c>
      <c r="G2091" t="s">
        <v>212</v>
      </c>
      <c r="H2091" t="s">
        <v>201</v>
      </c>
      <c r="I2091" t="s">
        <v>554</v>
      </c>
      <c r="J2091" t="s">
        <v>3117</v>
      </c>
      <c r="K2091" t="s">
        <v>37</v>
      </c>
      <c r="L2091" t="s">
        <v>80</v>
      </c>
      <c r="M2091" t="s">
        <v>81</v>
      </c>
      <c r="N2091" t="s">
        <v>213</v>
      </c>
      <c r="O2091" s="4">
        <v>6</v>
      </c>
      <c r="P2091" s="4">
        <v>13</v>
      </c>
      <c r="Q2091" t="s">
        <v>142</v>
      </c>
      <c r="R2091" s="2">
        <v>46171</v>
      </c>
      <c r="S2091" s="4">
        <v>32</v>
      </c>
      <c r="T2091" s="3">
        <v>208000000</v>
      </c>
      <c r="U2091" t="s">
        <v>42</v>
      </c>
      <c r="V2091" t="s">
        <v>70</v>
      </c>
      <c r="W2091" t="s">
        <v>438</v>
      </c>
      <c r="X2091" t="s">
        <v>253</v>
      </c>
      <c r="Y2091" t="s">
        <v>432</v>
      </c>
      <c r="Z2091" t="s">
        <v>3179</v>
      </c>
      <c r="AA2091" t="s">
        <v>109</v>
      </c>
      <c r="AB2091" t="s">
        <v>97</v>
      </c>
      <c r="AC2091" t="s">
        <v>109</v>
      </c>
    </row>
    <row r="2092" spans="1:29">
      <c r="A2092" t="s">
        <v>2509</v>
      </c>
      <c r="B2092" s="2">
        <v>46178</v>
      </c>
      <c r="C2092" t="s">
        <v>30</v>
      </c>
      <c r="D2092" t="s">
        <v>134</v>
      </c>
      <c r="E2092" t="s">
        <v>100</v>
      </c>
      <c r="F2092" t="s">
        <v>140</v>
      </c>
      <c r="G2092" t="s">
        <v>102</v>
      </c>
      <c r="H2092" t="s">
        <v>201</v>
      </c>
      <c r="I2092" t="s">
        <v>554</v>
      </c>
      <c r="J2092" t="s">
        <v>3117</v>
      </c>
      <c r="K2092" t="s">
        <v>105</v>
      </c>
      <c r="L2092" t="s">
        <v>80</v>
      </c>
      <c r="M2092" t="s">
        <v>93</v>
      </c>
      <c r="N2092" t="s">
        <v>40</v>
      </c>
      <c r="O2092" s="4">
        <v>2</v>
      </c>
      <c r="P2092" s="4">
        <v>10</v>
      </c>
      <c r="Q2092" t="s">
        <v>142</v>
      </c>
      <c r="R2092" s="2">
        <v>46169</v>
      </c>
      <c r="S2092" s="4">
        <v>34</v>
      </c>
      <c r="T2092" s="3">
        <v>99000000</v>
      </c>
      <c r="U2092" t="s">
        <v>42</v>
      </c>
      <c r="V2092" t="s">
        <v>43</v>
      </c>
      <c r="W2092" t="s">
        <v>239</v>
      </c>
      <c r="Y2092" t="s">
        <v>309</v>
      </c>
      <c r="Z2092" t="s">
        <v>3178</v>
      </c>
      <c r="AA2092" t="s">
        <v>109</v>
      </c>
      <c r="AB2092" t="s">
        <v>87</v>
      </c>
      <c r="AC2092" t="s">
        <v>109</v>
      </c>
    </row>
    <row r="2093" spans="1:29">
      <c r="A2093" t="s">
        <v>2510</v>
      </c>
      <c r="B2093" s="2">
        <v>46200</v>
      </c>
      <c r="C2093" t="s">
        <v>30</v>
      </c>
      <c r="D2093" t="s">
        <v>49</v>
      </c>
      <c r="E2093" t="s">
        <v>111</v>
      </c>
      <c r="F2093" t="s">
        <v>264</v>
      </c>
      <c r="G2093" t="s">
        <v>126</v>
      </c>
      <c r="H2093" t="s">
        <v>114</v>
      </c>
      <c r="I2093" t="s">
        <v>383</v>
      </c>
      <c r="J2093" t="s">
        <v>3070</v>
      </c>
      <c r="K2093" t="s">
        <v>105</v>
      </c>
      <c r="L2093" t="s">
        <v>68</v>
      </c>
      <c r="M2093" t="s">
        <v>81</v>
      </c>
      <c r="N2093" t="s">
        <v>213</v>
      </c>
      <c r="O2093" s="4">
        <v>6</v>
      </c>
      <c r="P2093" s="4">
        <v>7</v>
      </c>
      <c r="Q2093" t="s">
        <v>69</v>
      </c>
      <c r="R2093" s="2">
        <v>46190</v>
      </c>
      <c r="S2093" s="4">
        <v>13</v>
      </c>
      <c r="T2093" s="3">
        <v>90000000</v>
      </c>
      <c r="U2093" t="s">
        <v>214</v>
      </c>
      <c r="V2093" t="s">
        <v>70</v>
      </c>
      <c r="W2093" t="s">
        <v>215</v>
      </c>
      <c r="Y2093" t="s">
        <v>424</v>
      </c>
      <c r="Z2093" t="s">
        <v>3179</v>
      </c>
      <c r="AA2093" t="s">
        <v>118</v>
      </c>
      <c r="AB2093" t="s">
        <v>97</v>
      </c>
      <c r="AC2093" t="s">
        <v>118</v>
      </c>
    </row>
    <row r="2094" spans="1:29">
      <c r="A2094" t="s">
        <v>2511</v>
      </c>
      <c r="B2094" s="2">
        <v>46180</v>
      </c>
      <c r="C2094" t="s">
        <v>30</v>
      </c>
      <c r="D2094" t="s">
        <v>134</v>
      </c>
      <c r="E2094" t="s">
        <v>75</v>
      </c>
      <c r="F2094" t="s">
        <v>76</v>
      </c>
      <c r="G2094" t="s">
        <v>77</v>
      </c>
      <c r="H2094" t="s">
        <v>388</v>
      </c>
      <c r="I2094" t="s">
        <v>661</v>
      </c>
      <c r="J2094" t="s">
        <v>3144</v>
      </c>
      <c r="K2094" t="s">
        <v>56</v>
      </c>
      <c r="L2094" t="s">
        <v>38</v>
      </c>
      <c r="M2094" t="s">
        <v>81</v>
      </c>
      <c r="N2094" t="s">
        <v>57</v>
      </c>
      <c r="O2094" s="4">
        <v>3</v>
      </c>
      <c r="P2094" s="4">
        <v>5</v>
      </c>
      <c r="Q2094" t="s">
        <v>107</v>
      </c>
      <c r="R2094" s="2">
        <v>46174</v>
      </c>
      <c r="S2094" s="4">
        <v>29</v>
      </c>
      <c r="T2094" s="3">
        <v>227000000</v>
      </c>
      <c r="U2094" t="s">
        <v>42</v>
      </c>
      <c r="V2094" t="s">
        <v>59</v>
      </c>
      <c r="W2094" t="s">
        <v>71</v>
      </c>
      <c r="Y2094" t="s">
        <v>61</v>
      </c>
      <c r="Z2094" t="s">
        <v>3177</v>
      </c>
      <c r="AA2094" t="s">
        <v>86</v>
      </c>
      <c r="AB2094" t="s">
        <v>63</v>
      </c>
      <c r="AC2094" t="s">
        <v>86</v>
      </c>
    </row>
    <row r="2095" spans="1:29">
      <c r="A2095" t="s">
        <v>2512</v>
      </c>
      <c r="B2095" s="2">
        <v>46191</v>
      </c>
      <c r="C2095" t="s">
        <v>30</v>
      </c>
      <c r="D2095" t="s">
        <v>74</v>
      </c>
      <c r="E2095" t="s">
        <v>32</v>
      </c>
      <c r="F2095" t="s">
        <v>33</v>
      </c>
      <c r="G2095" t="s">
        <v>463</v>
      </c>
      <c r="H2095" t="s">
        <v>35</v>
      </c>
      <c r="I2095" t="s">
        <v>320</v>
      </c>
      <c r="J2095" t="s">
        <v>3051</v>
      </c>
      <c r="K2095" t="s">
        <v>56</v>
      </c>
      <c r="L2095" t="s">
        <v>150</v>
      </c>
      <c r="M2095" t="s">
        <v>129</v>
      </c>
      <c r="N2095" t="s">
        <v>57</v>
      </c>
      <c r="O2095" s="4">
        <v>3</v>
      </c>
      <c r="P2095" s="4">
        <v>1</v>
      </c>
      <c r="Q2095" t="s">
        <v>41</v>
      </c>
      <c r="R2095" s="2">
        <v>46186</v>
      </c>
      <c r="S2095" s="4">
        <v>17</v>
      </c>
      <c r="T2095" s="3">
        <v>175000000</v>
      </c>
      <c r="U2095" t="s">
        <v>42</v>
      </c>
      <c r="V2095" t="s">
        <v>59</v>
      </c>
      <c r="W2095" t="s">
        <v>60</v>
      </c>
      <c r="Y2095" t="s">
        <v>72</v>
      </c>
      <c r="Z2095" t="s">
        <v>3177</v>
      </c>
      <c r="AA2095" t="s">
        <v>46</v>
      </c>
      <c r="AB2095" t="s">
        <v>63</v>
      </c>
      <c r="AC2095" t="s">
        <v>46</v>
      </c>
    </row>
    <row r="2096" spans="1:29">
      <c r="A2096" t="s">
        <v>2513</v>
      </c>
      <c r="B2096" s="2">
        <v>46200</v>
      </c>
      <c r="C2096" t="s">
        <v>30</v>
      </c>
      <c r="D2096" t="s">
        <v>49</v>
      </c>
      <c r="E2096" t="s">
        <v>100</v>
      </c>
      <c r="F2096" t="s">
        <v>140</v>
      </c>
      <c r="G2096" t="s">
        <v>313</v>
      </c>
      <c r="H2096" t="s">
        <v>148</v>
      </c>
      <c r="I2096" t="s">
        <v>724</v>
      </c>
      <c r="J2096" t="s">
        <v>3148</v>
      </c>
      <c r="K2096" t="s">
        <v>37</v>
      </c>
      <c r="L2096" t="s">
        <v>80</v>
      </c>
      <c r="M2096" t="s">
        <v>106</v>
      </c>
      <c r="N2096" t="s">
        <v>196</v>
      </c>
      <c r="O2096" s="4">
        <v>7</v>
      </c>
      <c r="P2096" s="4">
        <v>15</v>
      </c>
      <c r="Q2096" t="s">
        <v>69</v>
      </c>
      <c r="R2096" s="2">
        <v>46191</v>
      </c>
      <c r="S2096" s="4">
        <v>12</v>
      </c>
      <c r="T2096" s="3">
        <v>227000000</v>
      </c>
      <c r="U2096" t="s">
        <v>196</v>
      </c>
      <c r="V2096" t="s">
        <v>70</v>
      </c>
      <c r="W2096" t="s">
        <v>243</v>
      </c>
      <c r="Y2096" t="s">
        <v>244</v>
      </c>
      <c r="Z2096" t="s">
        <v>3181</v>
      </c>
      <c r="AA2096" t="s">
        <v>109</v>
      </c>
      <c r="AB2096" t="s">
        <v>199</v>
      </c>
      <c r="AC2096" t="s">
        <v>109</v>
      </c>
    </row>
    <row r="2097" spans="1:29">
      <c r="A2097" t="s">
        <v>2514</v>
      </c>
      <c r="B2097" s="2">
        <v>46178</v>
      </c>
      <c r="C2097" t="s">
        <v>30</v>
      </c>
      <c r="D2097" t="s">
        <v>134</v>
      </c>
      <c r="E2097" t="s">
        <v>172</v>
      </c>
      <c r="F2097" t="s">
        <v>173</v>
      </c>
      <c r="G2097" t="s">
        <v>174</v>
      </c>
      <c r="H2097" t="s">
        <v>175</v>
      </c>
      <c r="I2097" t="s">
        <v>176</v>
      </c>
      <c r="J2097" t="s">
        <v>3023</v>
      </c>
      <c r="K2097" t="s">
        <v>37</v>
      </c>
      <c r="L2097" t="s">
        <v>187</v>
      </c>
      <c r="M2097" t="s">
        <v>93</v>
      </c>
      <c r="N2097" t="s">
        <v>57</v>
      </c>
      <c r="O2097" s="4">
        <v>3</v>
      </c>
      <c r="P2097" s="4">
        <v>7</v>
      </c>
      <c r="Q2097" t="s">
        <v>69</v>
      </c>
      <c r="R2097" s="2">
        <v>46175</v>
      </c>
      <c r="S2097" s="4">
        <v>28</v>
      </c>
      <c r="T2097" s="3">
        <v>196000000</v>
      </c>
      <c r="U2097" t="s">
        <v>42</v>
      </c>
      <c r="V2097" t="s">
        <v>43</v>
      </c>
      <c r="W2097" t="s">
        <v>157</v>
      </c>
      <c r="Y2097" t="s">
        <v>61</v>
      </c>
      <c r="Z2097" t="s">
        <v>3177</v>
      </c>
      <c r="AA2097" t="s">
        <v>181</v>
      </c>
      <c r="AB2097" t="s">
        <v>63</v>
      </c>
      <c r="AC2097" t="s">
        <v>181</v>
      </c>
    </row>
    <row r="2098" spans="1:29">
      <c r="A2098" t="s">
        <v>2515</v>
      </c>
      <c r="B2098" s="2">
        <v>46189</v>
      </c>
      <c r="C2098" t="s">
        <v>30</v>
      </c>
      <c r="D2098" t="s">
        <v>74</v>
      </c>
      <c r="E2098" t="s">
        <v>75</v>
      </c>
      <c r="F2098" t="s">
        <v>76</v>
      </c>
      <c r="G2098" t="s">
        <v>387</v>
      </c>
      <c r="H2098" t="s">
        <v>388</v>
      </c>
      <c r="I2098" t="s">
        <v>540</v>
      </c>
      <c r="J2098" t="s">
        <v>3114</v>
      </c>
      <c r="K2098" t="s">
        <v>105</v>
      </c>
      <c r="L2098" t="s">
        <v>38</v>
      </c>
      <c r="M2098" t="s">
        <v>129</v>
      </c>
      <c r="N2098" t="s">
        <v>57</v>
      </c>
      <c r="O2098" s="4">
        <v>3</v>
      </c>
      <c r="P2098" s="4">
        <v>10</v>
      </c>
      <c r="Q2098" t="s">
        <v>142</v>
      </c>
      <c r="R2098" s="2">
        <v>46184</v>
      </c>
      <c r="S2098" s="4">
        <v>19</v>
      </c>
      <c r="T2098" s="3">
        <v>261000000</v>
      </c>
      <c r="U2098" t="s">
        <v>42</v>
      </c>
      <c r="V2098" t="s">
        <v>43</v>
      </c>
      <c r="W2098" t="s">
        <v>157</v>
      </c>
      <c r="Y2098" t="s">
        <v>61</v>
      </c>
      <c r="Z2098" t="s">
        <v>3177</v>
      </c>
      <c r="AA2098" t="s">
        <v>86</v>
      </c>
      <c r="AB2098" t="s">
        <v>63</v>
      </c>
      <c r="AC2098" t="s">
        <v>86</v>
      </c>
    </row>
    <row r="2099" spans="1:29">
      <c r="A2099" t="s">
        <v>2516</v>
      </c>
      <c r="B2099" s="2">
        <v>46192</v>
      </c>
      <c r="C2099" t="s">
        <v>30</v>
      </c>
      <c r="D2099" t="s">
        <v>74</v>
      </c>
      <c r="E2099" t="s">
        <v>172</v>
      </c>
      <c r="F2099" t="s">
        <v>195</v>
      </c>
      <c r="G2099" t="s">
        <v>476</v>
      </c>
      <c r="H2099" t="s">
        <v>175</v>
      </c>
      <c r="I2099" t="s">
        <v>602</v>
      </c>
      <c r="J2099" t="s">
        <v>3129</v>
      </c>
      <c r="K2099" t="s">
        <v>37</v>
      </c>
      <c r="L2099" t="s">
        <v>38</v>
      </c>
      <c r="M2099" t="s">
        <v>164</v>
      </c>
      <c r="N2099" t="s">
        <v>40</v>
      </c>
      <c r="O2099" s="4">
        <v>2</v>
      </c>
      <c r="P2099" s="4">
        <v>15</v>
      </c>
      <c r="Q2099" t="s">
        <v>138</v>
      </c>
      <c r="R2099" s="2">
        <v>46188</v>
      </c>
      <c r="S2099" s="4">
        <v>15</v>
      </c>
      <c r="T2099" s="3">
        <v>133000000</v>
      </c>
      <c r="U2099" t="s">
        <v>42</v>
      </c>
      <c r="V2099" t="s">
        <v>43</v>
      </c>
      <c r="W2099" t="s">
        <v>178</v>
      </c>
      <c r="Y2099" t="s">
        <v>281</v>
      </c>
      <c r="Z2099" t="s">
        <v>3180</v>
      </c>
      <c r="AA2099" t="s">
        <v>181</v>
      </c>
      <c r="AB2099" t="s">
        <v>193</v>
      </c>
      <c r="AC2099" t="s">
        <v>181</v>
      </c>
    </row>
    <row r="2100" spans="1:29">
      <c r="A2100" t="s">
        <v>2517</v>
      </c>
      <c r="B2100" s="2">
        <v>46201</v>
      </c>
      <c r="C2100" t="s">
        <v>30</v>
      </c>
      <c r="D2100" t="s">
        <v>49</v>
      </c>
      <c r="E2100" t="s">
        <v>152</v>
      </c>
      <c r="F2100" t="s">
        <v>221</v>
      </c>
      <c r="G2100" t="s">
        <v>154</v>
      </c>
      <c r="H2100" t="s">
        <v>207</v>
      </c>
      <c r="I2100" t="s">
        <v>222</v>
      </c>
      <c r="J2100" t="s">
        <v>3029</v>
      </c>
      <c r="K2100" t="s">
        <v>37</v>
      </c>
      <c r="L2100" t="s">
        <v>169</v>
      </c>
      <c r="M2100" t="s">
        <v>81</v>
      </c>
      <c r="N2100" t="s">
        <v>130</v>
      </c>
      <c r="O2100" s="4">
        <v>5</v>
      </c>
      <c r="P2100" s="4">
        <v>16</v>
      </c>
      <c r="Q2100" t="s">
        <v>69</v>
      </c>
      <c r="R2100" s="2">
        <v>46198</v>
      </c>
      <c r="S2100" s="4">
        <v>5</v>
      </c>
      <c r="T2100" s="3">
        <v>279000000</v>
      </c>
      <c r="U2100" t="s">
        <v>42</v>
      </c>
      <c r="V2100" t="s">
        <v>70</v>
      </c>
      <c r="W2100" t="s">
        <v>131</v>
      </c>
      <c r="Y2100" t="s">
        <v>262</v>
      </c>
      <c r="Z2100" t="s">
        <v>3179</v>
      </c>
      <c r="AA2100" t="s">
        <v>159</v>
      </c>
      <c r="AB2100" t="s">
        <v>97</v>
      </c>
      <c r="AC2100" t="s">
        <v>159</v>
      </c>
    </row>
    <row r="2101" spans="1:29">
      <c r="A2101" t="s">
        <v>2518</v>
      </c>
      <c r="B2101" s="2">
        <v>46179</v>
      </c>
      <c r="C2101" t="s">
        <v>30</v>
      </c>
      <c r="D2101" t="s">
        <v>134</v>
      </c>
      <c r="E2101" t="s">
        <v>75</v>
      </c>
      <c r="F2101" t="s">
        <v>161</v>
      </c>
      <c r="G2101" t="s">
        <v>230</v>
      </c>
      <c r="H2101" t="s">
        <v>185</v>
      </c>
      <c r="I2101" t="s">
        <v>673</v>
      </c>
      <c r="J2101" t="s">
        <v>3146</v>
      </c>
      <c r="K2101" t="s">
        <v>92</v>
      </c>
      <c r="L2101" t="s">
        <v>80</v>
      </c>
      <c r="M2101" t="s">
        <v>93</v>
      </c>
      <c r="N2101" t="s">
        <v>57</v>
      </c>
      <c r="O2101" s="4">
        <v>3</v>
      </c>
      <c r="P2101" s="4">
        <v>4</v>
      </c>
      <c r="Q2101" t="s">
        <v>107</v>
      </c>
      <c r="R2101" s="2">
        <v>46175</v>
      </c>
      <c r="S2101" s="4">
        <v>28</v>
      </c>
      <c r="T2101" s="3">
        <v>115000000</v>
      </c>
      <c r="U2101" t="s">
        <v>42</v>
      </c>
      <c r="V2101" t="s">
        <v>59</v>
      </c>
      <c r="W2101" t="s">
        <v>203</v>
      </c>
      <c r="Y2101" t="s">
        <v>61</v>
      </c>
      <c r="Z2101" t="s">
        <v>3177</v>
      </c>
      <c r="AA2101" t="s">
        <v>86</v>
      </c>
      <c r="AB2101" t="s">
        <v>63</v>
      </c>
      <c r="AC2101" t="s">
        <v>86</v>
      </c>
    </row>
    <row r="2102" spans="1:29">
      <c r="A2102" t="s">
        <v>2519</v>
      </c>
      <c r="B2102" s="2">
        <v>46177</v>
      </c>
      <c r="C2102" t="s">
        <v>30</v>
      </c>
      <c r="D2102" t="s">
        <v>134</v>
      </c>
      <c r="E2102" t="s">
        <v>32</v>
      </c>
      <c r="F2102" t="s">
        <v>273</v>
      </c>
      <c r="G2102" t="s">
        <v>361</v>
      </c>
      <c r="H2102" t="s">
        <v>35</v>
      </c>
      <c r="I2102" t="s">
        <v>320</v>
      </c>
      <c r="J2102" t="s">
        <v>3051</v>
      </c>
      <c r="K2102" t="s">
        <v>92</v>
      </c>
      <c r="L2102" t="s">
        <v>187</v>
      </c>
      <c r="M2102" t="s">
        <v>164</v>
      </c>
      <c r="N2102" t="s">
        <v>82</v>
      </c>
      <c r="O2102" s="4">
        <v>1</v>
      </c>
      <c r="P2102" s="4">
        <v>3</v>
      </c>
      <c r="Q2102" t="s">
        <v>83</v>
      </c>
      <c r="R2102" s="2">
        <v>46176</v>
      </c>
      <c r="S2102" s="4">
        <v>27</v>
      </c>
      <c r="T2102" s="3">
        <v>162000000</v>
      </c>
      <c r="U2102" t="s">
        <v>42</v>
      </c>
      <c r="V2102" t="s">
        <v>43</v>
      </c>
      <c r="W2102" t="s">
        <v>84</v>
      </c>
      <c r="Y2102" t="s">
        <v>85</v>
      </c>
      <c r="Z2102" t="s">
        <v>3176</v>
      </c>
      <c r="AA2102" t="s">
        <v>46</v>
      </c>
      <c r="AB2102" t="s">
        <v>47</v>
      </c>
      <c r="AC2102" t="s">
        <v>46</v>
      </c>
    </row>
    <row r="2103" spans="1:29">
      <c r="A2103" t="s">
        <v>2520</v>
      </c>
      <c r="B2103" s="2">
        <v>46196</v>
      </c>
      <c r="C2103" t="s">
        <v>30</v>
      </c>
      <c r="D2103" t="s">
        <v>49</v>
      </c>
      <c r="E2103" t="s">
        <v>100</v>
      </c>
      <c r="F2103" t="s">
        <v>146</v>
      </c>
      <c r="G2103" t="s">
        <v>147</v>
      </c>
      <c r="H2103" t="s">
        <v>201</v>
      </c>
      <c r="I2103" t="s">
        <v>608</v>
      </c>
      <c r="J2103" t="s">
        <v>3132</v>
      </c>
      <c r="K2103" t="s">
        <v>37</v>
      </c>
      <c r="L2103" t="s">
        <v>55</v>
      </c>
      <c r="M2103" t="s">
        <v>164</v>
      </c>
      <c r="N2103" t="s">
        <v>57</v>
      </c>
      <c r="O2103" s="4">
        <v>3</v>
      </c>
      <c r="P2103" s="4">
        <v>9</v>
      </c>
      <c r="Q2103" t="s">
        <v>107</v>
      </c>
      <c r="R2103" s="2">
        <v>46186</v>
      </c>
      <c r="S2103" s="4">
        <v>17</v>
      </c>
      <c r="T2103" s="3">
        <v>223000000</v>
      </c>
      <c r="U2103" t="s">
        <v>42</v>
      </c>
      <c r="V2103" t="s">
        <v>59</v>
      </c>
      <c r="W2103" t="s">
        <v>60</v>
      </c>
      <c r="Y2103" t="s">
        <v>61</v>
      </c>
      <c r="Z2103" t="s">
        <v>3177</v>
      </c>
      <c r="AA2103" t="s">
        <v>109</v>
      </c>
      <c r="AB2103" t="s">
        <v>63</v>
      </c>
      <c r="AC2103" t="s">
        <v>109</v>
      </c>
    </row>
    <row r="2104" spans="1:29">
      <c r="A2104" t="s">
        <v>2521</v>
      </c>
      <c r="B2104" s="2">
        <v>46194</v>
      </c>
      <c r="C2104" t="s">
        <v>30</v>
      </c>
      <c r="D2104" t="s">
        <v>74</v>
      </c>
      <c r="E2104" t="s">
        <v>172</v>
      </c>
      <c r="F2104" t="s">
        <v>195</v>
      </c>
      <c r="G2104" t="s">
        <v>476</v>
      </c>
      <c r="H2104" t="s">
        <v>175</v>
      </c>
      <c r="I2104" t="s">
        <v>485</v>
      </c>
      <c r="J2104" t="s">
        <v>3101</v>
      </c>
      <c r="K2104" t="s">
        <v>56</v>
      </c>
      <c r="L2104" t="s">
        <v>187</v>
      </c>
      <c r="M2104" t="s">
        <v>81</v>
      </c>
      <c r="N2104" t="s">
        <v>40</v>
      </c>
      <c r="O2104" s="4">
        <v>2</v>
      </c>
      <c r="P2104" s="4">
        <v>5</v>
      </c>
      <c r="Q2104" t="s">
        <v>58</v>
      </c>
      <c r="R2104" s="2">
        <v>46184</v>
      </c>
      <c r="S2104" s="4">
        <v>19</v>
      </c>
      <c r="T2104" s="3">
        <v>354000000</v>
      </c>
      <c r="U2104" t="s">
        <v>42</v>
      </c>
      <c r="V2104" t="s">
        <v>59</v>
      </c>
      <c r="W2104" t="s">
        <v>298</v>
      </c>
      <c r="Y2104" t="s">
        <v>281</v>
      </c>
      <c r="Z2104" t="s">
        <v>3178</v>
      </c>
      <c r="AA2104" t="s">
        <v>181</v>
      </c>
      <c r="AB2104" t="s">
        <v>87</v>
      </c>
      <c r="AC2104" t="s">
        <v>181</v>
      </c>
    </row>
    <row r="2105" spans="1:29">
      <c r="A2105" t="s">
        <v>2522</v>
      </c>
      <c r="B2105" s="2">
        <v>46179</v>
      </c>
      <c r="C2105" t="s">
        <v>30</v>
      </c>
      <c r="D2105" t="s">
        <v>134</v>
      </c>
      <c r="E2105" t="s">
        <v>50</v>
      </c>
      <c r="F2105" t="s">
        <v>89</v>
      </c>
      <c r="G2105" t="s">
        <v>343</v>
      </c>
      <c r="H2105" t="s">
        <v>66</v>
      </c>
      <c r="I2105" t="s">
        <v>849</v>
      </c>
      <c r="J2105" t="s">
        <v>3162</v>
      </c>
      <c r="K2105" t="s">
        <v>56</v>
      </c>
      <c r="L2105" t="s">
        <v>68</v>
      </c>
      <c r="M2105" t="s">
        <v>164</v>
      </c>
      <c r="N2105" t="s">
        <v>94</v>
      </c>
      <c r="O2105" s="4">
        <v>4</v>
      </c>
      <c r="P2105" s="4">
        <v>11</v>
      </c>
      <c r="Q2105" t="s">
        <v>83</v>
      </c>
      <c r="R2105" s="2">
        <v>46176</v>
      </c>
      <c r="S2105" s="4">
        <v>27</v>
      </c>
      <c r="T2105" s="3">
        <v>431000000</v>
      </c>
      <c r="U2105" t="s">
        <v>42</v>
      </c>
      <c r="V2105" t="s">
        <v>59</v>
      </c>
      <c r="W2105" t="s">
        <v>170</v>
      </c>
      <c r="Y2105" t="s">
        <v>268</v>
      </c>
      <c r="Z2105" t="s">
        <v>3179</v>
      </c>
      <c r="AA2105" t="s">
        <v>62</v>
      </c>
      <c r="AB2105" t="s">
        <v>97</v>
      </c>
      <c r="AC2105" t="s">
        <v>62</v>
      </c>
    </row>
    <row r="2106" spans="1:29">
      <c r="A2106" t="s">
        <v>2523</v>
      </c>
      <c r="B2106" s="2">
        <v>46179</v>
      </c>
      <c r="C2106" t="s">
        <v>30</v>
      </c>
      <c r="D2106" t="s">
        <v>134</v>
      </c>
      <c r="E2106" t="s">
        <v>100</v>
      </c>
      <c r="F2106" t="s">
        <v>140</v>
      </c>
      <c r="G2106" t="s">
        <v>102</v>
      </c>
      <c r="H2106" t="s">
        <v>201</v>
      </c>
      <c r="I2106" t="s">
        <v>416</v>
      </c>
      <c r="J2106" t="s">
        <v>3078</v>
      </c>
      <c r="K2106" t="s">
        <v>37</v>
      </c>
      <c r="L2106" t="s">
        <v>55</v>
      </c>
      <c r="M2106" t="s">
        <v>56</v>
      </c>
      <c r="N2106" t="s">
        <v>130</v>
      </c>
      <c r="O2106" s="4">
        <v>5</v>
      </c>
      <c r="P2106" s="4">
        <v>17</v>
      </c>
      <c r="Q2106" t="s">
        <v>69</v>
      </c>
      <c r="R2106" s="2">
        <v>46178</v>
      </c>
      <c r="S2106" s="4">
        <v>25</v>
      </c>
      <c r="T2106" s="3">
        <v>164000000</v>
      </c>
      <c r="U2106" t="s">
        <v>42</v>
      </c>
      <c r="V2106" t="s">
        <v>70</v>
      </c>
      <c r="W2106" t="s">
        <v>355</v>
      </c>
      <c r="X2106" t="s">
        <v>253</v>
      </c>
      <c r="Y2106" t="s">
        <v>262</v>
      </c>
      <c r="Z2106" t="s">
        <v>3179</v>
      </c>
      <c r="AA2106" t="s">
        <v>109</v>
      </c>
      <c r="AB2106" t="s">
        <v>97</v>
      </c>
      <c r="AC2106" t="s">
        <v>109</v>
      </c>
    </row>
    <row r="2107" spans="1:29">
      <c r="A2107" t="s">
        <v>2524</v>
      </c>
      <c r="B2107" s="2">
        <v>46186</v>
      </c>
      <c r="C2107" t="s">
        <v>30</v>
      </c>
      <c r="D2107" t="s">
        <v>99</v>
      </c>
      <c r="E2107" t="s">
        <v>120</v>
      </c>
      <c r="F2107" t="s">
        <v>167</v>
      </c>
      <c r="G2107" t="s">
        <v>227</v>
      </c>
      <c r="H2107" t="s">
        <v>123</v>
      </c>
      <c r="I2107" t="s">
        <v>225</v>
      </c>
      <c r="J2107" t="s">
        <v>3030</v>
      </c>
      <c r="K2107" t="s">
        <v>37</v>
      </c>
      <c r="L2107" t="s">
        <v>80</v>
      </c>
      <c r="M2107" t="s">
        <v>129</v>
      </c>
      <c r="N2107" t="s">
        <v>57</v>
      </c>
      <c r="O2107" s="4">
        <v>3</v>
      </c>
      <c r="P2107" s="4">
        <v>6</v>
      </c>
      <c r="Q2107" t="s">
        <v>41</v>
      </c>
      <c r="R2107" s="2">
        <v>46182</v>
      </c>
      <c r="S2107" s="4">
        <v>21</v>
      </c>
      <c r="T2107" s="3">
        <v>65000000</v>
      </c>
      <c r="U2107" t="s">
        <v>42</v>
      </c>
      <c r="V2107" t="s">
        <v>59</v>
      </c>
      <c r="W2107" t="s">
        <v>203</v>
      </c>
      <c r="Y2107" t="s">
        <v>72</v>
      </c>
      <c r="Z2107" t="s">
        <v>3177</v>
      </c>
      <c r="AA2107" t="s">
        <v>97</v>
      </c>
      <c r="AB2107" t="s">
        <v>63</v>
      </c>
      <c r="AC2107" t="s">
        <v>97</v>
      </c>
    </row>
    <row r="2108" spans="1:29">
      <c r="A2108" t="s">
        <v>2525</v>
      </c>
      <c r="B2108" s="2">
        <v>46193</v>
      </c>
      <c r="C2108" t="s">
        <v>30</v>
      </c>
      <c r="D2108" t="s">
        <v>74</v>
      </c>
      <c r="E2108" t="s">
        <v>75</v>
      </c>
      <c r="F2108" t="s">
        <v>161</v>
      </c>
      <c r="G2108" t="s">
        <v>184</v>
      </c>
      <c r="H2108" t="s">
        <v>388</v>
      </c>
      <c r="I2108" t="s">
        <v>540</v>
      </c>
      <c r="J2108" t="s">
        <v>3114</v>
      </c>
      <c r="K2108" t="s">
        <v>105</v>
      </c>
      <c r="L2108" t="s">
        <v>68</v>
      </c>
      <c r="M2108" t="s">
        <v>93</v>
      </c>
      <c r="N2108" t="s">
        <v>57</v>
      </c>
      <c r="O2108" s="4">
        <v>3</v>
      </c>
      <c r="P2108" s="4">
        <v>11</v>
      </c>
      <c r="Q2108" t="s">
        <v>41</v>
      </c>
      <c r="R2108" s="2">
        <v>46188</v>
      </c>
      <c r="S2108" s="4">
        <v>15</v>
      </c>
      <c r="T2108" s="3">
        <v>184000000</v>
      </c>
      <c r="U2108" t="s">
        <v>42</v>
      </c>
      <c r="V2108" t="s">
        <v>59</v>
      </c>
      <c r="W2108" t="s">
        <v>157</v>
      </c>
      <c r="Y2108" t="s">
        <v>72</v>
      </c>
      <c r="Z2108" t="s">
        <v>3177</v>
      </c>
      <c r="AA2108" t="s">
        <v>86</v>
      </c>
      <c r="AB2108" t="s">
        <v>63</v>
      </c>
      <c r="AC2108" t="s">
        <v>86</v>
      </c>
    </row>
    <row r="2109" spans="1:29">
      <c r="A2109" t="s">
        <v>2526</v>
      </c>
      <c r="B2109" s="2">
        <v>46199</v>
      </c>
      <c r="C2109" t="s">
        <v>30</v>
      </c>
      <c r="D2109" t="s">
        <v>49</v>
      </c>
      <c r="E2109" t="s">
        <v>111</v>
      </c>
      <c r="F2109" t="s">
        <v>190</v>
      </c>
      <c r="G2109" t="s">
        <v>113</v>
      </c>
      <c r="H2109" t="s">
        <v>127</v>
      </c>
      <c r="I2109" t="s">
        <v>734</v>
      </c>
      <c r="J2109" t="s">
        <v>3150</v>
      </c>
      <c r="K2109" t="s">
        <v>92</v>
      </c>
      <c r="L2109" t="s">
        <v>150</v>
      </c>
      <c r="M2109" t="s">
        <v>39</v>
      </c>
      <c r="N2109" t="s">
        <v>213</v>
      </c>
      <c r="O2109" s="4">
        <v>6</v>
      </c>
      <c r="P2109" s="4">
        <v>14</v>
      </c>
      <c r="Q2109" t="s">
        <v>138</v>
      </c>
      <c r="R2109" s="2">
        <v>46193</v>
      </c>
      <c r="S2109" s="4">
        <v>10</v>
      </c>
      <c r="T2109" s="3">
        <v>201000000</v>
      </c>
      <c r="U2109" t="s">
        <v>214</v>
      </c>
      <c r="V2109" t="s">
        <v>143</v>
      </c>
      <c r="W2109" t="s">
        <v>215</v>
      </c>
      <c r="Y2109" t="s">
        <v>216</v>
      </c>
      <c r="Z2109" t="s">
        <v>3179</v>
      </c>
      <c r="AA2109" t="s">
        <v>118</v>
      </c>
      <c r="AB2109" t="s">
        <v>97</v>
      </c>
      <c r="AC2109" t="s">
        <v>118</v>
      </c>
    </row>
    <row r="2110" spans="1:29">
      <c r="A2110" t="s">
        <v>2527</v>
      </c>
      <c r="B2110" s="2">
        <v>46192</v>
      </c>
      <c r="C2110" t="s">
        <v>30</v>
      </c>
      <c r="D2110" t="s">
        <v>74</v>
      </c>
      <c r="E2110" t="s">
        <v>120</v>
      </c>
      <c r="F2110" t="s">
        <v>246</v>
      </c>
      <c r="G2110" t="s">
        <v>135</v>
      </c>
      <c r="H2110" t="s">
        <v>123</v>
      </c>
      <c r="I2110" t="s">
        <v>519</v>
      </c>
      <c r="J2110" t="s">
        <v>3109</v>
      </c>
      <c r="K2110" t="s">
        <v>92</v>
      </c>
      <c r="L2110" t="s">
        <v>38</v>
      </c>
      <c r="M2110" t="s">
        <v>93</v>
      </c>
      <c r="N2110" t="s">
        <v>130</v>
      </c>
      <c r="O2110" s="4">
        <v>5</v>
      </c>
      <c r="P2110" s="4">
        <v>6</v>
      </c>
      <c r="Q2110" t="s">
        <v>83</v>
      </c>
      <c r="R2110" s="2">
        <v>46190</v>
      </c>
      <c r="S2110" s="4">
        <v>13</v>
      </c>
      <c r="T2110" s="3">
        <v>51000000</v>
      </c>
      <c r="U2110" t="s">
        <v>42</v>
      </c>
      <c r="V2110" t="s">
        <v>59</v>
      </c>
      <c r="W2110" t="s">
        <v>144</v>
      </c>
      <c r="Y2110" t="s">
        <v>254</v>
      </c>
      <c r="Z2110" t="s">
        <v>3179</v>
      </c>
      <c r="AA2110" t="s">
        <v>97</v>
      </c>
      <c r="AB2110" t="s">
        <v>97</v>
      </c>
      <c r="AC2110" t="s">
        <v>97</v>
      </c>
    </row>
    <row r="2111" spans="1:29">
      <c r="A2111" t="s">
        <v>2528</v>
      </c>
      <c r="B2111" s="2">
        <v>46192</v>
      </c>
      <c r="C2111" t="s">
        <v>30</v>
      </c>
      <c r="D2111" t="s">
        <v>74</v>
      </c>
      <c r="E2111" t="s">
        <v>75</v>
      </c>
      <c r="F2111" t="s">
        <v>161</v>
      </c>
      <c r="G2111" t="s">
        <v>162</v>
      </c>
      <c r="H2111" t="s">
        <v>78</v>
      </c>
      <c r="I2111" t="s">
        <v>494</v>
      </c>
      <c r="J2111" t="s">
        <v>3104</v>
      </c>
      <c r="K2111" t="s">
        <v>37</v>
      </c>
      <c r="L2111" t="s">
        <v>38</v>
      </c>
      <c r="M2111" t="s">
        <v>93</v>
      </c>
      <c r="N2111" t="s">
        <v>94</v>
      </c>
      <c r="O2111" s="4">
        <v>4</v>
      </c>
      <c r="P2111" s="4">
        <v>8</v>
      </c>
      <c r="Q2111" t="s">
        <v>69</v>
      </c>
      <c r="R2111" s="2">
        <v>46183</v>
      </c>
      <c r="S2111" s="4">
        <v>20</v>
      </c>
      <c r="T2111" s="3">
        <v>103000000</v>
      </c>
      <c r="U2111" t="s">
        <v>260</v>
      </c>
      <c r="V2111" t="s">
        <v>59</v>
      </c>
      <c r="W2111" t="s">
        <v>267</v>
      </c>
      <c r="X2111" t="s">
        <v>381</v>
      </c>
      <c r="Y2111" t="s">
        <v>228</v>
      </c>
      <c r="Z2111" t="s">
        <v>3179</v>
      </c>
      <c r="AA2111" t="s">
        <v>86</v>
      </c>
      <c r="AB2111" t="s">
        <v>97</v>
      </c>
      <c r="AC2111" t="s">
        <v>86</v>
      </c>
    </row>
    <row r="2112" spans="1:29">
      <c r="A2112" t="s">
        <v>2529</v>
      </c>
      <c r="B2112" s="2">
        <v>46187</v>
      </c>
      <c r="C2112" t="s">
        <v>30</v>
      </c>
      <c r="D2112" t="s">
        <v>99</v>
      </c>
      <c r="E2112" t="s">
        <v>75</v>
      </c>
      <c r="F2112" t="s">
        <v>183</v>
      </c>
      <c r="G2112" t="s">
        <v>230</v>
      </c>
      <c r="H2112" t="s">
        <v>388</v>
      </c>
      <c r="I2112" t="s">
        <v>389</v>
      </c>
      <c r="J2112" t="s">
        <v>3071</v>
      </c>
      <c r="K2112" t="s">
        <v>56</v>
      </c>
      <c r="L2112" t="s">
        <v>55</v>
      </c>
      <c r="M2112" t="s">
        <v>93</v>
      </c>
      <c r="N2112" t="s">
        <v>94</v>
      </c>
      <c r="O2112" s="4">
        <v>4</v>
      </c>
      <c r="P2112" s="4">
        <v>5</v>
      </c>
      <c r="Q2112" t="s">
        <v>41</v>
      </c>
      <c r="R2112" s="2">
        <v>46179</v>
      </c>
      <c r="S2112" s="4">
        <v>24</v>
      </c>
      <c r="T2112" s="3">
        <v>310000000</v>
      </c>
      <c r="U2112" t="s">
        <v>42</v>
      </c>
      <c r="V2112" t="s">
        <v>70</v>
      </c>
      <c r="W2112" t="s">
        <v>188</v>
      </c>
      <c r="X2112" t="s">
        <v>117</v>
      </c>
      <c r="Y2112" t="s">
        <v>228</v>
      </c>
      <c r="Z2112" t="s">
        <v>3179</v>
      </c>
      <c r="AA2112" t="s">
        <v>86</v>
      </c>
      <c r="AB2112" t="s">
        <v>97</v>
      </c>
      <c r="AC2112" t="s">
        <v>86</v>
      </c>
    </row>
    <row r="2113" spans="1:29">
      <c r="A2113" t="s">
        <v>2530</v>
      </c>
      <c r="B2113" s="2">
        <v>46182</v>
      </c>
      <c r="C2113" t="s">
        <v>30</v>
      </c>
      <c r="D2113" t="s">
        <v>99</v>
      </c>
      <c r="E2113" t="s">
        <v>172</v>
      </c>
      <c r="F2113" t="s">
        <v>277</v>
      </c>
      <c r="G2113" t="s">
        <v>174</v>
      </c>
      <c r="H2113" t="s">
        <v>317</v>
      </c>
      <c r="I2113" t="s">
        <v>318</v>
      </c>
      <c r="J2113" t="s">
        <v>3050</v>
      </c>
      <c r="K2113" t="s">
        <v>56</v>
      </c>
      <c r="L2113" t="s">
        <v>38</v>
      </c>
      <c r="M2113" t="s">
        <v>39</v>
      </c>
      <c r="N2113" t="s">
        <v>82</v>
      </c>
      <c r="O2113" s="4">
        <v>1</v>
      </c>
      <c r="P2113" s="4">
        <v>5</v>
      </c>
      <c r="Q2113" t="s">
        <v>138</v>
      </c>
      <c r="R2113" s="2">
        <v>46179</v>
      </c>
      <c r="S2113" s="4">
        <v>24</v>
      </c>
      <c r="T2113" s="3">
        <v>138000000</v>
      </c>
      <c r="U2113" t="s">
        <v>42</v>
      </c>
      <c r="V2113" t="s">
        <v>59</v>
      </c>
      <c r="W2113" t="s">
        <v>84</v>
      </c>
      <c r="Y2113" t="s">
        <v>85</v>
      </c>
      <c r="Z2113" t="s">
        <v>3178</v>
      </c>
      <c r="AA2113" t="s">
        <v>181</v>
      </c>
      <c r="AB2113" t="s">
        <v>87</v>
      </c>
      <c r="AC2113" t="s">
        <v>181</v>
      </c>
    </row>
    <row r="2114" spans="1:29">
      <c r="A2114" t="s">
        <v>2531</v>
      </c>
      <c r="B2114" s="2">
        <v>46186</v>
      </c>
      <c r="C2114" t="s">
        <v>30</v>
      </c>
      <c r="D2114" t="s">
        <v>99</v>
      </c>
      <c r="E2114" t="s">
        <v>50</v>
      </c>
      <c r="F2114" t="s">
        <v>51</v>
      </c>
      <c r="G2114" t="s">
        <v>65</v>
      </c>
      <c r="H2114" t="s">
        <v>53</v>
      </c>
      <c r="I2114" t="s">
        <v>787</v>
      </c>
      <c r="J2114" t="s">
        <v>3154</v>
      </c>
      <c r="K2114" t="s">
        <v>37</v>
      </c>
      <c r="L2114" t="s">
        <v>68</v>
      </c>
      <c r="M2114" t="s">
        <v>39</v>
      </c>
      <c r="N2114" t="s">
        <v>94</v>
      </c>
      <c r="O2114" s="4">
        <v>4</v>
      </c>
      <c r="P2114" s="4">
        <v>7</v>
      </c>
      <c r="Q2114" t="s">
        <v>138</v>
      </c>
      <c r="R2114" s="2">
        <v>46182</v>
      </c>
      <c r="S2114" s="4">
        <v>21</v>
      </c>
      <c r="T2114" s="3">
        <v>185000000</v>
      </c>
      <c r="U2114" t="s">
        <v>42</v>
      </c>
      <c r="V2114" t="s">
        <v>70</v>
      </c>
      <c r="W2114" t="s">
        <v>170</v>
      </c>
      <c r="X2114" t="s">
        <v>117</v>
      </c>
      <c r="Y2114" t="s">
        <v>228</v>
      </c>
      <c r="Z2114" t="s">
        <v>3179</v>
      </c>
      <c r="AA2114" t="s">
        <v>62</v>
      </c>
      <c r="AB2114" t="s">
        <v>97</v>
      </c>
      <c r="AC2114" t="s">
        <v>62</v>
      </c>
    </row>
    <row r="2115" spans="1:29">
      <c r="A2115" t="s">
        <v>2532</v>
      </c>
      <c r="B2115" s="2">
        <v>46195</v>
      </c>
      <c r="C2115" t="s">
        <v>30</v>
      </c>
      <c r="D2115" t="s">
        <v>49</v>
      </c>
      <c r="E2115" t="s">
        <v>152</v>
      </c>
      <c r="F2115" t="s">
        <v>205</v>
      </c>
      <c r="G2115" t="s">
        <v>206</v>
      </c>
      <c r="H2115" t="s">
        <v>207</v>
      </c>
      <c r="I2115" t="s">
        <v>637</v>
      </c>
      <c r="J2115" t="s">
        <v>3137</v>
      </c>
      <c r="K2115" t="s">
        <v>116</v>
      </c>
      <c r="L2115" t="s">
        <v>55</v>
      </c>
      <c r="M2115" t="s">
        <v>164</v>
      </c>
      <c r="N2115" t="s">
        <v>40</v>
      </c>
      <c r="O2115" s="4">
        <v>2</v>
      </c>
      <c r="P2115" s="4">
        <v>18</v>
      </c>
      <c r="Q2115" t="s">
        <v>41</v>
      </c>
      <c r="R2115" s="2">
        <v>46192</v>
      </c>
      <c r="S2115" s="4">
        <v>11</v>
      </c>
      <c r="T2115" s="3">
        <v>111000000</v>
      </c>
      <c r="U2115" t="s">
        <v>42</v>
      </c>
      <c r="V2115" t="s">
        <v>43</v>
      </c>
      <c r="W2115" t="s">
        <v>44</v>
      </c>
      <c r="Y2115" t="s">
        <v>281</v>
      </c>
      <c r="Z2115" t="s">
        <v>3180</v>
      </c>
      <c r="AA2115" t="s">
        <v>159</v>
      </c>
      <c r="AB2115" t="s">
        <v>193</v>
      </c>
      <c r="AC2115" t="s">
        <v>159</v>
      </c>
    </row>
    <row r="2116" spans="1:29">
      <c r="A2116" t="s">
        <v>2533</v>
      </c>
      <c r="B2116" s="2">
        <v>46199</v>
      </c>
      <c r="C2116" t="s">
        <v>30</v>
      </c>
      <c r="D2116" t="s">
        <v>49</v>
      </c>
      <c r="E2116" t="s">
        <v>120</v>
      </c>
      <c r="F2116" t="s">
        <v>246</v>
      </c>
      <c r="G2116" t="s">
        <v>227</v>
      </c>
      <c r="H2116" t="s">
        <v>136</v>
      </c>
      <c r="I2116" t="s">
        <v>137</v>
      </c>
      <c r="J2116" t="s">
        <v>3017</v>
      </c>
      <c r="K2116" t="s">
        <v>105</v>
      </c>
      <c r="L2116" t="s">
        <v>150</v>
      </c>
      <c r="M2116" t="s">
        <v>129</v>
      </c>
      <c r="N2116" t="s">
        <v>40</v>
      </c>
      <c r="O2116" s="4">
        <v>2</v>
      </c>
      <c r="P2116" s="4">
        <v>9</v>
      </c>
      <c r="Q2116" t="s">
        <v>138</v>
      </c>
      <c r="R2116" s="2">
        <v>46199</v>
      </c>
      <c r="S2116" s="4">
        <v>4</v>
      </c>
      <c r="T2116" s="3">
        <v>240000000</v>
      </c>
      <c r="U2116" t="s">
        <v>260</v>
      </c>
      <c r="V2116" t="s">
        <v>59</v>
      </c>
      <c r="W2116" t="s">
        <v>178</v>
      </c>
      <c r="X2116" t="s">
        <v>422</v>
      </c>
      <c r="Y2116" t="s">
        <v>45</v>
      </c>
      <c r="Z2116" t="s">
        <v>3178</v>
      </c>
      <c r="AA2116" t="s">
        <v>97</v>
      </c>
      <c r="AB2116" t="s">
        <v>87</v>
      </c>
      <c r="AC2116" t="s">
        <v>97</v>
      </c>
    </row>
    <row r="2117" spans="1:29">
      <c r="A2117" t="s">
        <v>2534</v>
      </c>
      <c r="B2117" s="2">
        <v>46195</v>
      </c>
      <c r="C2117" t="s">
        <v>30</v>
      </c>
      <c r="D2117" t="s">
        <v>49</v>
      </c>
      <c r="E2117" t="s">
        <v>152</v>
      </c>
      <c r="F2117" t="s">
        <v>153</v>
      </c>
      <c r="G2117" t="s">
        <v>328</v>
      </c>
      <c r="H2117" t="s">
        <v>207</v>
      </c>
      <c r="I2117" t="s">
        <v>773</v>
      </c>
      <c r="J2117" t="s">
        <v>3153</v>
      </c>
      <c r="K2117" t="s">
        <v>116</v>
      </c>
      <c r="L2117" t="s">
        <v>68</v>
      </c>
      <c r="M2117" t="s">
        <v>106</v>
      </c>
      <c r="N2117" t="s">
        <v>40</v>
      </c>
      <c r="O2117" s="4">
        <v>2</v>
      </c>
      <c r="P2117" s="4">
        <v>15</v>
      </c>
      <c r="Q2117" t="s">
        <v>41</v>
      </c>
      <c r="R2117" s="2">
        <v>46189</v>
      </c>
      <c r="S2117" s="4">
        <v>14</v>
      </c>
      <c r="T2117" s="3">
        <v>76000000</v>
      </c>
      <c r="U2117" t="s">
        <v>42</v>
      </c>
      <c r="V2117" t="s">
        <v>43</v>
      </c>
      <c r="W2117" t="s">
        <v>239</v>
      </c>
      <c r="Y2117" t="s">
        <v>281</v>
      </c>
      <c r="Z2117" t="s">
        <v>3180</v>
      </c>
      <c r="AA2117" t="s">
        <v>159</v>
      </c>
      <c r="AB2117" t="s">
        <v>193</v>
      </c>
      <c r="AC2117" t="s">
        <v>159</v>
      </c>
    </row>
    <row r="2118" spans="1:29">
      <c r="A2118" t="s">
        <v>2535</v>
      </c>
      <c r="B2118" s="2">
        <v>46192</v>
      </c>
      <c r="C2118" t="s">
        <v>30</v>
      </c>
      <c r="D2118" t="s">
        <v>74</v>
      </c>
      <c r="E2118" t="s">
        <v>172</v>
      </c>
      <c r="F2118" t="s">
        <v>277</v>
      </c>
      <c r="G2118" t="s">
        <v>278</v>
      </c>
      <c r="H2118" t="s">
        <v>241</v>
      </c>
      <c r="I2118" t="s">
        <v>379</v>
      </c>
      <c r="J2118" t="s">
        <v>3069</v>
      </c>
      <c r="K2118" t="s">
        <v>105</v>
      </c>
      <c r="L2118" t="s">
        <v>55</v>
      </c>
      <c r="M2118" t="s">
        <v>39</v>
      </c>
      <c r="N2118" t="s">
        <v>40</v>
      </c>
      <c r="O2118" s="4">
        <v>2</v>
      </c>
      <c r="P2118" s="4">
        <v>9</v>
      </c>
      <c r="Q2118" t="s">
        <v>138</v>
      </c>
      <c r="R2118" s="2">
        <v>46191</v>
      </c>
      <c r="S2118" s="4">
        <v>12</v>
      </c>
      <c r="T2118" s="3">
        <v>272000000</v>
      </c>
      <c r="U2118" t="s">
        <v>42</v>
      </c>
      <c r="V2118" t="s">
        <v>43</v>
      </c>
      <c r="W2118" t="s">
        <v>239</v>
      </c>
      <c r="Y2118" t="s">
        <v>180</v>
      </c>
      <c r="Z2118" t="s">
        <v>3178</v>
      </c>
      <c r="AA2118" t="s">
        <v>181</v>
      </c>
      <c r="AB2118" t="s">
        <v>87</v>
      </c>
      <c r="AC2118" t="s">
        <v>181</v>
      </c>
    </row>
    <row r="2119" spans="1:29">
      <c r="A2119" t="s">
        <v>2536</v>
      </c>
      <c r="B2119" s="2">
        <v>46199</v>
      </c>
      <c r="C2119" t="s">
        <v>30</v>
      </c>
      <c r="D2119" t="s">
        <v>49</v>
      </c>
      <c r="E2119" t="s">
        <v>32</v>
      </c>
      <c r="F2119" t="s">
        <v>273</v>
      </c>
      <c r="G2119" t="s">
        <v>361</v>
      </c>
      <c r="H2119" t="s">
        <v>303</v>
      </c>
      <c r="I2119" t="s">
        <v>326</v>
      </c>
      <c r="J2119" t="s">
        <v>3053</v>
      </c>
      <c r="K2119" t="s">
        <v>37</v>
      </c>
      <c r="L2119" t="s">
        <v>80</v>
      </c>
      <c r="M2119" t="s">
        <v>164</v>
      </c>
      <c r="N2119" t="s">
        <v>40</v>
      </c>
      <c r="O2119" s="4">
        <v>2</v>
      </c>
      <c r="P2119" s="4">
        <v>5</v>
      </c>
      <c r="Q2119" t="s">
        <v>107</v>
      </c>
      <c r="R2119" s="2">
        <v>46191</v>
      </c>
      <c r="S2119" s="4">
        <v>12</v>
      </c>
      <c r="T2119" s="3">
        <v>101000000</v>
      </c>
      <c r="U2119" t="s">
        <v>42</v>
      </c>
      <c r="V2119" t="s">
        <v>43</v>
      </c>
      <c r="W2119" t="s">
        <v>178</v>
      </c>
      <c r="Y2119" t="s">
        <v>309</v>
      </c>
      <c r="Z2119" t="s">
        <v>3178</v>
      </c>
      <c r="AA2119" t="s">
        <v>46</v>
      </c>
      <c r="AB2119" t="s">
        <v>87</v>
      </c>
      <c r="AC2119" t="s">
        <v>46</v>
      </c>
    </row>
    <row r="2120" spans="1:29">
      <c r="A2120" t="s">
        <v>2537</v>
      </c>
      <c r="B2120" s="2">
        <v>46187</v>
      </c>
      <c r="C2120" t="s">
        <v>30</v>
      </c>
      <c r="D2120" t="s">
        <v>99</v>
      </c>
      <c r="E2120" t="s">
        <v>152</v>
      </c>
      <c r="F2120" t="s">
        <v>205</v>
      </c>
      <c r="G2120" t="s">
        <v>328</v>
      </c>
      <c r="H2120" t="s">
        <v>155</v>
      </c>
      <c r="I2120" t="s">
        <v>434</v>
      </c>
      <c r="J2120" t="s">
        <v>3083</v>
      </c>
      <c r="K2120" t="s">
        <v>92</v>
      </c>
      <c r="L2120" t="s">
        <v>38</v>
      </c>
      <c r="M2120" t="s">
        <v>129</v>
      </c>
      <c r="N2120" t="s">
        <v>213</v>
      </c>
      <c r="O2120" s="4">
        <v>6</v>
      </c>
      <c r="P2120" s="4">
        <v>19</v>
      </c>
      <c r="Q2120" t="s">
        <v>58</v>
      </c>
      <c r="R2120" s="2">
        <v>46178</v>
      </c>
      <c r="S2120" s="4">
        <v>25</v>
      </c>
      <c r="T2120" s="3">
        <v>202000000</v>
      </c>
      <c r="U2120" t="s">
        <v>214</v>
      </c>
      <c r="V2120" t="s">
        <v>70</v>
      </c>
      <c r="W2120" t="s">
        <v>248</v>
      </c>
      <c r="Y2120" t="s">
        <v>216</v>
      </c>
      <c r="Z2120" t="s">
        <v>3179</v>
      </c>
      <c r="AA2120" t="s">
        <v>159</v>
      </c>
      <c r="AB2120" t="s">
        <v>97</v>
      </c>
      <c r="AC2120" t="s">
        <v>159</v>
      </c>
    </row>
    <row r="2121" spans="1:29">
      <c r="A2121" t="s">
        <v>2538</v>
      </c>
      <c r="B2121" s="2">
        <v>46196</v>
      </c>
      <c r="C2121" t="s">
        <v>30</v>
      </c>
      <c r="D2121" t="s">
        <v>49</v>
      </c>
      <c r="E2121" t="s">
        <v>120</v>
      </c>
      <c r="F2121" t="s">
        <v>246</v>
      </c>
      <c r="G2121" t="s">
        <v>224</v>
      </c>
      <c r="H2121" t="s">
        <v>136</v>
      </c>
      <c r="I2121" t="s">
        <v>581</v>
      </c>
      <c r="J2121" t="s">
        <v>3125</v>
      </c>
      <c r="K2121" t="s">
        <v>105</v>
      </c>
      <c r="L2121" t="s">
        <v>187</v>
      </c>
      <c r="M2121" t="s">
        <v>39</v>
      </c>
      <c r="N2121" t="s">
        <v>40</v>
      </c>
      <c r="O2121" s="4">
        <v>2</v>
      </c>
      <c r="P2121" s="4">
        <v>5</v>
      </c>
      <c r="Q2121" t="s">
        <v>58</v>
      </c>
      <c r="R2121" s="2">
        <v>46190</v>
      </c>
      <c r="S2121" s="4">
        <v>13</v>
      </c>
      <c r="T2121" s="3">
        <v>70000000</v>
      </c>
      <c r="U2121" t="s">
        <v>42</v>
      </c>
      <c r="V2121" t="s">
        <v>43</v>
      </c>
      <c r="W2121" t="s">
        <v>44</v>
      </c>
      <c r="Y2121" t="s">
        <v>309</v>
      </c>
      <c r="Z2121" t="s">
        <v>3178</v>
      </c>
      <c r="AA2121" t="s">
        <v>97</v>
      </c>
      <c r="AB2121" t="s">
        <v>87</v>
      </c>
      <c r="AC2121" t="s">
        <v>97</v>
      </c>
    </row>
    <row r="2122" spans="1:29">
      <c r="A2122" t="s">
        <v>2539</v>
      </c>
      <c r="B2122" s="2">
        <v>46181</v>
      </c>
      <c r="C2122" t="s">
        <v>30</v>
      </c>
      <c r="D2122" t="s">
        <v>99</v>
      </c>
      <c r="E2122" t="s">
        <v>120</v>
      </c>
      <c r="F2122" t="s">
        <v>167</v>
      </c>
      <c r="G2122" t="s">
        <v>227</v>
      </c>
      <c r="H2122" t="s">
        <v>300</v>
      </c>
      <c r="I2122" t="s">
        <v>430</v>
      </c>
      <c r="J2122" t="s">
        <v>3082</v>
      </c>
      <c r="K2122" t="s">
        <v>56</v>
      </c>
      <c r="L2122" t="s">
        <v>68</v>
      </c>
      <c r="M2122" t="s">
        <v>39</v>
      </c>
      <c r="N2122" t="s">
        <v>40</v>
      </c>
      <c r="O2122" s="4">
        <v>2</v>
      </c>
      <c r="P2122" s="4">
        <v>10</v>
      </c>
      <c r="Q2122" t="s">
        <v>41</v>
      </c>
      <c r="R2122" s="2">
        <v>46172</v>
      </c>
      <c r="S2122" s="4">
        <v>31</v>
      </c>
      <c r="T2122" s="3">
        <v>281000000</v>
      </c>
      <c r="U2122" t="s">
        <v>42</v>
      </c>
      <c r="V2122" t="s">
        <v>43</v>
      </c>
      <c r="W2122" t="s">
        <v>298</v>
      </c>
      <c r="Y2122" t="s">
        <v>281</v>
      </c>
      <c r="Z2122" t="s">
        <v>3178</v>
      </c>
      <c r="AA2122" t="s">
        <v>97</v>
      </c>
      <c r="AB2122" t="s">
        <v>87</v>
      </c>
      <c r="AC2122" t="s">
        <v>97</v>
      </c>
    </row>
    <row r="2123" spans="1:29">
      <c r="A2123" t="s">
        <v>2540</v>
      </c>
      <c r="B2123" s="2">
        <v>46189</v>
      </c>
      <c r="C2123" t="s">
        <v>30</v>
      </c>
      <c r="D2123" t="s">
        <v>74</v>
      </c>
      <c r="E2123" t="s">
        <v>50</v>
      </c>
      <c r="F2123" t="s">
        <v>89</v>
      </c>
      <c r="G2123" t="s">
        <v>343</v>
      </c>
      <c r="H2123" t="s">
        <v>53</v>
      </c>
      <c r="I2123" t="s">
        <v>368</v>
      </c>
      <c r="J2123" t="s">
        <v>3064</v>
      </c>
      <c r="K2123" t="s">
        <v>37</v>
      </c>
      <c r="L2123" t="s">
        <v>80</v>
      </c>
      <c r="M2123" t="s">
        <v>39</v>
      </c>
      <c r="N2123" t="s">
        <v>40</v>
      </c>
      <c r="O2123" s="4">
        <v>2</v>
      </c>
      <c r="P2123" s="4">
        <v>6</v>
      </c>
      <c r="Q2123" t="s">
        <v>69</v>
      </c>
      <c r="R2123" s="2">
        <v>46183</v>
      </c>
      <c r="S2123" s="4">
        <v>20</v>
      </c>
      <c r="T2123" s="3">
        <v>146000000</v>
      </c>
      <c r="U2123" t="s">
        <v>42</v>
      </c>
      <c r="V2123" t="s">
        <v>43</v>
      </c>
      <c r="W2123" t="s">
        <v>44</v>
      </c>
      <c r="Y2123" t="s">
        <v>180</v>
      </c>
      <c r="Z2123" t="s">
        <v>3178</v>
      </c>
      <c r="AA2123" t="s">
        <v>62</v>
      </c>
      <c r="AB2123" t="s">
        <v>87</v>
      </c>
      <c r="AC2123" t="s">
        <v>62</v>
      </c>
    </row>
    <row r="2124" spans="1:29">
      <c r="A2124" t="s">
        <v>2541</v>
      </c>
      <c r="B2124" s="2">
        <v>46201</v>
      </c>
      <c r="C2124" t="s">
        <v>30</v>
      </c>
      <c r="D2124" t="s">
        <v>49</v>
      </c>
      <c r="E2124" t="s">
        <v>152</v>
      </c>
      <c r="F2124" t="s">
        <v>221</v>
      </c>
      <c r="G2124" t="s">
        <v>328</v>
      </c>
      <c r="H2124" t="s">
        <v>283</v>
      </c>
      <c r="I2124" t="s">
        <v>474</v>
      </c>
      <c r="J2124" t="s">
        <v>3098</v>
      </c>
      <c r="K2124" t="s">
        <v>92</v>
      </c>
      <c r="L2124" t="s">
        <v>150</v>
      </c>
      <c r="M2124" t="s">
        <v>56</v>
      </c>
      <c r="N2124" t="s">
        <v>57</v>
      </c>
      <c r="O2124" s="4">
        <v>3</v>
      </c>
      <c r="P2124" s="4">
        <v>9</v>
      </c>
      <c r="Q2124" t="s">
        <v>58</v>
      </c>
      <c r="R2124" s="2">
        <v>46191</v>
      </c>
      <c r="S2124" s="4">
        <v>12</v>
      </c>
      <c r="T2124" s="3">
        <v>88000000</v>
      </c>
      <c r="U2124" t="s">
        <v>42</v>
      </c>
      <c r="V2124" t="s">
        <v>43</v>
      </c>
      <c r="W2124" t="s">
        <v>71</v>
      </c>
      <c r="Y2124" t="s">
        <v>61</v>
      </c>
      <c r="Z2124" t="s">
        <v>3177</v>
      </c>
      <c r="AA2124" t="s">
        <v>159</v>
      </c>
      <c r="AB2124" t="s">
        <v>63</v>
      </c>
      <c r="AC2124" t="s">
        <v>159</v>
      </c>
    </row>
    <row r="2125" spans="1:29">
      <c r="A2125" t="s">
        <v>2542</v>
      </c>
      <c r="B2125" s="2">
        <v>46183</v>
      </c>
      <c r="C2125" t="s">
        <v>30</v>
      </c>
      <c r="D2125" t="s">
        <v>99</v>
      </c>
      <c r="E2125" t="s">
        <v>172</v>
      </c>
      <c r="F2125" t="s">
        <v>195</v>
      </c>
      <c r="G2125" t="s">
        <v>476</v>
      </c>
      <c r="H2125" t="s">
        <v>175</v>
      </c>
      <c r="I2125" t="s">
        <v>333</v>
      </c>
      <c r="J2125" t="s">
        <v>3054</v>
      </c>
      <c r="K2125" t="s">
        <v>56</v>
      </c>
      <c r="L2125" t="s">
        <v>169</v>
      </c>
      <c r="M2125" t="s">
        <v>39</v>
      </c>
      <c r="N2125" t="s">
        <v>57</v>
      </c>
      <c r="O2125" s="4">
        <v>3</v>
      </c>
      <c r="P2125" s="4">
        <v>7</v>
      </c>
      <c r="Q2125" t="s">
        <v>58</v>
      </c>
      <c r="R2125" s="2">
        <v>46180</v>
      </c>
      <c r="S2125" s="4">
        <v>23</v>
      </c>
      <c r="T2125" s="3">
        <v>180000000</v>
      </c>
      <c r="U2125" t="s">
        <v>42</v>
      </c>
      <c r="V2125" t="s">
        <v>43</v>
      </c>
      <c r="W2125" t="s">
        <v>203</v>
      </c>
      <c r="Y2125" t="s">
        <v>158</v>
      </c>
      <c r="Z2125" t="s">
        <v>3177</v>
      </c>
      <c r="AA2125" t="s">
        <v>181</v>
      </c>
      <c r="AB2125" t="s">
        <v>63</v>
      </c>
      <c r="AC2125" t="s">
        <v>181</v>
      </c>
    </row>
    <row r="2126" spans="1:29">
      <c r="A2126" t="s">
        <v>2543</v>
      </c>
      <c r="B2126" s="2">
        <v>46181</v>
      </c>
      <c r="C2126" t="s">
        <v>30</v>
      </c>
      <c r="D2126" t="s">
        <v>99</v>
      </c>
      <c r="E2126" t="s">
        <v>50</v>
      </c>
      <c r="F2126" t="s">
        <v>89</v>
      </c>
      <c r="G2126" t="s">
        <v>270</v>
      </c>
      <c r="H2126" t="s">
        <v>53</v>
      </c>
      <c r="I2126" t="s">
        <v>235</v>
      </c>
      <c r="J2126" t="s">
        <v>3032</v>
      </c>
      <c r="K2126" t="s">
        <v>56</v>
      </c>
      <c r="L2126" t="s">
        <v>80</v>
      </c>
      <c r="M2126" t="s">
        <v>129</v>
      </c>
      <c r="N2126" t="s">
        <v>130</v>
      </c>
      <c r="O2126" s="4">
        <v>5</v>
      </c>
      <c r="P2126" s="4">
        <v>9</v>
      </c>
      <c r="Q2126" t="s">
        <v>138</v>
      </c>
      <c r="R2126" s="2">
        <v>46175</v>
      </c>
      <c r="S2126" s="4">
        <v>28</v>
      </c>
      <c r="T2126" s="3">
        <v>351000000</v>
      </c>
      <c r="U2126" t="s">
        <v>42</v>
      </c>
      <c r="V2126" t="s">
        <v>143</v>
      </c>
      <c r="W2126" t="s">
        <v>252</v>
      </c>
      <c r="X2126" t="s">
        <v>117</v>
      </c>
      <c r="Y2126" t="s">
        <v>254</v>
      </c>
      <c r="Z2126" t="s">
        <v>3179</v>
      </c>
      <c r="AA2126" t="s">
        <v>62</v>
      </c>
      <c r="AB2126" t="s">
        <v>97</v>
      </c>
      <c r="AC2126" t="s">
        <v>62</v>
      </c>
    </row>
    <row r="2127" spans="1:29">
      <c r="A2127" t="s">
        <v>2544</v>
      </c>
      <c r="B2127" s="2">
        <v>46191</v>
      </c>
      <c r="C2127" t="s">
        <v>30</v>
      </c>
      <c r="D2127" t="s">
        <v>74</v>
      </c>
      <c r="E2127" t="s">
        <v>75</v>
      </c>
      <c r="F2127" t="s">
        <v>161</v>
      </c>
      <c r="G2127" t="s">
        <v>184</v>
      </c>
      <c r="H2127" t="s">
        <v>185</v>
      </c>
      <c r="I2127" t="s">
        <v>428</v>
      </c>
      <c r="J2127" t="s">
        <v>3081</v>
      </c>
      <c r="K2127" t="s">
        <v>56</v>
      </c>
      <c r="L2127" t="s">
        <v>55</v>
      </c>
      <c r="M2127" t="s">
        <v>164</v>
      </c>
      <c r="N2127" t="s">
        <v>57</v>
      </c>
      <c r="O2127" s="4">
        <v>3</v>
      </c>
      <c r="P2127" s="4">
        <v>9</v>
      </c>
      <c r="Q2127" t="s">
        <v>142</v>
      </c>
      <c r="R2127" s="2">
        <v>46187</v>
      </c>
      <c r="S2127" s="4">
        <v>16</v>
      </c>
      <c r="T2127" s="3">
        <v>291000000</v>
      </c>
      <c r="U2127" t="s">
        <v>42</v>
      </c>
      <c r="V2127" t="s">
        <v>43</v>
      </c>
      <c r="W2127" t="s">
        <v>71</v>
      </c>
      <c r="Y2127" t="s">
        <v>165</v>
      </c>
      <c r="Z2127" t="s">
        <v>3177</v>
      </c>
      <c r="AA2127" t="s">
        <v>86</v>
      </c>
      <c r="AB2127" t="s">
        <v>63</v>
      </c>
      <c r="AC2127" t="s">
        <v>86</v>
      </c>
    </row>
    <row r="2128" spans="1:29">
      <c r="A2128" t="s">
        <v>2545</v>
      </c>
      <c r="B2128" s="2">
        <v>46202</v>
      </c>
      <c r="C2128" t="s">
        <v>30</v>
      </c>
      <c r="D2128" t="s">
        <v>31</v>
      </c>
      <c r="E2128" t="s">
        <v>111</v>
      </c>
      <c r="F2128" t="s">
        <v>112</v>
      </c>
      <c r="G2128" t="s">
        <v>251</v>
      </c>
      <c r="H2128" t="s">
        <v>191</v>
      </c>
      <c r="I2128" t="s">
        <v>449</v>
      </c>
      <c r="J2128" t="s">
        <v>3089</v>
      </c>
      <c r="K2128" t="s">
        <v>37</v>
      </c>
      <c r="L2128" t="s">
        <v>80</v>
      </c>
      <c r="M2128" t="s">
        <v>129</v>
      </c>
      <c r="N2128" t="s">
        <v>82</v>
      </c>
      <c r="O2128" s="4">
        <v>1</v>
      </c>
      <c r="P2128" s="4">
        <v>5</v>
      </c>
      <c r="Q2128" t="s">
        <v>83</v>
      </c>
      <c r="R2128" s="2">
        <v>46200</v>
      </c>
      <c r="S2128" s="4">
        <v>3</v>
      </c>
      <c r="T2128" s="3">
        <v>183000000</v>
      </c>
      <c r="U2128" t="s">
        <v>260</v>
      </c>
      <c r="V2128" t="s">
        <v>43</v>
      </c>
      <c r="W2128" t="s">
        <v>404</v>
      </c>
      <c r="X2128" t="s">
        <v>422</v>
      </c>
      <c r="Y2128" t="s">
        <v>305</v>
      </c>
      <c r="Z2128" t="s">
        <v>3178</v>
      </c>
      <c r="AA2128" t="s">
        <v>118</v>
      </c>
      <c r="AB2128" t="s">
        <v>87</v>
      </c>
      <c r="AC2128" t="s">
        <v>118</v>
      </c>
    </row>
    <row r="2129" spans="1:29">
      <c r="A2129" t="s">
        <v>2546</v>
      </c>
      <c r="B2129" s="2">
        <v>46202</v>
      </c>
      <c r="C2129" t="s">
        <v>30</v>
      </c>
      <c r="D2129" t="s">
        <v>31</v>
      </c>
      <c r="E2129" t="s">
        <v>111</v>
      </c>
      <c r="F2129" t="s">
        <v>112</v>
      </c>
      <c r="G2129" t="s">
        <v>348</v>
      </c>
      <c r="H2129" t="s">
        <v>127</v>
      </c>
      <c r="I2129" t="s">
        <v>128</v>
      </c>
      <c r="J2129" t="s">
        <v>3016</v>
      </c>
      <c r="K2129" t="s">
        <v>37</v>
      </c>
      <c r="L2129" t="s">
        <v>150</v>
      </c>
      <c r="M2129" t="s">
        <v>81</v>
      </c>
      <c r="N2129" t="s">
        <v>57</v>
      </c>
      <c r="O2129" s="4">
        <v>3</v>
      </c>
      <c r="P2129" s="4">
        <v>8</v>
      </c>
      <c r="Q2129" t="s">
        <v>58</v>
      </c>
      <c r="R2129" s="2">
        <v>46200</v>
      </c>
      <c r="S2129" s="4">
        <v>3</v>
      </c>
      <c r="T2129" s="3">
        <v>125000000</v>
      </c>
      <c r="U2129" t="s">
        <v>42</v>
      </c>
      <c r="V2129" t="s">
        <v>43</v>
      </c>
      <c r="W2129" t="s">
        <v>157</v>
      </c>
      <c r="Y2129" t="s">
        <v>61</v>
      </c>
      <c r="Z2129" t="s">
        <v>3177</v>
      </c>
      <c r="AA2129" t="s">
        <v>118</v>
      </c>
      <c r="AB2129" t="s">
        <v>63</v>
      </c>
      <c r="AC2129" t="s">
        <v>118</v>
      </c>
    </row>
    <row r="2130" spans="1:29">
      <c r="A2130" t="s">
        <v>2547</v>
      </c>
      <c r="B2130" s="2">
        <v>46197</v>
      </c>
      <c r="C2130" t="s">
        <v>30</v>
      </c>
      <c r="D2130" t="s">
        <v>49</v>
      </c>
      <c r="E2130" t="s">
        <v>100</v>
      </c>
      <c r="F2130" t="s">
        <v>140</v>
      </c>
      <c r="G2130" t="s">
        <v>102</v>
      </c>
      <c r="H2130" t="s">
        <v>201</v>
      </c>
      <c r="I2130" t="s">
        <v>371</v>
      </c>
      <c r="J2130" t="s">
        <v>3065</v>
      </c>
      <c r="K2130" t="s">
        <v>105</v>
      </c>
      <c r="L2130" t="s">
        <v>187</v>
      </c>
      <c r="M2130" t="s">
        <v>106</v>
      </c>
      <c r="N2130" t="s">
        <v>213</v>
      </c>
      <c r="O2130" s="4">
        <v>6</v>
      </c>
      <c r="P2130" s="4">
        <v>28</v>
      </c>
      <c r="Q2130" t="s">
        <v>142</v>
      </c>
      <c r="R2130" s="2">
        <v>46195</v>
      </c>
      <c r="S2130" s="4">
        <v>8</v>
      </c>
      <c r="T2130" s="3">
        <v>133000000</v>
      </c>
      <c r="U2130" t="s">
        <v>214</v>
      </c>
      <c r="V2130" t="s">
        <v>70</v>
      </c>
      <c r="W2130" t="s">
        <v>438</v>
      </c>
      <c r="Y2130" t="s">
        <v>249</v>
      </c>
      <c r="Z2130" t="s">
        <v>3179</v>
      </c>
      <c r="AA2130" t="s">
        <v>109</v>
      </c>
      <c r="AB2130" t="s">
        <v>97</v>
      </c>
      <c r="AC2130" t="s">
        <v>109</v>
      </c>
    </row>
    <row r="2131" spans="1:29">
      <c r="A2131" t="s">
        <v>2548</v>
      </c>
      <c r="B2131" s="2">
        <v>46196</v>
      </c>
      <c r="C2131" t="s">
        <v>30</v>
      </c>
      <c r="D2131" t="s">
        <v>49</v>
      </c>
      <c r="E2131" t="s">
        <v>152</v>
      </c>
      <c r="F2131" t="s">
        <v>205</v>
      </c>
      <c r="G2131" t="s">
        <v>154</v>
      </c>
      <c r="H2131" t="s">
        <v>283</v>
      </c>
      <c r="I2131" t="s">
        <v>393</v>
      </c>
      <c r="J2131" t="s">
        <v>3072</v>
      </c>
      <c r="K2131" t="s">
        <v>92</v>
      </c>
      <c r="L2131" t="s">
        <v>169</v>
      </c>
      <c r="M2131" t="s">
        <v>129</v>
      </c>
      <c r="N2131" t="s">
        <v>40</v>
      </c>
      <c r="O2131" s="4">
        <v>2</v>
      </c>
      <c r="P2131" s="4">
        <v>10</v>
      </c>
      <c r="Q2131" t="s">
        <v>41</v>
      </c>
      <c r="R2131" s="2">
        <v>46190</v>
      </c>
      <c r="S2131" s="4">
        <v>13</v>
      </c>
      <c r="T2131" s="3">
        <v>146000000</v>
      </c>
      <c r="U2131" t="s">
        <v>42</v>
      </c>
      <c r="V2131" t="s">
        <v>59</v>
      </c>
      <c r="W2131" t="s">
        <v>298</v>
      </c>
      <c r="Y2131" t="s">
        <v>281</v>
      </c>
      <c r="Z2131" t="s">
        <v>3178</v>
      </c>
      <c r="AA2131" t="s">
        <v>159</v>
      </c>
      <c r="AB2131" t="s">
        <v>87</v>
      </c>
      <c r="AC2131" t="s">
        <v>159</v>
      </c>
    </row>
    <row r="2132" spans="1:29">
      <c r="A2132" t="s">
        <v>2549</v>
      </c>
      <c r="B2132" s="2">
        <v>46178</v>
      </c>
      <c r="C2132" t="s">
        <v>30</v>
      </c>
      <c r="D2132" t="s">
        <v>134</v>
      </c>
      <c r="E2132" t="s">
        <v>152</v>
      </c>
      <c r="F2132" t="s">
        <v>153</v>
      </c>
      <c r="G2132" t="s">
        <v>154</v>
      </c>
      <c r="H2132" t="s">
        <v>155</v>
      </c>
      <c r="I2132" t="s">
        <v>443</v>
      </c>
      <c r="J2132" t="s">
        <v>3086</v>
      </c>
      <c r="K2132" t="s">
        <v>37</v>
      </c>
      <c r="L2132" t="s">
        <v>80</v>
      </c>
      <c r="M2132" t="s">
        <v>164</v>
      </c>
      <c r="N2132" t="s">
        <v>82</v>
      </c>
      <c r="O2132" s="4">
        <v>1</v>
      </c>
      <c r="P2132" s="4">
        <v>6</v>
      </c>
      <c r="Q2132" t="s">
        <v>83</v>
      </c>
      <c r="R2132" s="2">
        <v>46171</v>
      </c>
      <c r="S2132" s="4">
        <v>32</v>
      </c>
      <c r="T2132" s="3">
        <v>98000000</v>
      </c>
      <c r="U2132" t="s">
        <v>42</v>
      </c>
      <c r="V2132" t="s">
        <v>43</v>
      </c>
      <c r="W2132" t="s">
        <v>84</v>
      </c>
      <c r="Y2132" t="s">
        <v>291</v>
      </c>
      <c r="Z2132" t="s">
        <v>3178</v>
      </c>
      <c r="AA2132" t="s">
        <v>159</v>
      </c>
      <c r="AB2132" t="s">
        <v>87</v>
      </c>
      <c r="AC2132" t="s">
        <v>159</v>
      </c>
    </row>
    <row r="2133" spans="1:29">
      <c r="A2133" t="s">
        <v>2550</v>
      </c>
      <c r="B2133" s="2">
        <v>46195</v>
      </c>
      <c r="C2133" t="s">
        <v>30</v>
      </c>
      <c r="D2133" t="s">
        <v>49</v>
      </c>
      <c r="E2133" t="s">
        <v>111</v>
      </c>
      <c r="F2133" t="s">
        <v>190</v>
      </c>
      <c r="G2133" t="s">
        <v>251</v>
      </c>
      <c r="H2133" t="s">
        <v>114</v>
      </c>
      <c r="I2133" t="s">
        <v>645</v>
      </c>
      <c r="J2133" t="s">
        <v>3139</v>
      </c>
      <c r="K2133" t="s">
        <v>56</v>
      </c>
      <c r="L2133" t="s">
        <v>169</v>
      </c>
      <c r="M2133" t="s">
        <v>164</v>
      </c>
      <c r="N2133" t="s">
        <v>213</v>
      </c>
      <c r="O2133" s="4">
        <v>6</v>
      </c>
      <c r="P2133" s="4">
        <v>13</v>
      </c>
      <c r="Q2133" t="s">
        <v>107</v>
      </c>
      <c r="R2133" s="2">
        <v>46191</v>
      </c>
      <c r="S2133" s="4">
        <v>12</v>
      </c>
      <c r="T2133" s="3">
        <v>114000000</v>
      </c>
      <c r="U2133" t="s">
        <v>214</v>
      </c>
      <c r="V2133" t="s">
        <v>143</v>
      </c>
      <c r="W2133" t="s">
        <v>248</v>
      </c>
      <c r="Y2133" t="s">
        <v>216</v>
      </c>
      <c r="Z2133" t="s">
        <v>3179</v>
      </c>
      <c r="AA2133" t="s">
        <v>118</v>
      </c>
      <c r="AB2133" t="s">
        <v>97</v>
      </c>
      <c r="AC2133" t="s">
        <v>118</v>
      </c>
    </row>
    <row r="2134" spans="1:29">
      <c r="A2134" t="s">
        <v>2551</v>
      </c>
      <c r="B2134" s="2">
        <v>46203</v>
      </c>
      <c r="C2134" t="s">
        <v>30</v>
      </c>
      <c r="D2134" t="s">
        <v>31</v>
      </c>
      <c r="E2134" t="s">
        <v>172</v>
      </c>
      <c r="F2134" t="s">
        <v>277</v>
      </c>
      <c r="G2134" t="s">
        <v>174</v>
      </c>
      <c r="H2134" t="s">
        <v>175</v>
      </c>
      <c r="I2134" t="s">
        <v>485</v>
      </c>
      <c r="J2134" t="s">
        <v>3101</v>
      </c>
      <c r="K2134" t="s">
        <v>105</v>
      </c>
      <c r="L2134" t="s">
        <v>169</v>
      </c>
      <c r="M2134" t="s">
        <v>56</v>
      </c>
      <c r="N2134" t="s">
        <v>82</v>
      </c>
      <c r="O2134" s="4">
        <v>1</v>
      </c>
      <c r="P2134" s="4">
        <v>15</v>
      </c>
      <c r="Q2134" t="s">
        <v>58</v>
      </c>
      <c r="R2134" s="2">
        <v>46195</v>
      </c>
      <c r="S2134" s="4">
        <v>8</v>
      </c>
      <c r="T2134" s="3">
        <v>212000000</v>
      </c>
      <c r="U2134" t="s">
        <v>42</v>
      </c>
      <c r="V2134" t="s">
        <v>43</v>
      </c>
      <c r="W2134" t="s">
        <v>404</v>
      </c>
      <c r="Y2134" t="s">
        <v>85</v>
      </c>
      <c r="Z2134" t="s">
        <v>3180</v>
      </c>
      <c r="AA2134" t="s">
        <v>181</v>
      </c>
      <c r="AB2134" t="s">
        <v>193</v>
      </c>
      <c r="AC2134" t="s">
        <v>181</v>
      </c>
    </row>
    <row r="2135" spans="1:29">
      <c r="A2135" t="s">
        <v>2552</v>
      </c>
      <c r="B2135" s="2">
        <v>46190</v>
      </c>
      <c r="C2135" t="s">
        <v>30</v>
      </c>
      <c r="D2135" t="s">
        <v>74</v>
      </c>
      <c r="E2135" t="s">
        <v>152</v>
      </c>
      <c r="F2135" t="s">
        <v>221</v>
      </c>
      <c r="G2135" t="s">
        <v>294</v>
      </c>
      <c r="H2135" t="s">
        <v>283</v>
      </c>
      <c r="I2135" t="s">
        <v>284</v>
      </c>
      <c r="J2135" t="s">
        <v>3041</v>
      </c>
      <c r="K2135" t="s">
        <v>92</v>
      </c>
      <c r="L2135" t="s">
        <v>150</v>
      </c>
      <c r="M2135" t="s">
        <v>129</v>
      </c>
      <c r="N2135" t="s">
        <v>57</v>
      </c>
      <c r="O2135" s="4">
        <v>3</v>
      </c>
      <c r="P2135" s="4">
        <v>6</v>
      </c>
      <c r="Q2135" t="s">
        <v>58</v>
      </c>
      <c r="R2135" s="2">
        <v>46180</v>
      </c>
      <c r="S2135" s="4">
        <v>23</v>
      </c>
      <c r="T2135" s="3">
        <v>172000000</v>
      </c>
      <c r="U2135" t="s">
        <v>42</v>
      </c>
      <c r="V2135" t="s">
        <v>59</v>
      </c>
      <c r="W2135" t="s">
        <v>203</v>
      </c>
      <c r="Y2135" t="s">
        <v>165</v>
      </c>
      <c r="Z2135" t="s">
        <v>3177</v>
      </c>
      <c r="AA2135" t="s">
        <v>159</v>
      </c>
      <c r="AB2135" t="s">
        <v>63</v>
      </c>
      <c r="AC2135" t="s">
        <v>159</v>
      </c>
    </row>
    <row r="2136" spans="1:29">
      <c r="A2136" t="s">
        <v>2553</v>
      </c>
      <c r="B2136" s="2">
        <v>46193</v>
      </c>
      <c r="C2136" t="s">
        <v>30</v>
      </c>
      <c r="D2136" t="s">
        <v>74</v>
      </c>
      <c r="E2136" t="s">
        <v>100</v>
      </c>
      <c r="F2136" t="s">
        <v>101</v>
      </c>
      <c r="G2136" t="s">
        <v>102</v>
      </c>
      <c r="H2136" t="s">
        <v>148</v>
      </c>
      <c r="I2136" t="s">
        <v>532</v>
      </c>
      <c r="J2136" t="s">
        <v>3111</v>
      </c>
      <c r="K2136" t="s">
        <v>37</v>
      </c>
      <c r="L2136" t="s">
        <v>150</v>
      </c>
      <c r="M2136" t="s">
        <v>164</v>
      </c>
      <c r="N2136" t="s">
        <v>94</v>
      </c>
      <c r="O2136" s="4">
        <v>4</v>
      </c>
      <c r="P2136" s="4">
        <v>17</v>
      </c>
      <c r="Q2136" t="s">
        <v>58</v>
      </c>
      <c r="R2136" s="2">
        <v>46190</v>
      </c>
      <c r="S2136" s="4">
        <v>13</v>
      </c>
      <c r="T2136" s="3">
        <v>80000000</v>
      </c>
      <c r="U2136" t="s">
        <v>42</v>
      </c>
      <c r="V2136" t="s">
        <v>59</v>
      </c>
      <c r="W2136" t="s">
        <v>95</v>
      </c>
      <c r="Y2136" t="s">
        <v>96</v>
      </c>
      <c r="Z2136" t="s">
        <v>3179</v>
      </c>
      <c r="AA2136" t="s">
        <v>109</v>
      </c>
      <c r="AB2136" t="s">
        <v>97</v>
      </c>
      <c r="AC2136" t="s">
        <v>109</v>
      </c>
    </row>
    <row r="2137" spans="1:29">
      <c r="A2137" t="s">
        <v>2554</v>
      </c>
      <c r="B2137" s="2">
        <v>46190</v>
      </c>
      <c r="C2137" t="s">
        <v>30</v>
      </c>
      <c r="D2137" t="s">
        <v>74</v>
      </c>
      <c r="E2137" t="s">
        <v>75</v>
      </c>
      <c r="F2137" t="s">
        <v>183</v>
      </c>
      <c r="G2137" t="s">
        <v>162</v>
      </c>
      <c r="H2137" t="s">
        <v>388</v>
      </c>
      <c r="I2137" t="s">
        <v>576</v>
      </c>
      <c r="J2137" t="s">
        <v>3123</v>
      </c>
      <c r="K2137" t="s">
        <v>56</v>
      </c>
      <c r="L2137" t="s">
        <v>150</v>
      </c>
      <c r="M2137" t="s">
        <v>93</v>
      </c>
      <c r="N2137" t="s">
        <v>57</v>
      </c>
      <c r="O2137" s="4">
        <v>3</v>
      </c>
      <c r="P2137" s="4">
        <v>9</v>
      </c>
      <c r="Q2137" t="s">
        <v>107</v>
      </c>
      <c r="R2137" s="2">
        <v>46186</v>
      </c>
      <c r="S2137" s="4">
        <v>17</v>
      </c>
      <c r="T2137" s="3">
        <v>345000000</v>
      </c>
      <c r="U2137" t="s">
        <v>42</v>
      </c>
      <c r="V2137" t="s">
        <v>59</v>
      </c>
      <c r="W2137" t="s">
        <v>203</v>
      </c>
      <c r="Y2137" t="s">
        <v>158</v>
      </c>
      <c r="Z2137" t="s">
        <v>3177</v>
      </c>
      <c r="AA2137" t="s">
        <v>86</v>
      </c>
      <c r="AB2137" t="s">
        <v>63</v>
      </c>
      <c r="AC2137" t="s">
        <v>86</v>
      </c>
    </row>
    <row r="2138" spans="1:29">
      <c r="A2138" t="s">
        <v>2555</v>
      </c>
      <c r="B2138" s="2">
        <v>46185</v>
      </c>
      <c r="C2138" t="s">
        <v>30</v>
      </c>
      <c r="D2138" t="s">
        <v>99</v>
      </c>
      <c r="E2138" t="s">
        <v>32</v>
      </c>
      <c r="F2138" t="s">
        <v>273</v>
      </c>
      <c r="G2138" t="s">
        <v>463</v>
      </c>
      <c r="H2138" t="s">
        <v>303</v>
      </c>
      <c r="I2138" t="s">
        <v>964</v>
      </c>
      <c r="J2138" t="s">
        <v>3167</v>
      </c>
      <c r="K2138" t="s">
        <v>92</v>
      </c>
      <c r="L2138" t="s">
        <v>68</v>
      </c>
      <c r="M2138" t="s">
        <v>39</v>
      </c>
      <c r="N2138" t="s">
        <v>57</v>
      </c>
      <c r="O2138" s="4">
        <v>3</v>
      </c>
      <c r="P2138" s="4">
        <v>4</v>
      </c>
      <c r="Q2138" t="s">
        <v>142</v>
      </c>
      <c r="R2138" s="2">
        <v>46180</v>
      </c>
      <c r="S2138" s="4">
        <v>23</v>
      </c>
      <c r="T2138" s="3">
        <v>221000000</v>
      </c>
      <c r="U2138" t="s">
        <v>42</v>
      </c>
      <c r="V2138" t="s">
        <v>59</v>
      </c>
      <c r="W2138" t="s">
        <v>71</v>
      </c>
      <c r="Y2138" t="s">
        <v>158</v>
      </c>
      <c r="Z2138" t="s">
        <v>3177</v>
      </c>
      <c r="AA2138" t="s">
        <v>46</v>
      </c>
      <c r="AB2138" t="s">
        <v>63</v>
      </c>
      <c r="AC2138" t="s">
        <v>46</v>
      </c>
    </row>
    <row r="2139" spans="1:29">
      <c r="A2139" t="s">
        <v>2556</v>
      </c>
      <c r="B2139" s="2">
        <v>46178</v>
      </c>
      <c r="C2139" t="s">
        <v>30</v>
      </c>
      <c r="D2139" t="s">
        <v>134</v>
      </c>
      <c r="E2139" t="s">
        <v>111</v>
      </c>
      <c r="F2139" t="s">
        <v>264</v>
      </c>
      <c r="G2139" t="s">
        <v>126</v>
      </c>
      <c r="H2139" t="s">
        <v>114</v>
      </c>
      <c r="I2139" t="s">
        <v>645</v>
      </c>
      <c r="J2139" t="s">
        <v>3139</v>
      </c>
      <c r="K2139" t="s">
        <v>37</v>
      </c>
      <c r="L2139" t="s">
        <v>55</v>
      </c>
      <c r="M2139" t="s">
        <v>39</v>
      </c>
      <c r="N2139" t="s">
        <v>130</v>
      </c>
      <c r="O2139" s="4">
        <v>5</v>
      </c>
      <c r="P2139" s="4">
        <v>8</v>
      </c>
      <c r="Q2139" t="s">
        <v>142</v>
      </c>
      <c r="R2139" s="2">
        <v>46171</v>
      </c>
      <c r="S2139" s="4">
        <v>32</v>
      </c>
      <c r="T2139" s="3">
        <v>240000000</v>
      </c>
      <c r="U2139" t="s">
        <v>42</v>
      </c>
      <c r="V2139" t="s">
        <v>70</v>
      </c>
      <c r="W2139" t="s">
        <v>131</v>
      </c>
      <c r="Y2139" t="s">
        <v>262</v>
      </c>
      <c r="Z2139" t="s">
        <v>3179</v>
      </c>
      <c r="AA2139" t="s">
        <v>118</v>
      </c>
      <c r="AB2139" t="s">
        <v>97</v>
      </c>
      <c r="AC2139" t="s">
        <v>118</v>
      </c>
    </row>
    <row r="2140" spans="1:29">
      <c r="A2140" t="s">
        <v>2557</v>
      </c>
      <c r="B2140" s="2">
        <v>46194</v>
      </c>
      <c r="C2140" t="s">
        <v>30</v>
      </c>
      <c r="D2140" t="s">
        <v>74</v>
      </c>
      <c r="E2140" t="s">
        <v>152</v>
      </c>
      <c r="F2140" t="s">
        <v>221</v>
      </c>
      <c r="G2140" t="s">
        <v>328</v>
      </c>
      <c r="H2140" t="s">
        <v>283</v>
      </c>
      <c r="I2140" t="s">
        <v>474</v>
      </c>
      <c r="J2140" t="s">
        <v>3098</v>
      </c>
      <c r="K2140" t="s">
        <v>37</v>
      </c>
      <c r="L2140" t="s">
        <v>187</v>
      </c>
      <c r="M2140" t="s">
        <v>106</v>
      </c>
      <c r="N2140" t="s">
        <v>57</v>
      </c>
      <c r="O2140" s="4">
        <v>3</v>
      </c>
      <c r="P2140" s="4">
        <v>10</v>
      </c>
      <c r="Q2140" t="s">
        <v>107</v>
      </c>
      <c r="R2140" s="2">
        <v>46188</v>
      </c>
      <c r="S2140" s="4">
        <v>15</v>
      </c>
      <c r="T2140" s="3">
        <v>139000000</v>
      </c>
      <c r="U2140" t="s">
        <v>42</v>
      </c>
      <c r="V2140" t="s">
        <v>43</v>
      </c>
      <c r="W2140" t="s">
        <v>203</v>
      </c>
      <c r="Y2140" t="s">
        <v>72</v>
      </c>
      <c r="Z2140" t="s">
        <v>3177</v>
      </c>
      <c r="AA2140" t="s">
        <v>159</v>
      </c>
      <c r="AB2140" t="s">
        <v>63</v>
      </c>
      <c r="AC2140" t="s">
        <v>159</v>
      </c>
    </row>
    <row r="2141" spans="1:29">
      <c r="A2141" t="s">
        <v>2558</v>
      </c>
      <c r="B2141" s="2">
        <v>46200</v>
      </c>
      <c r="C2141" t="s">
        <v>30</v>
      </c>
      <c r="D2141" t="s">
        <v>49</v>
      </c>
      <c r="E2141" t="s">
        <v>152</v>
      </c>
      <c r="F2141" t="s">
        <v>153</v>
      </c>
      <c r="G2141" t="s">
        <v>328</v>
      </c>
      <c r="H2141" t="s">
        <v>283</v>
      </c>
      <c r="I2141" t="s">
        <v>287</v>
      </c>
      <c r="J2141" t="s">
        <v>3042</v>
      </c>
      <c r="K2141" t="s">
        <v>37</v>
      </c>
      <c r="L2141" t="s">
        <v>38</v>
      </c>
      <c r="M2141" t="s">
        <v>129</v>
      </c>
      <c r="N2141" t="s">
        <v>82</v>
      </c>
      <c r="O2141" s="4">
        <v>1</v>
      </c>
      <c r="P2141" s="4">
        <v>7</v>
      </c>
      <c r="Q2141" t="s">
        <v>41</v>
      </c>
      <c r="R2141" s="2">
        <v>46190</v>
      </c>
      <c r="S2141" s="4">
        <v>13</v>
      </c>
      <c r="T2141" s="3">
        <v>198000000</v>
      </c>
      <c r="U2141" t="s">
        <v>42</v>
      </c>
      <c r="V2141" t="s">
        <v>43</v>
      </c>
      <c r="W2141" t="s">
        <v>290</v>
      </c>
      <c r="Y2141" t="s">
        <v>330</v>
      </c>
      <c r="Z2141" t="s">
        <v>3178</v>
      </c>
      <c r="AA2141" t="s">
        <v>159</v>
      </c>
      <c r="AB2141" t="s">
        <v>87</v>
      </c>
      <c r="AC2141" t="s">
        <v>159</v>
      </c>
    </row>
    <row r="2142" spans="1:29">
      <c r="A2142" t="s">
        <v>2559</v>
      </c>
      <c r="B2142" s="2">
        <v>46197</v>
      </c>
      <c r="C2142" t="s">
        <v>30</v>
      </c>
      <c r="D2142" t="s">
        <v>49</v>
      </c>
      <c r="E2142" t="s">
        <v>152</v>
      </c>
      <c r="F2142" t="s">
        <v>205</v>
      </c>
      <c r="G2142" t="s">
        <v>206</v>
      </c>
      <c r="H2142" t="s">
        <v>207</v>
      </c>
      <c r="I2142" t="s">
        <v>365</v>
      </c>
      <c r="J2142" t="s">
        <v>3063</v>
      </c>
      <c r="K2142" t="s">
        <v>37</v>
      </c>
      <c r="L2142" t="s">
        <v>187</v>
      </c>
      <c r="M2142" t="s">
        <v>106</v>
      </c>
      <c r="N2142" t="s">
        <v>57</v>
      </c>
      <c r="O2142" s="4">
        <v>3</v>
      </c>
      <c r="P2142" s="4">
        <v>6</v>
      </c>
      <c r="Q2142" t="s">
        <v>83</v>
      </c>
      <c r="R2142" s="2">
        <v>46192</v>
      </c>
      <c r="S2142" s="4">
        <v>11</v>
      </c>
      <c r="T2142" s="3">
        <v>223000000</v>
      </c>
      <c r="U2142" t="s">
        <v>42</v>
      </c>
      <c r="V2142" t="s">
        <v>59</v>
      </c>
      <c r="W2142" t="s">
        <v>71</v>
      </c>
      <c r="Y2142" t="s">
        <v>165</v>
      </c>
      <c r="Z2142" t="s">
        <v>3177</v>
      </c>
      <c r="AA2142" t="s">
        <v>159</v>
      </c>
      <c r="AB2142" t="s">
        <v>63</v>
      </c>
      <c r="AC2142" t="s">
        <v>159</v>
      </c>
    </row>
    <row r="2143" spans="1:29">
      <c r="A2143" t="s">
        <v>2560</v>
      </c>
      <c r="B2143" s="2">
        <v>46195</v>
      </c>
      <c r="C2143" t="s">
        <v>30</v>
      </c>
      <c r="D2143" t="s">
        <v>49</v>
      </c>
      <c r="E2143" t="s">
        <v>111</v>
      </c>
      <c r="F2143" t="s">
        <v>112</v>
      </c>
      <c r="G2143" t="s">
        <v>126</v>
      </c>
      <c r="H2143" t="s">
        <v>114</v>
      </c>
      <c r="I2143" t="s">
        <v>988</v>
      </c>
      <c r="J2143" t="s">
        <v>3168</v>
      </c>
      <c r="K2143" t="s">
        <v>92</v>
      </c>
      <c r="L2143" t="s">
        <v>68</v>
      </c>
      <c r="M2143" t="s">
        <v>164</v>
      </c>
      <c r="N2143" t="s">
        <v>213</v>
      </c>
      <c r="O2143" s="4">
        <v>6</v>
      </c>
      <c r="P2143" s="4">
        <v>7</v>
      </c>
      <c r="Q2143" t="s">
        <v>58</v>
      </c>
      <c r="R2143" s="2">
        <v>46193</v>
      </c>
      <c r="S2143" s="4">
        <v>10</v>
      </c>
      <c r="T2143" s="3">
        <v>158000000</v>
      </c>
      <c r="U2143" t="s">
        <v>214</v>
      </c>
      <c r="V2143" t="s">
        <v>70</v>
      </c>
      <c r="W2143" t="s">
        <v>215</v>
      </c>
      <c r="Y2143" t="s">
        <v>432</v>
      </c>
      <c r="Z2143" t="s">
        <v>3179</v>
      </c>
      <c r="AA2143" t="s">
        <v>118</v>
      </c>
      <c r="AB2143" t="s">
        <v>97</v>
      </c>
      <c r="AC2143" t="s">
        <v>118</v>
      </c>
    </row>
    <row r="2144" spans="1:29">
      <c r="A2144" t="s">
        <v>2561</v>
      </c>
      <c r="B2144" s="2">
        <v>46187</v>
      </c>
      <c r="C2144" t="s">
        <v>30</v>
      </c>
      <c r="D2144" t="s">
        <v>99</v>
      </c>
      <c r="E2144" t="s">
        <v>32</v>
      </c>
      <c r="F2144" t="s">
        <v>273</v>
      </c>
      <c r="G2144" t="s">
        <v>34</v>
      </c>
      <c r="H2144" t="s">
        <v>35</v>
      </c>
      <c r="I2144" t="s">
        <v>36</v>
      </c>
      <c r="J2144" t="s">
        <v>3008</v>
      </c>
      <c r="K2144" t="s">
        <v>92</v>
      </c>
      <c r="L2144" t="s">
        <v>55</v>
      </c>
      <c r="M2144" t="s">
        <v>39</v>
      </c>
      <c r="N2144" t="s">
        <v>94</v>
      </c>
      <c r="O2144" s="4">
        <v>4</v>
      </c>
      <c r="P2144" s="4">
        <v>4</v>
      </c>
      <c r="Q2144" t="s">
        <v>41</v>
      </c>
      <c r="R2144" s="2">
        <v>46187</v>
      </c>
      <c r="S2144" s="4">
        <v>16</v>
      </c>
      <c r="T2144" s="3">
        <v>145000000</v>
      </c>
      <c r="U2144" t="s">
        <v>42</v>
      </c>
      <c r="V2144" t="s">
        <v>70</v>
      </c>
      <c r="W2144" t="s">
        <v>267</v>
      </c>
      <c r="X2144" t="s">
        <v>253</v>
      </c>
      <c r="Y2144" t="s">
        <v>96</v>
      </c>
      <c r="Z2144" t="s">
        <v>3179</v>
      </c>
      <c r="AA2144" t="s">
        <v>46</v>
      </c>
      <c r="AB2144" t="s">
        <v>97</v>
      </c>
      <c r="AC2144" t="s">
        <v>46</v>
      </c>
    </row>
    <row r="2145" spans="1:29">
      <c r="A2145" t="s">
        <v>2562</v>
      </c>
      <c r="B2145" s="2">
        <v>46203</v>
      </c>
      <c r="C2145" t="s">
        <v>30</v>
      </c>
      <c r="D2145" t="s">
        <v>31</v>
      </c>
      <c r="E2145" t="s">
        <v>111</v>
      </c>
      <c r="F2145" t="s">
        <v>264</v>
      </c>
      <c r="G2145" t="s">
        <v>265</v>
      </c>
      <c r="H2145" t="s">
        <v>127</v>
      </c>
      <c r="I2145" t="s">
        <v>128</v>
      </c>
      <c r="J2145" t="s">
        <v>3016</v>
      </c>
      <c r="K2145" t="s">
        <v>37</v>
      </c>
      <c r="L2145" t="s">
        <v>55</v>
      </c>
      <c r="M2145" t="s">
        <v>164</v>
      </c>
      <c r="N2145" t="s">
        <v>94</v>
      </c>
      <c r="O2145" s="4">
        <v>4</v>
      </c>
      <c r="P2145" s="4">
        <v>10</v>
      </c>
      <c r="Q2145" t="s">
        <v>58</v>
      </c>
      <c r="R2145" s="2">
        <v>46194</v>
      </c>
      <c r="S2145" s="4">
        <v>9</v>
      </c>
      <c r="T2145" s="3">
        <v>228000000</v>
      </c>
      <c r="U2145" t="s">
        <v>42</v>
      </c>
      <c r="V2145" t="s">
        <v>70</v>
      </c>
      <c r="W2145" t="s">
        <v>95</v>
      </c>
      <c r="X2145" t="s">
        <v>253</v>
      </c>
      <c r="Y2145" t="s">
        <v>108</v>
      </c>
      <c r="Z2145" t="s">
        <v>3179</v>
      </c>
      <c r="AA2145" t="s">
        <v>118</v>
      </c>
      <c r="AB2145" t="s">
        <v>97</v>
      </c>
      <c r="AC2145" t="s">
        <v>118</v>
      </c>
    </row>
    <row r="2146" spans="1:29">
      <c r="A2146" t="s">
        <v>2563</v>
      </c>
      <c r="B2146" s="2">
        <v>46180</v>
      </c>
      <c r="C2146" t="s">
        <v>30</v>
      </c>
      <c r="D2146" t="s">
        <v>134</v>
      </c>
      <c r="E2146" t="s">
        <v>111</v>
      </c>
      <c r="F2146" t="s">
        <v>112</v>
      </c>
      <c r="G2146" t="s">
        <v>126</v>
      </c>
      <c r="H2146" t="s">
        <v>191</v>
      </c>
      <c r="I2146" t="s">
        <v>606</v>
      </c>
      <c r="J2146" t="s">
        <v>3131</v>
      </c>
      <c r="K2146" t="s">
        <v>37</v>
      </c>
      <c r="L2146" t="s">
        <v>55</v>
      </c>
      <c r="M2146" t="s">
        <v>93</v>
      </c>
      <c r="N2146" t="s">
        <v>40</v>
      </c>
      <c r="O2146" s="4">
        <v>2</v>
      </c>
      <c r="P2146" s="4">
        <v>9</v>
      </c>
      <c r="Q2146" t="s">
        <v>142</v>
      </c>
      <c r="R2146" s="2">
        <v>46180</v>
      </c>
      <c r="S2146" s="4">
        <v>23</v>
      </c>
      <c r="T2146" s="3">
        <v>221000000</v>
      </c>
      <c r="U2146" t="s">
        <v>42</v>
      </c>
      <c r="V2146" t="s">
        <v>43</v>
      </c>
      <c r="W2146" t="s">
        <v>178</v>
      </c>
      <c r="Y2146" t="s">
        <v>45</v>
      </c>
      <c r="Z2146" t="s">
        <v>3178</v>
      </c>
      <c r="AA2146" t="s">
        <v>118</v>
      </c>
      <c r="AB2146" t="s">
        <v>87</v>
      </c>
      <c r="AC2146" t="s">
        <v>118</v>
      </c>
    </row>
    <row r="2147" spans="1:29">
      <c r="A2147" t="s">
        <v>2564</v>
      </c>
      <c r="B2147" s="2">
        <v>46193</v>
      </c>
      <c r="C2147" t="s">
        <v>30</v>
      </c>
      <c r="D2147" t="s">
        <v>74</v>
      </c>
      <c r="E2147" t="s">
        <v>120</v>
      </c>
      <c r="F2147" t="s">
        <v>121</v>
      </c>
      <c r="G2147" t="s">
        <v>420</v>
      </c>
      <c r="H2147" t="s">
        <v>300</v>
      </c>
      <c r="I2147" t="s">
        <v>527</v>
      </c>
      <c r="J2147" t="s">
        <v>3110</v>
      </c>
      <c r="K2147" t="s">
        <v>105</v>
      </c>
      <c r="L2147" t="s">
        <v>169</v>
      </c>
      <c r="M2147" t="s">
        <v>56</v>
      </c>
      <c r="N2147" t="s">
        <v>57</v>
      </c>
      <c r="O2147" s="4">
        <v>3</v>
      </c>
      <c r="P2147" s="4">
        <v>12</v>
      </c>
      <c r="Q2147" t="s">
        <v>107</v>
      </c>
      <c r="R2147" s="2">
        <v>46187</v>
      </c>
      <c r="S2147" s="4">
        <v>16</v>
      </c>
      <c r="T2147" s="3">
        <v>72000000</v>
      </c>
      <c r="U2147" t="s">
        <v>42</v>
      </c>
      <c r="V2147" t="s">
        <v>43</v>
      </c>
      <c r="W2147" t="s">
        <v>71</v>
      </c>
      <c r="Y2147" t="s">
        <v>165</v>
      </c>
      <c r="Z2147" t="s">
        <v>3180</v>
      </c>
      <c r="AA2147" t="s">
        <v>97</v>
      </c>
      <c r="AB2147" t="s">
        <v>193</v>
      </c>
      <c r="AC2147" t="s">
        <v>97</v>
      </c>
    </row>
    <row r="2148" spans="1:29">
      <c r="A2148" t="s">
        <v>2565</v>
      </c>
      <c r="B2148" s="2">
        <v>46195</v>
      </c>
      <c r="C2148" t="s">
        <v>30</v>
      </c>
      <c r="D2148" t="s">
        <v>49</v>
      </c>
      <c r="E2148" t="s">
        <v>75</v>
      </c>
      <c r="F2148" t="s">
        <v>76</v>
      </c>
      <c r="G2148" t="s">
        <v>77</v>
      </c>
      <c r="H2148" t="s">
        <v>185</v>
      </c>
      <c r="I2148" t="s">
        <v>354</v>
      </c>
      <c r="J2148" t="s">
        <v>3061</v>
      </c>
      <c r="K2148" t="s">
        <v>92</v>
      </c>
      <c r="L2148" t="s">
        <v>187</v>
      </c>
      <c r="M2148" t="s">
        <v>106</v>
      </c>
      <c r="N2148" t="s">
        <v>40</v>
      </c>
      <c r="O2148" s="4">
        <v>2</v>
      </c>
      <c r="P2148" s="4">
        <v>5</v>
      </c>
      <c r="Q2148" t="s">
        <v>142</v>
      </c>
      <c r="R2148" s="2">
        <v>46189</v>
      </c>
      <c r="S2148" s="4">
        <v>14</v>
      </c>
      <c r="T2148" s="3">
        <v>210000000</v>
      </c>
      <c r="U2148" t="s">
        <v>42</v>
      </c>
      <c r="V2148" t="s">
        <v>43</v>
      </c>
      <c r="W2148" t="s">
        <v>298</v>
      </c>
      <c r="Y2148" t="s">
        <v>45</v>
      </c>
      <c r="Z2148" t="s">
        <v>3178</v>
      </c>
      <c r="AA2148" t="s">
        <v>86</v>
      </c>
      <c r="AB2148" t="s">
        <v>87</v>
      </c>
      <c r="AC2148" t="s">
        <v>86</v>
      </c>
    </row>
    <row r="2149" spans="1:29">
      <c r="A2149" t="s">
        <v>2566</v>
      </c>
      <c r="B2149" s="2">
        <v>46195</v>
      </c>
      <c r="C2149" t="s">
        <v>30</v>
      </c>
      <c r="D2149" t="s">
        <v>49</v>
      </c>
      <c r="E2149" t="s">
        <v>75</v>
      </c>
      <c r="F2149" t="s">
        <v>183</v>
      </c>
      <c r="G2149" t="s">
        <v>162</v>
      </c>
      <c r="H2149" t="s">
        <v>388</v>
      </c>
      <c r="I2149" t="s">
        <v>630</v>
      </c>
      <c r="J2149" t="s">
        <v>3135</v>
      </c>
      <c r="K2149" t="s">
        <v>37</v>
      </c>
      <c r="L2149" t="s">
        <v>187</v>
      </c>
      <c r="M2149" t="s">
        <v>129</v>
      </c>
      <c r="N2149" t="s">
        <v>213</v>
      </c>
      <c r="O2149" s="4">
        <v>6</v>
      </c>
      <c r="P2149" s="4">
        <v>14</v>
      </c>
      <c r="Q2149" t="s">
        <v>58</v>
      </c>
      <c r="R2149" s="2">
        <v>46189</v>
      </c>
      <c r="S2149" s="4">
        <v>14</v>
      </c>
      <c r="T2149" s="3">
        <v>77000000</v>
      </c>
      <c r="U2149" t="s">
        <v>214</v>
      </c>
      <c r="V2149" t="s">
        <v>143</v>
      </c>
      <c r="W2149" t="s">
        <v>215</v>
      </c>
      <c r="Y2149" t="s">
        <v>424</v>
      </c>
      <c r="Z2149" t="s">
        <v>3179</v>
      </c>
      <c r="AA2149" t="s">
        <v>86</v>
      </c>
      <c r="AB2149" t="s">
        <v>97</v>
      </c>
      <c r="AC2149" t="s">
        <v>86</v>
      </c>
    </row>
    <row r="2150" spans="1:29">
      <c r="A2150" t="s">
        <v>2567</v>
      </c>
      <c r="B2150" s="2">
        <v>46201</v>
      </c>
      <c r="C2150" t="s">
        <v>30</v>
      </c>
      <c r="D2150" t="s">
        <v>49</v>
      </c>
      <c r="E2150" t="s">
        <v>111</v>
      </c>
      <c r="F2150" t="s">
        <v>190</v>
      </c>
      <c r="G2150" t="s">
        <v>251</v>
      </c>
      <c r="H2150" t="s">
        <v>127</v>
      </c>
      <c r="I2150" t="s">
        <v>654</v>
      </c>
      <c r="J2150" t="s">
        <v>3142</v>
      </c>
      <c r="K2150" t="s">
        <v>92</v>
      </c>
      <c r="L2150" t="s">
        <v>150</v>
      </c>
      <c r="M2150" t="s">
        <v>129</v>
      </c>
      <c r="N2150" t="s">
        <v>130</v>
      </c>
      <c r="O2150" s="4">
        <v>5</v>
      </c>
      <c r="P2150" s="4">
        <v>7</v>
      </c>
      <c r="Q2150" t="s">
        <v>69</v>
      </c>
      <c r="R2150" s="2">
        <v>46200</v>
      </c>
      <c r="S2150" s="4">
        <v>3</v>
      </c>
      <c r="T2150" s="3">
        <v>53000000</v>
      </c>
      <c r="U2150" t="s">
        <v>260</v>
      </c>
      <c r="V2150" t="s">
        <v>70</v>
      </c>
      <c r="W2150" t="s">
        <v>252</v>
      </c>
      <c r="X2150" t="s">
        <v>422</v>
      </c>
      <c r="Y2150" t="s">
        <v>132</v>
      </c>
      <c r="Z2150" t="s">
        <v>3179</v>
      </c>
      <c r="AA2150" t="s">
        <v>118</v>
      </c>
      <c r="AB2150" t="s">
        <v>97</v>
      </c>
      <c r="AC2150" t="s">
        <v>118</v>
      </c>
    </row>
    <row r="2151" spans="1:29">
      <c r="A2151" t="s">
        <v>2568</v>
      </c>
      <c r="B2151" s="2">
        <v>46192</v>
      </c>
      <c r="C2151" t="s">
        <v>30</v>
      </c>
      <c r="D2151" t="s">
        <v>74</v>
      </c>
      <c r="E2151" t="s">
        <v>120</v>
      </c>
      <c r="F2151" t="s">
        <v>121</v>
      </c>
      <c r="G2151" t="s">
        <v>420</v>
      </c>
      <c r="H2151" t="s">
        <v>123</v>
      </c>
      <c r="I2151" t="s">
        <v>124</v>
      </c>
      <c r="J2151" t="s">
        <v>3015</v>
      </c>
      <c r="K2151" t="s">
        <v>37</v>
      </c>
      <c r="L2151" t="s">
        <v>80</v>
      </c>
      <c r="M2151" t="s">
        <v>164</v>
      </c>
      <c r="N2151" t="s">
        <v>94</v>
      </c>
      <c r="O2151" s="4">
        <v>4</v>
      </c>
      <c r="P2151" s="4">
        <v>11</v>
      </c>
      <c r="Q2151" t="s">
        <v>107</v>
      </c>
      <c r="R2151" s="2">
        <v>46191</v>
      </c>
      <c r="S2151" s="4">
        <v>12</v>
      </c>
      <c r="T2151" s="3">
        <v>105000000</v>
      </c>
      <c r="U2151" t="s">
        <v>42</v>
      </c>
      <c r="V2151" t="s">
        <v>59</v>
      </c>
      <c r="W2151" t="s">
        <v>95</v>
      </c>
      <c r="Y2151" t="s">
        <v>108</v>
      </c>
      <c r="Z2151" t="s">
        <v>3179</v>
      </c>
      <c r="AA2151" t="s">
        <v>97</v>
      </c>
      <c r="AB2151" t="s">
        <v>97</v>
      </c>
      <c r="AC2151" t="s">
        <v>97</v>
      </c>
    </row>
    <row r="2152" spans="1:29">
      <c r="A2152" t="s">
        <v>2569</v>
      </c>
      <c r="B2152" s="2">
        <v>46200</v>
      </c>
      <c r="C2152" t="s">
        <v>30</v>
      </c>
      <c r="D2152" t="s">
        <v>49</v>
      </c>
      <c r="E2152" t="s">
        <v>32</v>
      </c>
      <c r="F2152" t="s">
        <v>256</v>
      </c>
      <c r="G2152" t="s">
        <v>463</v>
      </c>
      <c r="H2152" t="s">
        <v>258</v>
      </c>
      <c r="I2152" t="s">
        <v>1756</v>
      </c>
      <c r="J2152" t="s">
        <v>3175</v>
      </c>
      <c r="K2152" t="s">
        <v>116</v>
      </c>
      <c r="L2152" t="s">
        <v>55</v>
      </c>
      <c r="M2152" t="s">
        <v>39</v>
      </c>
      <c r="N2152" t="s">
        <v>94</v>
      </c>
      <c r="O2152" s="4">
        <v>4</v>
      </c>
      <c r="P2152" s="4">
        <v>6</v>
      </c>
      <c r="Q2152" t="s">
        <v>107</v>
      </c>
      <c r="R2152" s="2">
        <v>46192</v>
      </c>
      <c r="S2152" s="4">
        <v>11</v>
      </c>
      <c r="T2152" s="3">
        <v>100000000</v>
      </c>
      <c r="U2152" t="s">
        <v>42</v>
      </c>
      <c r="V2152" t="s">
        <v>143</v>
      </c>
      <c r="W2152" t="s">
        <v>170</v>
      </c>
      <c r="Y2152" t="s">
        <v>96</v>
      </c>
      <c r="Z2152" t="s">
        <v>3179</v>
      </c>
      <c r="AA2152" t="s">
        <v>46</v>
      </c>
      <c r="AB2152" t="s">
        <v>97</v>
      </c>
      <c r="AC2152" t="s">
        <v>46</v>
      </c>
    </row>
    <row r="2153" spans="1:29">
      <c r="A2153" t="s">
        <v>2570</v>
      </c>
      <c r="B2153" s="2">
        <v>46194</v>
      </c>
      <c r="C2153" t="s">
        <v>30</v>
      </c>
      <c r="D2153" t="s">
        <v>74</v>
      </c>
      <c r="E2153" t="s">
        <v>32</v>
      </c>
      <c r="F2153" t="s">
        <v>256</v>
      </c>
      <c r="G2153" t="s">
        <v>218</v>
      </c>
      <c r="H2153" t="s">
        <v>35</v>
      </c>
      <c r="I2153" t="s">
        <v>219</v>
      </c>
      <c r="J2153" t="s">
        <v>3028</v>
      </c>
      <c r="K2153" t="s">
        <v>56</v>
      </c>
      <c r="L2153" t="s">
        <v>80</v>
      </c>
      <c r="M2153" t="s">
        <v>164</v>
      </c>
      <c r="N2153" t="s">
        <v>40</v>
      </c>
      <c r="O2153" s="4">
        <v>2</v>
      </c>
      <c r="P2153" s="4">
        <v>1</v>
      </c>
      <c r="Q2153" t="s">
        <v>138</v>
      </c>
      <c r="R2153" s="2">
        <v>46186</v>
      </c>
      <c r="S2153" s="4">
        <v>17</v>
      </c>
      <c r="T2153" s="3">
        <v>94000000</v>
      </c>
      <c r="U2153" t="s">
        <v>42</v>
      </c>
      <c r="V2153" t="s">
        <v>43</v>
      </c>
      <c r="W2153" t="s">
        <v>239</v>
      </c>
      <c r="Y2153" t="s">
        <v>281</v>
      </c>
      <c r="Z2153" t="s">
        <v>3176</v>
      </c>
      <c r="AA2153" t="s">
        <v>46</v>
      </c>
      <c r="AB2153" t="s">
        <v>47</v>
      </c>
      <c r="AC2153" t="s">
        <v>46</v>
      </c>
    </row>
    <row r="2154" spans="1:29">
      <c r="A2154" t="s">
        <v>2571</v>
      </c>
      <c r="B2154" s="2">
        <v>46181</v>
      </c>
      <c r="C2154" t="s">
        <v>30</v>
      </c>
      <c r="D2154" t="s">
        <v>99</v>
      </c>
      <c r="E2154" t="s">
        <v>75</v>
      </c>
      <c r="F2154" t="s">
        <v>183</v>
      </c>
      <c r="G2154" t="s">
        <v>184</v>
      </c>
      <c r="H2154" t="s">
        <v>78</v>
      </c>
      <c r="I2154" t="s">
        <v>810</v>
      </c>
      <c r="J2154" t="s">
        <v>3157</v>
      </c>
      <c r="K2154" t="s">
        <v>105</v>
      </c>
      <c r="L2154" t="s">
        <v>38</v>
      </c>
      <c r="M2154" t="s">
        <v>106</v>
      </c>
      <c r="N2154" t="s">
        <v>94</v>
      </c>
      <c r="O2154" s="4">
        <v>4</v>
      </c>
      <c r="P2154" s="4">
        <v>12</v>
      </c>
      <c r="Q2154" t="s">
        <v>58</v>
      </c>
      <c r="R2154" s="2">
        <v>46178</v>
      </c>
      <c r="S2154" s="4">
        <v>25</v>
      </c>
      <c r="T2154" s="3">
        <v>207000000</v>
      </c>
      <c r="U2154" t="s">
        <v>42</v>
      </c>
      <c r="V2154" t="s">
        <v>70</v>
      </c>
      <c r="W2154" t="s">
        <v>170</v>
      </c>
      <c r="Y2154" t="s">
        <v>108</v>
      </c>
      <c r="Z2154" t="s">
        <v>3179</v>
      </c>
      <c r="AA2154" t="s">
        <v>86</v>
      </c>
      <c r="AB2154" t="s">
        <v>97</v>
      </c>
      <c r="AC2154" t="s">
        <v>86</v>
      </c>
    </row>
    <row r="2155" spans="1:29">
      <c r="A2155" t="s">
        <v>2572</v>
      </c>
      <c r="B2155" s="2">
        <v>46202</v>
      </c>
      <c r="C2155" t="s">
        <v>30</v>
      </c>
      <c r="D2155" t="s">
        <v>31</v>
      </c>
      <c r="E2155" t="s">
        <v>32</v>
      </c>
      <c r="F2155" t="s">
        <v>273</v>
      </c>
      <c r="G2155" t="s">
        <v>361</v>
      </c>
      <c r="H2155" t="s">
        <v>35</v>
      </c>
      <c r="I2155" t="s">
        <v>323</v>
      </c>
      <c r="J2155" t="s">
        <v>3052</v>
      </c>
      <c r="K2155" t="s">
        <v>56</v>
      </c>
      <c r="L2155" t="s">
        <v>68</v>
      </c>
      <c r="M2155" t="s">
        <v>93</v>
      </c>
      <c r="N2155" t="s">
        <v>40</v>
      </c>
      <c r="O2155" s="4">
        <v>2</v>
      </c>
      <c r="P2155" s="4">
        <v>5</v>
      </c>
      <c r="Q2155" t="s">
        <v>69</v>
      </c>
      <c r="R2155" s="2">
        <v>46200</v>
      </c>
      <c r="S2155" s="4">
        <v>3</v>
      </c>
      <c r="T2155" s="3">
        <v>218000000</v>
      </c>
      <c r="U2155" t="s">
        <v>177</v>
      </c>
      <c r="V2155" t="s">
        <v>59</v>
      </c>
      <c r="W2155" t="s">
        <v>44</v>
      </c>
      <c r="X2155" t="s">
        <v>422</v>
      </c>
      <c r="Y2155" t="s">
        <v>281</v>
      </c>
      <c r="Z2155" t="s">
        <v>3178</v>
      </c>
      <c r="AA2155" t="s">
        <v>46</v>
      </c>
      <c r="AB2155" t="s">
        <v>87</v>
      </c>
      <c r="AC2155" t="s">
        <v>46</v>
      </c>
    </row>
    <row r="2156" spans="1:29">
      <c r="A2156" t="s">
        <v>2573</v>
      </c>
      <c r="B2156" s="2">
        <v>46174</v>
      </c>
      <c r="C2156" t="s">
        <v>30</v>
      </c>
      <c r="D2156" t="s">
        <v>134</v>
      </c>
      <c r="E2156" t="s">
        <v>32</v>
      </c>
      <c r="F2156" t="s">
        <v>33</v>
      </c>
      <c r="G2156" t="s">
        <v>218</v>
      </c>
      <c r="H2156" t="s">
        <v>35</v>
      </c>
      <c r="I2156" t="s">
        <v>604</v>
      </c>
      <c r="J2156" t="s">
        <v>3130</v>
      </c>
      <c r="K2156" t="s">
        <v>105</v>
      </c>
      <c r="L2156" t="s">
        <v>55</v>
      </c>
      <c r="M2156" t="s">
        <v>56</v>
      </c>
      <c r="N2156" t="s">
        <v>130</v>
      </c>
      <c r="O2156" s="4">
        <v>5</v>
      </c>
      <c r="P2156" s="4">
        <v>7</v>
      </c>
      <c r="Q2156" t="s">
        <v>142</v>
      </c>
      <c r="R2156" s="2">
        <v>46165</v>
      </c>
      <c r="S2156" s="4">
        <v>38</v>
      </c>
      <c r="T2156" s="3">
        <v>73000000</v>
      </c>
      <c r="U2156" t="s">
        <v>42</v>
      </c>
      <c r="V2156" t="s">
        <v>70</v>
      </c>
      <c r="W2156" t="s">
        <v>144</v>
      </c>
      <c r="X2156" t="s">
        <v>253</v>
      </c>
      <c r="Y2156" t="s">
        <v>254</v>
      </c>
      <c r="Z2156" t="s">
        <v>3179</v>
      </c>
      <c r="AA2156" t="s">
        <v>46</v>
      </c>
      <c r="AB2156" t="s">
        <v>97</v>
      </c>
      <c r="AC2156" t="s">
        <v>46</v>
      </c>
    </row>
    <row r="2157" spans="1:29">
      <c r="A2157" t="s">
        <v>2574</v>
      </c>
      <c r="B2157" s="2">
        <v>46196</v>
      </c>
      <c r="C2157" t="s">
        <v>30</v>
      </c>
      <c r="D2157" t="s">
        <v>49</v>
      </c>
      <c r="E2157" t="s">
        <v>152</v>
      </c>
      <c r="F2157" t="s">
        <v>205</v>
      </c>
      <c r="G2157" t="s">
        <v>286</v>
      </c>
      <c r="H2157" t="s">
        <v>207</v>
      </c>
      <c r="I2157" t="s">
        <v>547</v>
      </c>
      <c r="J2157" t="s">
        <v>3116</v>
      </c>
      <c r="K2157" t="s">
        <v>92</v>
      </c>
      <c r="L2157" t="s">
        <v>68</v>
      </c>
      <c r="M2157" t="s">
        <v>164</v>
      </c>
      <c r="N2157" t="s">
        <v>57</v>
      </c>
      <c r="O2157" s="4">
        <v>3</v>
      </c>
      <c r="P2157" s="4">
        <v>8</v>
      </c>
      <c r="Q2157" t="s">
        <v>138</v>
      </c>
      <c r="R2157" s="2">
        <v>46189</v>
      </c>
      <c r="S2157" s="4">
        <v>14</v>
      </c>
      <c r="T2157" s="3">
        <v>84000000</v>
      </c>
      <c r="U2157" t="s">
        <v>42</v>
      </c>
      <c r="V2157" t="s">
        <v>43</v>
      </c>
      <c r="W2157" t="s">
        <v>157</v>
      </c>
      <c r="Y2157" t="s">
        <v>165</v>
      </c>
      <c r="Z2157" t="s">
        <v>3177</v>
      </c>
      <c r="AA2157" t="s">
        <v>159</v>
      </c>
      <c r="AB2157" t="s">
        <v>63</v>
      </c>
      <c r="AC2157" t="s">
        <v>159</v>
      </c>
    </row>
    <row r="2158" spans="1:29">
      <c r="A2158" t="s">
        <v>2575</v>
      </c>
      <c r="B2158" s="2">
        <v>46198</v>
      </c>
      <c r="C2158" t="s">
        <v>30</v>
      </c>
      <c r="D2158" t="s">
        <v>49</v>
      </c>
      <c r="E2158" t="s">
        <v>32</v>
      </c>
      <c r="F2158" t="s">
        <v>33</v>
      </c>
      <c r="G2158" t="s">
        <v>218</v>
      </c>
      <c r="H2158" t="s">
        <v>303</v>
      </c>
      <c r="I2158" t="s">
        <v>483</v>
      </c>
      <c r="J2158" t="s">
        <v>3100</v>
      </c>
      <c r="K2158" t="s">
        <v>105</v>
      </c>
      <c r="L2158" t="s">
        <v>150</v>
      </c>
      <c r="M2158" t="s">
        <v>93</v>
      </c>
      <c r="N2158" t="s">
        <v>40</v>
      </c>
      <c r="O2158" s="4">
        <v>2</v>
      </c>
      <c r="P2158" s="4">
        <v>10</v>
      </c>
      <c r="Q2158" t="s">
        <v>69</v>
      </c>
      <c r="R2158" s="2">
        <v>46197</v>
      </c>
      <c r="S2158" s="4">
        <v>6</v>
      </c>
      <c r="T2158" s="3">
        <v>147000000</v>
      </c>
      <c r="U2158" t="s">
        <v>42</v>
      </c>
      <c r="V2158" t="s">
        <v>43</v>
      </c>
      <c r="W2158" t="s">
        <v>178</v>
      </c>
      <c r="Y2158" t="s">
        <v>45</v>
      </c>
      <c r="Z2158" t="s">
        <v>3178</v>
      </c>
      <c r="AA2158" t="s">
        <v>46</v>
      </c>
      <c r="AB2158" t="s">
        <v>87</v>
      </c>
      <c r="AC2158" t="s">
        <v>46</v>
      </c>
    </row>
    <row r="2159" spans="1:29">
      <c r="A2159" t="s">
        <v>2576</v>
      </c>
      <c r="B2159" s="2">
        <v>46195</v>
      </c>
      <c r="C2159" t="s">
        <v>30</v>
      </c>
      <c r="D2159" t="s">
        <v>49</v>
      </c>
      <c r="E2159" t="s">
        <v>172</v>
      </c>
      <c r="F2159" t="s">
        <v>173</v>
      </c>
      <c r="G2159" t="s">
        <v>289</v>
      </c>
      <c r="H2159" t="s">
        <v>175</v>
      </c>
      <c r="I2159" t="s">
        <v>176</v>
      </c>
      <c r="J2159" t="s">
        <v>3023</v>
      </c>
      <c r="K2159" t="s">
        <v>56</v>
      </c>
      <c r="L2159" t="s">
        <v>55</v>
      </c>
      <c r="M2159" t="s">
        <v>93</v>
      </c>
      <c r="N2159" t="s">
        <v>213</v>
      </c>
      <c r="O2159" s="4">
        <v>6</v>
      </c>
      <c r="P2159" s="4">
        <v>7</v>
      </c>
      <c r="Q2159" t="s">
        <v>142</v>
      </c>
      <c r="R2159" s="2">
        <v>46194</v>
      </c>
      <c r="S2159" s="4">
        <v>9</v>
      </c>
      <c r="T2159" s="3">
        <v>171000000</v>
      </c>
      <c r="U2159" t="s">
        <v>214</v>
      </c>
      <c r="V2159" t="s">
        <v>70</v>
      </c>
      <c r="W2159" t="s">
        <v>438</v>
      </c>
      <c r="Y2159" t="s">
        <v>216</v>
      </c>
      <c r="Z2159" t="s">
        <v>3179</v>
      </c>
      <c r="AA2159" t="s">
        <v>181</v>
      </c>
      <c r="AB2159" t="s">
        <v>97</v>
      </c>
      <c r="AC2159" t="s">
        <v>181</v>
      </c>
    </row>
    <row r="2160" spans="1:29">
      <c r="A2160" t="s">
        <v>2577</v>
      </c>
      <c r="B2160" s="2">
        <v>46176</v>
      </c>
      <c r="C2160" t="s">
        <v>30</v>
      </c>
      <c r="D2160" t="s">
        <v>134</v>
      </c>
      <c r="E2160" t="s">
        <v>152</v>
      </c>
      <c r="F2160" t="s">
        <v>221</v>
      </c>
      <c r="G2160" t="s">
        <v>294</v>
      </c>
      <c r="H2160" t="s">
        <v>155</v>
      </c>
      <c r="I2160" t="s">
        <v>729</v>
      </c>
      <c r="J2160" t="s">
        <v>3149</v>
      </c>
      <c r="K2160" t="s">
        <v>92</v>
      </c>
      <c r="L2160" t="s">
        <v>80</v>
      </c>
      <c r="M2160" t="s">
        <v>56</v>
      </c>
      <c r="N2160" t="s">
        <v>40</v>
      </c>
      <c r="O2160" s="4">
        <v>2</v>
      </c>
      <c r="P2160" s="4">
        <v>13</v>
      </c>
      <c r="Q2160" t="s">
        <v>107</v>
      </c>
      <c r="R2160" s="2">
        <v>46170</v>
      </c>
      <c r="S2160" s="4">
        <v>33</v>
      </c>
      <c r="T2160" s="3">
        <v>157000000</v>
      </c>
      <c r="U2160" t="s">
        <v>42</v>
      </c>
      <c r="V2160" t="s">
        <v>43</v>
      </c>
      <c r="W2160" t="s">
        <v>298</v>
      </c>
      <c r="Y2160" t="s">
        <v>180</v>
      </c>
      <c r="Z2160" t="s">
        <v>3180</v>
      </c>
      <c r="AA2160" t="s">
        <v>159</v>
      </c>
      <c r="AB2160" t="s">
        <v>193</v>
      </c>
      <c r="AC2160" t="s">
        <v>159</v>
      </c>
    </row>
    <row r="2161" spans="1:29">
      <c r="A2161" t="s">
        <v>2578</v>
      </c>
      <c r="B2161" s="2">
        <v>46185</v>
      </c>
      <c r="C2161" t="s">
        <v>30</v>
      </c>
      <c r="D2161" t="s">
        <v>99</v>
      </c>
      <c r="E2161" t="s">
        <v>172</v>
      </c>
      <c r="F2161" t="s">
        <v>173</v>
      </c>
      <c r="G2161" t="s">
        <v>338</v>
      </c>
      <c r="H2161" t="s">
        <v>317</v>
      </c>
      <c r="I2161" t="s">
        <v>756</v>
      </c>
      <c r="J2161" t="s">
        <v>3152</v>
      </c>
      <c r="K2161" t="s">
        <v>92</v>
      </c>
      <c r="L2161" t="s">
        <v>150</v>
      </c>
      <c r="M2161" t="s">
        <v>164</v>
      </c>
      <c r="N2161" t="s">
        <v>94</v>
      </c>
      <c r="O2161" s="4">
        <v>4</v>
      </c>
      <c r="P2161" s="4">
        <v>5</v>
      </c>
      <c r="Q2161" t="s">
        <v>41</v>
      </c>
      <c r="R2161" s="2">
        <v>46175</v>
      </c>
      <c r="S2161" s="4">
        <v>28</v>
      </c>
      <c r="T2161" s="3">
        <v>111000000</v>
      </c>
      <c r="U2161" t="s">
        <v>42</v>
      </c>
      <c r="V2161" t="s">
        <v>59</v>
      </c>
      <c r="W2161" t="s">
        <v>95</v>
      </c>
      <c r="Y2161" t="s">
        <v>96</v>
      </c>
      <c r="Z2161" t="s">
        <v>3179</v>
      </c>
      <c r="AA2161" t="s">
        <v>181</v>
      </c>
      <c r="AB2161" t="s">
        <v>97</v>
      </c>
      <c r="AC2161" t="s">
        <v>181</v>
      </c>
    </row>
    <row r="2162" spans="1:29">
      <c r="A2162" t="s">
        <v>2579</v>
      </c>
      <c r="B2162" s="2">
        <v>46195</v>
      </c>
      <c r="C2162" t="s">
        <v>30</v>
      </c>
      <c r="D2162" t="s">
        <v>49</v>
      </c>
      <c r="E2162" t="s">
        <v>100</v>
      </c>
      <c r="F2162" t="s">
        <v>101</v>
      </c>
      <c r="G2162" t="s">
        <v>237</v>
      </c>
      <c r="H2162" t="s">
        <v>148</v>
      </c>
      <c r="I2162" t="s">
        <v>532</v>
      </c>
      <c r="J2162" t="s">
        <v>3111</v>
      </c>
      <c r="K2162" t="s">
        <v>92</v>
      </c>
      <c r="L2162" t="s">
        <v>150</v>
      </c>
      <c r="M2162" t="s">
        <v>39</v>
      </c>
      <c r="N2162" t="s">
        <v>57</v>
      </c>
      <c r="O2162" s="4">
        <v>3</v>
      </c>
      <c r="P2162" s="4">
        <v>8</v>
      </c>
      <c r="Q2162" t="s">
        <v>142</v>
      </c>
      <c r="R2162" s="2">
        <v>46191</v>
      </c>
      <c r="S2162" s="4">
        <v>12</v>
      </c>
      <c r="T2162" s="3">
        <v>72000000</v>
      </c>
      <c r="U2162" t="s">
        <v>42</v>
      </c>
      <c r="V2162" t="s">
        <v>43</v>
      </c>
      <c r="W2162" t="s">
        <v>203</v>
      </c>
      <c r="Y2162" t="s">
        <v>165</v>
      </c>
      <c r="Z2162" t="s">
        <v>3177</v>
      </c>
      <c r="AA2162" t="s">
        <v>109</v>
      </c>
      <c r="AB2162" t="s">
        <v>63</v>
      </c>
      <c r="AC2162" t="s">
        <v>109</v>
      </c>
    </row>
    <row r="2163" spans="1:29">
      <c r="A2163" t="s">
        <v>2580</v>
      </c>
      <c r="B2163" s="2">
        <v>46181</v>
      </c>
      <c r="C2163" t="s">
        <v>30</v>
      </c>
      <c r="D2163" t="s">
        <v>99</v>
      </c>
      <c r="E2163" t="s">
        <v>152</v>
      </c>
      <c r="F2163" t="s">
        <v>221</v>
      </c>
      <c r="G2163" t="s">
        <v>154</v>
      </c>
      <c r="H2163" t="s">
        <v>155</v>
      </c>
      <c r="I2163" t="s">
        <v>156</v>
      </c>
      <c r="J2163" t="s">
        <v>3020</v>
      </c>
      <c r="K2163" t="s">
        <v>56</v>
      </c>
      <c r="L2163" t="s">
        <v>38</v>
      </c>
      <c r="M2163" t="s">
        <v>56</v>
      </c>
      <c r="N2163" t="s">
        <v>94</v>
      </c>
      <c r="O2163" s="4">
        <v>4</v>
      </c>
      <c r="P2163" s="4">
        <v>20</v>
      </c>
      <c r="Q2163" t="s">
        <v>58</v>
      </c>
      <c r="R2163" s="2">
        <v>46173</v>
      </c>
      <c r="S2163" s="4">
        <v>30</v>
      </c>
      <c r="T2163" s="3">
        <v>205000000</v>
      </c>
      <c r="U2163" t="s">
        <v>42</v>
      </c>
      <c r="V2163" t="s">
        <v>70</v>
      </c>
      <c r="W2163" t="s">
        <v>188</v>
      </c>
      <c r="Y2163" t="s">
        <v>96</v>
      </c>
      <c r="Z2163" t="s">
        <v>3179</v>
      </c>
      <c r="AA2163" t="s">
        <v>159</v>
      </c>
      <c r="AB2163" t="s">
        <v>97</v>
      </c>
      <c r="AC2163" t="s">
        <v>159</v>
      </c>
    </row>
    <row r="2164" spans="1:29">
      <c r="A2164" t="s">
        <v>2581</v>
      </c>
      <c r="B2164" s="2">
        <v>46203</v>
      </c>
      <c r="C2164" t="s">
        <v>30</v>
      </c>
      <c r="D2164" t="s">
        <v>31</v>
      </c>
      <c r="E2164" t="s">
        <v>120</v>
      </c>
      <c r="F2164" t="s">
        <v>121</v>
      </c>
      <c r="G2164" t="s">
        <v>122</v>
      </c>
      <c r="H2164" t="s">
        <v>123</v>
      </c>
      <c r="I2164" t="s">
        <v>459</v>
      </c>
      <c r="J2164" t="s">
        <v>3093</v>
      </c>
      <c r="K2164" t="s">
        <v>56</v>
      </c>
      <c r="L2164" t="s">
        <v>80</v>
      </c>
      <c r="M2164" t="s">
        <v>93</v>
      </c>
      <c r="N2164" t="s">
        <v>213</v>
      </c>
      <c r="O2164" s="4">
        <v>6</v>
      </c>
      <c r="P2164" s="4">
        <v>12</v>
      </c>
      <c r="Q2164" t="s">
        <v>142</v>
      </c>
      <c r="R2164" s="2">
        <v>46200</v>
      </c>
      <c r="S2164" s="4">
        <v>3</v>
      </c>
      <c r="T2164" s="3">
        <v>469000000</v>
      </c>
      <c r="U2164" t="s">
        <v>214</v>
      </c>
      <c r="V2164" t="s">
        <v>70</v>
      </c>
      <c r="W2164" t="s">
        <v>390</v>
      </c>
      <c r="Y2164" t="s">
        <v>216</v>
      </c>
      <c r="Z2164" t="s">
        <v>3179</v>
      </c>
      <c r="AA2164" t="s">
        <v>97</v>
      </c>
      <c r="AB2164" t="s">
        <v>97</v>
      </c>
      <c r="AC2164" t="s">
        <v>97</v>
      </c>
    </row>
    <row r="2165" spans="1:29">
      <c r="A2165" t="s">
        <v>2582</v>
      </c>
      <c r="B2165" s="2">
        <v>46178</v>
      </c>
      <c r="C2165" t="s">
        <v>30</v>
      </c>
      <c r="D2165" t="s">
        <v>134</v>
      </c>
      <c r="E2165" t="s">
        <v>152</v>
      </c>
      <c r="F2165" t="s">
        <v>221</v>
      </c>
      <c r="G2165" t="s">
        <v>154</v>
      </c>
      <c r="H2165" t="s">
        <v>207</v>
      </c>
      <c r="I2165" t="s">
        <v>365</v>
      </c>
      <c r="J2165" t="s">
        <v>3063</v>
      </c>
      <c r="K2165" t="s">
        <v>116</v>
      </c>
      <c r="L2165" t="s">
        <v>169</v>
      </c>
      <c r="M2165" t="s">
        <v>81</v>
      </c>
      <c r="N2165" t="s">
        <v>82</v>
      </c>
      <c r="O2165" s="4">
        <v>1</v>
      </c>
      <c r="P2165" s="4">
        <v>16</v>
      </c>
      <c r="Q2165" t="s">
        <v>69</v>
      </c>
      <c r="R2165" s="2">
        <v>46169</v>
      </c>
      <c r="S2165" s="4">
        <v>34</v>
      </c>
      <c r="T2165" s="3">
        <v>98000000</v>
      </c>
      <c r="U2165" t="s">
        <v>42</v>
      </c>
      <c r="V2165" t="s">
        <v>43</v>
      </c>
      <c r="W2165" t="s">
        <v>359</v>
      </c>
      <c r="Y2165" t="s">
        <v>305</v>
      </c>
      <c r="Z2165" t="s">
        <v>3180</v>
      </c>
      <c r="AA2165" t="s">
        <v>159</v>
      </c>
      <c r="AB2165" t="s">
        <v>193</v>
      </c>
      <c r="AC2165" t="s">
        <v>159</v>
      </c>
    </row>
    <row r="2166" spans="1:29">
      <c r="A2166" t="s">
        <v>2583</v>
      </c>
      <c r="B2166" s="2">
        <v>46193</v>
      </c>
      <c r="C2166" t="s">
        <v>30</v>
      </c>
      <c r="D2166" t="s">
        <v>74</v>
      </c>
      <c r="E2166" t="s">
        <v>50</v>
      </c>
      <c r="F2166" t="s">
        <v>51</v>
      </c>
      <c r="G2166" t="s">
        <v>52</v>
      </c>
      <c r="H2166" t="s">
        <v>90</v>
      </c>
      <c r="I2166" t="s">
        <v>740</v>
      </c>
      <c r="J2166" t="s">
        <v>3151</v>
      </c>
      <c r="K2166" t="s">
        <v>37</v>
      </c>
      <c r="L2166" t="s">
        <v>187</v>
      </c>
      <c r="M2166" t="s">
        <v>164</v>
      </c>
      <c r="N2166" t="s">
        <v>57</v>
      </c>
      <c r="O2166" s="4">
        <v>3</v>
      </c>
      <c r="P2166" s="4">
        <v>6</v>
      </c>
      <c r="Q2166" t="s">
        <v>58</v>
      </c>
      <c r="R2166" s="2">
        <v>46190</v>
      </c>
      <c r="S2166" s="4">
        <v>13</v>
      </c>
      <c r="T2166" s="3">
        <v>154000000</v>
      </c>
      <c r="U2166" t="s">
        <v>42</v>
      </c>
      <c r="V2166" t="s">
        <v>43</v>
      </c>
      <c r="W2166" t="s">
        <v>60</v>
      </c>
      <c r="Y2166" t="s">
        <v>61</v>
      </c>
      <c r="Z2166" t="s">
        <v>3177</v>
      </c>
      <c r="AA2166" t="s">
        <v>62</v>
      </c>
      <c r="AB2166" t="s">
        <v>63</v>
      </c>
      <c r="AC2166" t="s">
        <v>62</v>
      </c>
    </row>
    <row r="2167" spans="1:29">
      <c r="A2167" t="s">
        <v>2584</v>
      </c>
      <c r="B2167" s="2">
        <v>46195</v>
      </c>
      <c r="C2167" t="s">
        <v>30</v>
      </c>
      <c r="D2167" t="s">
        <v>49</v>
      </c>
      <c r="E2167" t="s">
        <v>120</v>
      </c>
      <c r="F2167" t="s">
        <v>246</v>
      </c>
      <c r="G2167" t="s">
        <v>227</v>
      </c>
      <c r="H2167" t="s">
        <v>136</v>
      </c>
      <c r="I2167" t="s">
        <v>247</v>
      </c>
      <c r="J2167" t="s">
        <v>3035</v>
      </c>
      <c r="K2167" t="s">
        <v>37</v>
      </c>
      <c r="L2167" t="s">
        <v>80</v>
      </c>
      <c r="M2167" t="s">
        <v>39</v>
      </c>
      <c r="N2167" t="s">
        <v>57</v>
      </c>
      <c r="O2167" s="4">
        <v>3</v>
      </c>
      <c r="P2167" s="4">
        <v>11</v>
      </c>
      <c r="Q2167" t="s">
        <v>69</v>
      </c>
      <c r="R2167" s="2">
        <v>46195</v>
      </c>
      <c r="S2167" s="4">
        <v>8</v>
      </c>
      <c r="T2167" s="3">
        <v>259000000</v>
      </c>
      <c r="U2167" t="s">
        <v>42</v>
      </c>
      <c r="V2167" t="s">
        <v>59</v>
      </c>
      <c r="W2167" t="s">
        <v>71</v>
      </c>
      <c r="Y2167" t="s">
        <v>165</v>
      </c>
      <c r="Z2167" t="s">
        <v>3177</v>
      </c>
      <c r="AA2167" t="s">
        <v>97</v>
      </c>
      <c r="AB2167" t="s">
        <v>63</v>
      </c>
      <c r="AC2167" t="s">
        <v>97</v>
      </c>
    </row>
    <row r="2168" spans="1:29">
      <c r="A2168" t="s">
        <v>2585</v>
      </c>
      <c r="B2168" s="2">
        <v>46186</v>
      </c>
      <c r="C2168" t="s">
        <v>30</v>
      </c>
      <c r="D2168" t="s">
        <v>99</v>
      </c>
      <c r="E2168" t="s">
        <v>152</v>
      </c>
      <c r="F2168" t="s">
        <v>221</v>
      </c>
      <c r="G2168" t="s">
        <v>328</v>
      </c>
      <c r="H2168" t="s">
        <v>207</v>
      </c>
      <c r="I2168" t="s">
        <v>222</v>
      </c>
      <c r="J2168" t="s">
        <v>3029</v>
      </c>
      <c r="K2168" t="s">
        <v>105</v>
      </c>
      <c r="L2168" t="s">
        <v>68</v>
      </c>
      <c r="M2168" t="s">
        <v>81</v>
      </c>
      <c r="N2168" t="s">
        <v>130</v>
      </c>
      <c r="O2168" s="4">
        <v>5</v>
      </c>
      <c r="P2168" s="4">
        <v>15</v>
      </c>
      <c r="Q2168" t="s">
        <v>138</v>
      </c>
      <c r="R2168" s="2">
        <v>46177</v>
      </c>
      <c r="S2168" s="4">
        <v>26</v>
      </c>
      <c r="T2168" s="3">
        <v>307000000</v>
      </c>
      <c r="U2168" t="s">
        <v>42</v>
      </c>
      <c r="V2168" t="s">
        <v>70</v>
      </c>
      <c r="W2168" t="s">
        <v>252</v>
      </c>
      <c r="Y2168" t="s">
        <v>334</v>
      </c>
      <c r="Z2168" t="s">
        <v>3179</v>
      </c>
      <c r="AA2168" t="s">
        <v>159</v>
      </c>
      <c r="AB2168" t="s">
        <v>97</v>
      </c>
      <c r="AC2168" t="s">
        <v>159</v>
      </c>
    </row>
    <row r="2169" spans="1:29">
      <c r="A2169" t="s">
        <v>2586</v>
      </c>
      <c r="B2169" s="2">
        <v>46182</v>
      </c>
      <c r="C2169" t="s">
        <v>30</v>
      </c>
      <c r="D2169" t="s">
        <v>99</v>
      </c>
      <c r="E2169" t="s">
        <v>152</v>
      </c>
      <c r="F2169" t="s">
        <v>221</v>
      </c>
      <c r="G2169" t="s">
        <v>286</v>
      </c>
      <c r="H2169" t="s">
        <v>207</v>
      </c>
      <c r="I2169" t="s">
        <v>773</v>
      </c>
      <c r="J2169" t="s">
        <v>3153</v>
      </c>
      <c r="K2169" t="s">
        <v>56</v>
      </c>
      <c r="L2169" t="s">
        <v>187</v>
      </c>
      <c r="M2169" t="s">
        <v>93</v>
      </c>
      <c r="N2169" t="s">
        <v>94</v>
      </c>
      <c r="O2169" s="4">
        <v>4</v>
      </c>
      <c r="P2169" s="4">
        <v>8</v>
      </c>
      <c r="Q2169" t="s">
        <v>58</v>
      </c>
      <c r="R2169" s="2">
        <v>46182</v>
      </c>
      <c r="S2169" s="4">
        <v>21</v>
      </c>
      <c r="T2169" s="3">
        <v>169000000</v>
      </c>
      <c r="U2169" t="s">
        <v>42</v>
      </c>
      <c r="V2169" t="s">
        <v>59</v>
      </c>
      <c r="W2169" t="s">
        <v>267</v>
      </c>
      <c r="Y2169" t="s">
        <v>268</v>
      </c>
      <c r="Z2169" t="s">
        <v>3179</v>
      </c>
      <c r="AA2169" t="s">
        <v>159</v>
      </c>
      <c r="AB2169" t="s">
        <v>97</v>
      </c>
      <c r="AC2169" t="s">
        <v>159</v>
      </c>
    </row>
    <row r="2170" spans="1:29">
      <c r="A2170" t="s">
        <v>2587</v>
      </c>
      <c r="B2170" s="2">
        <v>46186</v>
      </c>
      <c r="C2170" t="s">
        <v>30</v>
      </c>
      <c r="D2170" t="s">
        <v>99</v>
      </c>
      <c r="E2170" t="s">
        <v>75</v>
      </c>
      <c r="F2170" t="s">
        <v>76</v>
      </c>
      <c r="G2170" t="s">
        <v>387</v>
      </c>
      <c r="H2170" t="s">
        <v>388</v>
      </c>
      <c r="I2170" t="s">
        <v>556</v>
      </c>
      <c r="J2170" t="s">
        <v>3118</v>
      </c>
      <c r="K2170" t="s">
        <v>37</v>
      </c>
      <c r="L2170" t="s">
        <v>80</v>
      </c>
      <c r="M2170" t="s">
        <v>81</v>
      </c>
      <c r="N2170" t="s">
        <v>213</v>
      </c>
      <c r="O2170" s="4">
        <v>6</v>
      </c>
      <c r="P2170" s="4">
        <v>12</v>
      </c>
      <c r="Q2170" t="s">
        <v>107</v>
      </c>
      <c r="R2170" s="2">
        <v>46179</v>
      </c>
      <c r="S2170" s="4">
        <v>24</v>
      </c>
      <c r="T2170" s="3">
        <v>200000000</v>
      </c>
      <c r="U2170" t="s">
        <v>214</v>
      </c>
      <c r="V2170" t="s">
        <v>70</v>
      </c>
      <c r="W2170" t="s">
        <v>248</v>
      </c>
      <c r="Y2170" t="s">
        <v>216</v>
      </c>
      <c r="Z2170" t="s">
        <v>3179</v>
      </c>
      <c r="AA2170" t="s">
        <v>86</v>
      </c>
      <c r="AB2170" t="s">
        <v>97</v>
      </c>
      <c r="AC2170" t="s">
        <v>86</v>
      </c>
    </row>
    <row r="2171" spans="1:29">
      <c r="A2171" t="s">
        <v>2588</v>
      </c>
      <c r="B2171" s="2">
        <v>46179</v>
      </c>
      <c r="C2171" t="s">
        <v>30</v>
      </c>
      <c r="D2171" t="s">
        <v>134</v>
      </c>
      <c r="E2171" t="s">
        <v>75</v>
      </c>
      <c r="F2171" t="s">
        <v>183</v>
      </c>
      <c r="G2171" t="s">
        <v>230</v>
      </c>
      <c r="H2171" t="s">
        <v>78</v>
      </c>
      <c r="I2171" t="s">
        <v>1145</v>
      </c>
      <c r="J2171" t="s">
        <v>3174</v>
      </c>
      <c r="K2171" t="s">
        <v>105</v>
      </c>
      <c r="L2171" t="s">
        <v>169</v>
      </c>
      <c r="M2171" t="s">
        <v>93</v>
      </c>
      <c r="N2171" t="s">
        <v>40</v>
      </c>
      <c r="O2171" s="4">
        <v>2</v>
      </c>
      <c r="P2171" s="4">
        <v>5</v>
      </c>
      <c r="Q2171" t="s">
        <v>69</v>
      </c>
      <c r="R2171" s="2">
        <v>46176</v>
      </c>
      <c r="S2171" s="4">
        <v>27</v>
      </c>
      <c r="T2171" s="3">
        <v>133000000</v>
      </c>
      <c r="U2171" t="s">
        <v>42</v>
      </c>
      <c r="V2171" t="s">
        <v>43</v>
      </c>
      <c r="W2171" t="s">
        <v>239</v>
      </c>
      <c r="Y2171" t="s">
        <v>281</v>
      </c>
      <c r="Z2171" t="s">
        <v>3178</v>
      </c>
      <c r="AA2171" t="s">
        <v>86</v>
      </c>
      <c r="AB2171" t="s">
        <v>87</v>
      </c>
      <c r="AC2171" t="s">
        <v>86</v>
      </c>
    </row>
    <row r="2172" spans="1:29">
      <c r="A2172" t="s">
        <v>2589</v>
      </c>
      <c r="B2172" s="2">
        <v>46195</v>
      </c>
      <c r="C2172" t="s">
        <v>30</v>
      </c>
      <c r="D2172" t="s">
        <v>49</v>
      </c>
      <c r="E2172" t="s">
        <v>152</v>
      </c>
      <c r="F2172" t="s">
        <v>153</v>
      </c>
      <c r="G2172" t="s">
        <v>294</v>
      </c>
      <c r="H2172" t="s">
        <v>155</v>
      </c>
      <c r="I2172" t="s">
        <v>418</v>
      </c>
      <c r="J2172" t="s">
        <v>3079</v>
      </c>
      <c r="K2172" t="s">
        <v>105</v>
      </c>
      <c r="L2172" t="s">
        <v>55</v>
      </c>
      <c r="M2172" t="s">
        <v>81</v>
      </c>
      <c r="N2172" t="s">
        <v>213</v>
      </c>
      <c r="O2172" s="4">
        <v>6</v>
      </c>
      <c r="P2172" s="4">
        <v>11</v>
      </c>
      <c r="Q2172" t="s">
        <v>142</v>
      </c>
      <c r="R2172" s="2">
        <v>46186</v>
      </c>
      <c r="S2172" s="4">
        <v>17</v>
      </c>
      <c r="T2172" s="3">
        <v>219000000</v>
      </c>
      <c r="U2172" t="s">
        <v>214</v>
      </c>
      <c r="V2172" t="s">
        <v>70</v>
      </c>
      <c r="W2172" t="s">
        <v>248</v>
      </c>
      <c r="Y2172" t="s">
        <v>424</v>
      </c>
      <c r="Z2172" t="s">
        <v>3179</v>
      </c>
      <c r="AA2172" t="s">
        <v>159</v>
      </c>
      <c r="AB2172" t="s">
        <v>97</v>
      </c>
      <c r="AC2172" t="s">
        <v>159</v>
      </c>
    </row>
    <row r="2173" spans="1:29">
      <c r="A2173" t="s">
        <v>2590</v>
      </c>
      <c r="B2173" s="2">
        <v>46175</v>
      </c>
      <c r="C2173" t="s">
        <v>30</v>
      </c>
      <c r="D2173" t="s">
        <v>134</v>
      </c>
      <c r="E2173" t="s">
        <v>32</v>
      </c>
      <c r="F2173" t="s">
        <v>256</v>
      </c>
      <c r="G2173" t="s">
        <v>34</v>
      </c>
      <c r="H2173" t="s">
        <v>258</v>
      </c>
      <c r="I2173" t="s">
        <v>259</v>
      </c>
      <c r="J2173" t="s">
        <v>3036</v>
      </c>
      <c r="K2173" t="s">
        <v>56</v>
      </c>
      <c r="L2173" t="s">
        <v>187</v>
      </c>
      <c r="M2173" t="s">
        <v>81</v>
      </c>
      <c r="N2173" t="s">
        <v>82</v>
      </c>
      <c r="O2173" s="4">
        <v>1</v>
      </c>
      <c r="P2173" s="4">
        <v>5</v>
      </c>
      <c r="Q2173" t="s">
        <v>138</v>
      </c>
      <c r="R2173" s="2">
        <v>46169</v>
      </c>
      <c r="S2173" s="4">
        <v>34</v>
      </c>
      <c r="T2173" s="3">
        <v>261000000</v>
      </c>
      <c r="U2173" t="s">
        <v>42</v>
      </c>
      <c r="V2173" t="s">
        <v>43</v>
      </c>
      <c r="W2173" t="s">
        <v>359</v>
      </c>
      <c r="Y2173" t="s">
        <v>330</v>
      </c>
      <c r="Z2173" t="s">
        <v>3178</v>
      </c>
      <c r="AA2173" t="s">
        <v>46</v>
      </c>
      <c r="AB2173" t="s">
        <v>87</v>
      </c>
      <c r="AC2173" t="s">
        <v>46</v>
      </c>
    </row>
    <row r="2174" spans="1:29">
      <c r="A2174" t="s">
        <v>2591</v>
      </c>
      <c r="B2174" s="2">
        <v>46183</v>
      </c>
      <c r="C2174" t="s">
        <v>30</v>
      </c>
      <c r="D2174" t="s">
        <v>99</v>
      </c>
      <c r="E2174" t="s">
        <v>75</v>
      </c>
      <c r="F2174" t="s">
        <v>161</v>
      </c>
      <c r="G2174" t="s">
        <v>77</v>
      </c>
      <c r="H2174" t="s">
        <v>78</v>
      </c>
      <c r="I2174" t="s">
        <v>494</v>
      </c>
      <c r="J2174" t="s">
        <v>3104</v>
      </c>
      <c r="K2174" t="s">
        <v>92</v>
      </c>
      <c r="L2174" t="s">
        <v>187</v>
      </c>
      <c r="M2174" t="s">
        <v>56</v>
      </c>
      <c r="N2174" t="s">
        <v>94</v>
      </c>
      <c r="O2174" s="4">
        <v>4</v>
      </c>
      <c r="P2174" s="4">
        <v>6</v>
      </c>
      <c r="Q2174" t="s">
        <v>83</v>
      </c>
      <c r="R2174" s="2">
        <v>46180</v>
      </c>
      <c r="S2174" s="4">
        <v>23</v>
      </c>
      <c r="T2174" s="3">
        <v>206000000</v>
      </c>
      <c r="U2174" t="s">
        <v>42</v>
      </c>
      <c r="V2174" t="s">
        <v>59</v>
      </c>
      <c r="W2174" t="s">
        <v>95</v>
      </c>
      <c r="Y2174" t="s">
        <v>108</v>
      </c>
      <c r="Z2174" t="s">
        <v>3179</v>
      </c>
      <c r="AA2174" t="s">
        <v>86</v>
      </c>
      <c r="AB2174" t="s">
        <v>97</v>
      </c>
      <c r="AC2174" t="s">
        <v>86</v>
      </c>
    </row>
    <row r="2175" spans="1:29">
      <c r="A2175" t="s">
        <v>2592</v>
      </c>
      <c r="B2175" s="2">
        <v>46185</v>
      </c>
      <c r="C2175" t="s">
        <v>30</v>
      </c>
      <c r="D2175" t="s">
        <v>99</v>
      </c>
      <c r="E2175" t="s">
        <v>50</v>
      </c>
      <c r="F2175" t="s">
        <v>351</v>
      </c>
      <c r="G2175" t="s">
        <v>65</v>
      </c>
      <c r="H2175" t="s">
        <v>66</v>
      </c>
      <c r="I2175" t="s">
        <v>67</v>
      </c>
      <c r="J2175" t="s">
        <v>3010</v>
      </c>
      <c r="K2175" t="s">
        <v>116</v>
      </c>
      <c r="L2175" t="s">
        <v>68</v>
      </c>
      <c r="M2175" t="s">
        <v>164</v>
      </c>
      <c r="N2175" t="s">
        <v>57</v>
      </c>
      <c r="O2175" s="4">
        <v>3</v>
      </c>
      <c r="P2175" s="4">
        <v>12</v>
      </c>
      <c r="Q2175" t="s">
        <v>69</v>
      </c>
      <c r="R2175" s="2">
        <v>46183</v>
      </c>
      <c r="S2175" s="4">
        <v>20</v>
      </c>
      <c r="T2175" s="3">
        <v>163000000</v>
      </c>
      <c r="U2175" t="s">
        <v>260</v>
      </c>
      <c r="V2175" t="s">
        <v>43</v>
      </c>
      <c r="W2175" t="s">
        <v>157</v>
      </c>
      <c r="X2175" t="s">
        <v>381</v>
      </c>
      <c r="Y2175" t="s">
        <v>61</v>
      </c>
      <c r="Z2175" t="s">
        <v>3180</v>
      </c>
      <c r="AA2175" t="s">
        <v>62</v>
      </c>
      <c r="AB2175" t="s">
        <v>193</v>
      </c>
      <c r="AC2175" t="s">
        <v>62</v>
      </c>
    </row>
    <row r="2176" spans="1:29">
      <c r="A2176" t="s">
        <v>2593</v>
      </c>
      <c r="B2176" s="2">
        <v>46174</v>
      </c>
      <c r="C2176" t="s">
        <v>30</v>
      </c>
      <c r="D2176" t="s">
        <v>134</v>
      </c>
      <c r="E2176" t="s">
        <v>50</v>
      </c>
      <c r="F2176" t="s">
        <v>351</v>
      </c>
      <c r="G2176" t="s">
        <v>65</v>
      </c>
      <c r="H2176" t="s">
        <v>53</v>
      </c>
      <c r="I2176" t="s">
        <v>307</v>
      </c>
      <c r="J2176" t="s">
        <v>3047</v>
      </c>
      <c r="K2176" t="s">
        <v>37</v>
      </c>
      <c r="L2176" t="s">
        <v>80</v>
      </c>
      <c r="M2176" t="s">
        <v>81</v>
      </c>
      <c r="N2176" t="s">
        <v>130</v>
      </c>
      <c r="O2176" s="4">
        <v>5</v>
      </c>
      <c r="P2176" s="4">
        <v>12</v>
      </c>
      <c r="Q2176" t="s">
        <v>142</v>
      </c>
      <c r="R2176" s="2">
        <v>46168</v>
      </c>
      <c r="S2176" s="4">
        <v>35</v>
      </c>
      <c r="T2176" s="3">
        <v>95000000</v>
      </c>
      <c r="U2176" t="s">
        <v>42</v>
      </c>
      <c r="V2176" t="s">
        <v>70</v>
      </c>
      <c r="W2176" t="s">
        <v>252</v>
      </c>
      <c r="Y2176" t="s">
        <v>132</v>
      </c>
      <c r="Z2176" t="s">
        <v>3179</v>
      </c>
      <c r="AA2176" t="s">
        <v>62</v>
      </c>
      <c r="AB2176" t="s">
        <v>97</v>
      </c>
      <c r="AC2176" t="s">
        <v>62</v>
      </c>
    </row>
    <row r="2177" spans="1:29">
      <c r="A2177" t="s">
        <v>2594</v>
      </c>
      <c r="B2177" s="2">
        <v>46178</v>
      </c>
      <c r="C2177" t="s">
        <v>30</v>
      </c>
      <c r="D2177" t="s">
        <v>134</v>
      </c>
      <c r="E2177" t="s">
        <v>120</v>
      </c>
      <c r="F2177" t="s">
        <v>246</v>
      </c>
      <c r="G2177" t="s">
        <v>224</v>
      </c>
      <c r="H2177" t="s">
        <v>136</v>
      </c>
      <c r="I2177" t="s">
        <v>168</v>
      </c>
      <c r="J2177" t="s">
        <v>3022</v>
      </c>
      <c r="K2177" t="s">
        <v>37</v>
      </c>
      <c r="L2177" t="s">
        <v>169</v>
      </c>
      <c r="M2177" t="s">
        <v>39</v>
      </c>
      <c r="N2177" t="s">
        <v>40</v>
      </c>
      <c r="O2177" s="4">
        <v>2</v>
      </c>
      <c r="P2177" s="4">
        <v>5</v>
      </c>
      <c r="Q2177" t="s">
        <v>83</v>
      </c>
      <c r="R2177" s="2">
        <v>46173</v>
      </c>
      <c r="S2177" s="4">
        <v>30</v>
      </c>
      <c r="T2177" s="3">
        <v>119000000</v>
      </c>
      <c r="U2177" t="s">
        <v>42</v>
      </c>
      <c r="V2177" t="s">
        <v>43</v>
      </c>
      <c r="W2177" t="s">
        <v>239</v>
      </c>
      <c r="Y2177" t="s">
        <v>180</v>
      </c>
      <c r="Z2177" t="s">
        <v>3178</v>
      </c>
      <c r="AA2177" t="s">
        <v>97</v>
      </c>
      <c r="AB2177" t="s">
        <v>87</v>
      </c>
      <c r="AC2177" t="s">
        <v>97</v>
      </c>
    </row>
    <row r="2178" spans="1:29">
      <c r="A2178" t="s">
        <v>2595</v>
      </c>
      <c r="B2178" s="2">
        <v>46193</v>
      </c>
      <c r="C2178" t="s">
        <v>30</v>
      </c>
      <c r="D2178" t="s">
        <v>74</v>
      </c>
      <c r="E2178" t="s">
        <v>75</v>
      </c>
      <c r="F2178" t="s">
        <v>76</v>
      </c>
      <c r="G2178" t="s">
        <v>77</v>
      </c>
      <c r="H2178" t="s">
        <v>388</v>
      </c>
      <c r="I2178" t="s">
        <v>540</v>
      </c>
      <c r="J2178" t="s">
        <v>3114</v>
      </c>
      <c r="K2178" t="s">
        <v>37</v>
      </c>
      <c r="L2178" t="s">
        <v>55</v>
      </c>
      <c r="M2178" t="s">
        <v>56</v>
      </c>
      <c r="N2178" t="s">
        <v>57</v>
      </c>
      <c r="O2178" s="4">
        <v>3</v>
      </c>
      <c r="P2178" s="4">
        <v>8</v>
      </c>
      <c r="Q2178" t="s">
        <v>83</v>
      </c>
      <c r="R2178" s="2">
        <v>46193</v>
      </c>
      <c r="S2178" s="4">
        <v>10</v>
      </c>
      <c r="T2178" s="3">
        <v>202000000</v>
      </c>
      <c r="U2178" t="s">
        <v>42</v>
      </c>
      <c r="V2178" t="s">
        <v>59</v>
      </c>
      <c r="W2178" t="s">
        <v>157</v>
      </c>
      <c r="Y2178" t="s">
        <v>165</v>
      </c>
      <c r="Z2178" t="s">
        <v>3177</v>
      </c>
      <c r="AA2178" t="s">
        <v>86</v>
      </c>
      <c r="AB2178" t="s">
        <v>63</v>
      </c>
      <c r="AC2178" t="s">
        <v>86</v>
      </c>
    </row>
    <row r="2179" spans="1:29">
      <c r="A2179" t="s">
        <v>2596</v>
      </c>
      <c r="B2179" s="2">
        <v>46184</v>
      </c>
      <c r="C2179" t="s">
        <v>30</v>
      </c>
      <c r="D2179" t="s">
        <v>99</v>
      </c>
      <c r="E2179" t="s">
        <v>100</v>
      </c>
      <c r="F2179" t="s">
        <v>146</v>
      </c>
      <c r="G2179" t="s">
        <v>102</v>
      </c>
      <c r="H2179" t="s">
        <v>148</v>
      </c>
      <c r="I2179" t="s">
        <v>149</v>
      </c>
      <c r="J2179" t="s">
        <v>3019</v>
      </c>
      <c r="K2179" t="s">
        <v>92</v>
      </c>
      <c r="L2179" t="s">
        <v>80</v>
      </c>
      <c r="M2179" t="s">
        <v>39</v>
      </c>
      <c r="N2179" t="s">
        <v>196</v>
      </c>
      <c r="O2179" s="4">
        <v>7</v>
      </c>
      <c r="P2179" s="4">
        <v>20</v>
      </c>
      <c r="Q2179" t="s">
        <v>142</v>
      </c>
      <c r="R2179" s="2">
        <v>46183</v>
      </c>
      <c r="S2179" s="4">
        <v>20</v>
      </c>
      <c r="T2179" s="3">
        <v>136000000</v>
      </c>
      <c r="U2179" t="s">
        <v>196</v>
      </c>
      <c r="V2179" t="s">
        <v>70</v>
      </c>
      <c r="W2179" t="s">
        <v>675</v>
      </c>
      <c r="Y2179" t="s">
        <v>369</v>
      </c>
      <c r="Z2179" t="s">
        <v>3181</v>
      </c>
      <c r="AA2179" t="s">
        <v>109</v>
      </c>
      <c r="AB2179" t="s">
        <v>199</v>
      </c>
      <c r="AC2179" t="s">
        <v>109</v>
      </c>
    </row>
    <row r="2180" spans="1:29">
      <c r="A2180" t="s">
        <v>2597</v>
      </c>
      <c r="B2180" s="2">
        <v>46199</v>
      </c>
      <c r="C2180" t="s">
        <v>30</v>
      </c>
      <c r="D2180" t="s">
        <v>49</v>
      </c>
      <c r="E2180" t="s">
        <v>120</v>
      </c>
      <c r="F2180" t="s">
        <v>121</v>
      </c>
      <c r="G2180" t="s">
        <v>227</v>
      </c>
      <c r="H2180" t="s">
        <v>136</v>
      </c>
      <c r="I2180" t="s">
        <v>247</v>
      </c>
      <c r="J2180" t="s">
        <v>3035</v>
      </c>
      <c r="K2180" t="s">
        <v>105</v>
      </c>
      <c r="L2180" t="s">
        <v>38</v>
      </c>
      <c r="M2180" t="s">
        <v>39</v>
      </c>
      <c r="N2180" t="s">
        <v>94</v>
      </c>
      <c r="O2180" s="4">
        <v>4</v>
      </c>
      <c r="P2180" s="4">
        <v>5</v>
      </c>
      <c r="Q2180" t="s">
        <v>69</v>
      </c>
      <c r="R2180" s="2">
        <v>46190</v>
      </c>
      <c r="S2180" s="4">
        <v>13</v>
      </c>
      <c r="T2180" s="3">
        <v>194000000</v>
      </c>
      <c r="U2180" t="s">
        <v>260</v>
      </c>
      <c r="V2180" t="s">
        <v>59</v>
      </c>
      <c r="W2180" t="s">
        <v>170</v>
      </c>
      <c r="X2180" t="s">
        <v>381</v>
      </c>
      <c r="Y2180" t="s">
        <v>96</v>
      </c>
      <c r="Z2180" t="s">
        <v>3179</v>
      </c>
      <c r="AA2180" t="s">
        <v>97</v>
      </c>
      <c r="AB2180" t="s">
        <v>97</v>
      </c>
      <c r="AC2180" t="s">
        <v>97</v>
      </c>
    </row>
    <row r="2181" spans="1:29">
      <c r="A2181" t="s">
        <v>2598</v>
      </c>
      <c r="B2181" s="2">
        <v>46200</v>
      </c>
      <c r="C2181" t="s">
        <v>30</v>
      </c>
      <c r="D2181" t="s">
        <v>49</v>
      </c>
      <c r="E2181" t="s">
        <v>111</v>
      </c>
      <c r="F2181" t="s">
        <v>190</v>
      </c>
      <c r="G2181" t="s">
        <v>126</v>
      </c>
      <c r="H2181" t="s">
        <v>191</v>
      </c>
      <c r="I2181" t="s">
        <v>606</v>
      </c>
      <c r="J2181" t="s">
        <v>3131</v>
      </c>
      <c r="K2181" t="s">
        <v>92</v>
      </c>
      <c r="L2181" t="s">
        <v>80</v>
      </c>
      <c r="M2181" t="s">
        <v>93</v>
      </c>
      <c r="N2181" t="s">
        <v>94</v>
      </c>
      <c r="O2181" s="4">
        <v>4</v>
      </c>
      <c r="P2181" s="4">
        <v>13</v>
      </c>
      <c r="Q2181" t="s">
        <v>58</v>
      </c>
      <c r="R2181" s="2">
        <v>46199</v>
      </c>
      <c r="S2181" s="4">
        <v>4</v>
      </c>
      <c r="T2181" s="3">
        <v>153000000</v>
      </c>
      <c r="U2181" t="s">
        <v>42</v>
      </c>
      <c r="V2181" t="s">
        <v>143</v>
      </c>
      <c r="W2181" t="s">
        <v>95</v>
      </c>
      <c r="X2181" t="s">
        <v>253</v>
      </c>
      <c r="Y2181" t="s">
        <v>228</v>
      </c>
      <c r="Z2181" t="s">
        <v>3179</v>
      </c>
      <c r="AA2181" t="s">
        <v>118</v>
      </c>
      <c r="AB2181" t="s">
        <v>97</v>
      </c>
      <c r="AC2181" t="s">
        <v>118</v>
      </c>
    </row>
    <row r="2182" spans="1:29">
      <c r="A2182" t="s">
        <v>2599</v>
      </c>
      <c r="B2182" s="2">
        <v>46191</v>
      </c>
      <c r="C2182" t="s">
        <v>30</v>
      </c>
      <c r="D2182" t="s">
        <v>74</v>
      </c>
      <c r="E2182" t="s">
        <v>100</v>
      </c>
      <c r="F2182" t="s">
        <v>101</v>
      </c>
      <c r="G2182" t="s">
        <v>237</v>
      </c>
      <c r="H2182" t="s">
        <v>148</v>
      </c>
      <c r="I2182" t="s">
        <v>851</v>
      </c>
      <c r="J2182" t="s">
        <v>3163</v>
      </c>
      <c r="K2182" t="s">
        <v>37</v>
      </c>
      <c r="L2182" t="s">
        <v>55</v>
      </c>
      <c r="M2182" t="s">
        <v>93</v>
      </c>
      <c r="N2182" t="s">
        <v>196</v>
      </c>
      <c r="O2182" s="4">
        <v>7</v>
      </c>
      <c r="P2182" s="4">
        <v>17</v>
      </c>
      <c r="Q2182" t="s">
        <v>69</v>
      </c>
      <c r="R2182" s="2">
        <v>46183</v>
      </c>
      <c r="S2182" s="4">
        <v>20</v>
      </c>
      <c r="T2182" s="3">
        <v>279000000</v>
      </c>
      <c r="U2182" t="s">
        <v>196</v>
      </c>
      <c r="V2182" t="s">
        <v>70</v>
      </c>
      <c r="W2182" t="s">
        <v>675</v>
      </c>
      <c r="Y2182" t="s">
        <v>369</v>
      </c>
      <c r="Z2182" t="s">
        <v>3181</v>
      </c>
      <c r="AA2182" t="s">
        <v>109</v>
      </c>
      <c r="AB2182" t="s">
        <v>199</v>
      </c>
      <c r="AC2182" t="s">
        <v>109</v>
      </c>
    </row>
    <row r="2183" spans="1:29">
      <c r="A2183" t="s">
        <v>2600</v>
      </c>
      <c r="B2183" s="2">
        <v>46176</v>
      </c>
      <c r="C2183" t="s">
        <v>30</v>
      </c>
      <c r="D2183" t="s">
        <v>134</v>
      </c>
      <c r="E2183" t="s">
        <v>32</v>
      </c>
      <c r="F2183" t="s">
        <v>256</v>
      </c>
      <c r="G2183" t="s">
        <v>463</v>
      </c>
      <c r="H2183" t="s">
        <v>35</v>
      </c>
      <c r="I2183" t="s">
        <v>323</v>
      </c>
      <c r="J2183" t="s">
        <v>3052</v>
      </c>
      <c r="K2183" t="s">
        <v>37</v>
      </c>
      <c r="L2183" t="s">
        <v>55</v>
      </c>
      <c r="M2183" t="s">
        <v>81</v>
      </c>
      <c r="N2183" t="s">
        <v>40</v>
      </c>
      <c r="O2183" s="4">
        <v>2</v>
      </c>
      <c r="P2183" s="4">
        <v>5</v>
      </c>
      <c r="Q2183" t="s">
        <v>142</v>
      </c>
      <c r="R2183" s="2">
        <v>46175</v>
      </c>
      <c r="S2183" s="4">
        <v>28</v>
      </c>
      <c r="T2183" s="3">
        <v>114000000</v>
      </c>
      <c r="U2183" t="s">
        <v>42</v>
      </c>
      <c r="V2183" t="s">
        <v>43</v>
      </c>
      <c r="W2183" t="s">
        <v>298</v>
      </c>
      <c r="Y2183" t="s">
        <v>309</v>
      </c>
      <c r="Z2183" t="s">
        <v>3178</v>
      </c>
      <c r="AA2183" t="s">
        <v>46</v>
      </c>
      <c r="AB2183" t="s">
        <v>87</v>
      </c>
      <c r="AC2183" t="s">
        <v>46</v>
      </c>
    </row>
    <row r="2184" spans="1:29">
      <c r="A2184" t="s">
        <v>2601</v>
      </c>
      <c r="B2184" s="2">
        <v>46189</v>
      </c>
      <c r="C2184" t="s">
        <v>30</v>
      </c>
      <c r="D2184" t="s">
        <v>74</v>
      </c>
      <c r="E2184" t="s">
        <v>172</v>
      </c>
      <c r="F2184" t="s">
        <v>173</v>
      </c>
      <c r="G2184" t="s">
        <v>338</v>
      </c>
      <c r="H2184" t="s">
        <v>175</v>
      </c>
      <c r="I2184" t="s">
        <v>333</v>
      </c>
      <c r="J2184" t="s">
        <v>3054</v>
      </c>
      <c r="K2184" t="s">
        <v>37</v>
      </c>
      <c r="L2184" t="s">
        <v>187</v>
      </c>
      <c r="M2184" t="s">
        <v>129</v>
      </c>
      <c r="N2184" t="s">
        <v>40</v>
      </c>
      <c r="O2184" s="4">
        <v>2</v>
      </c>
      <c r="P2184" s="4">
        <v>8</v>
      </c>
      <c r="Q2184" t="s">
        <v>138</v>
      </c>
      <c r="R2184" s="2">
        <v>46179</v>
      </c>
      <c r="S2184" s="4">
        <v>24</v>
      </c>
      <c r="T2184" s="3">
        <v>133000000</v>
      </c>
      <c r="U2184" t="s">
        <v>42</v>
      </c>
      <c r="V2184" t="s">
        <v>43</v>
      </c>
      <c r="W2184" t="s">
        <v>44</v>
      </c>
      <c r="Y2184" t="s">
        <v>180</v>
      </c>
      <c r="Z2184" t="s">
        <v>3178</v>
      </c>
      <c r="AA2184" t="s">
        <v>181</v>
      </c>
      <c r="AB2184" t="s">
        <v>87</v>
      </c>
      <c r="AC2184" t="s">
        <v>181</v>
      </c>
    </row>
    <row r="2185" spans="1:29">
      <c r="A2185" t="s">
        <v>2602</v>
      </c>
      <c r="B2185" s="2">
        <v>46181</v>
      </c>
      <c r="C2185" t="s">
        <v>30</v>
      </c>
      <c r="D2185" t="s">
        <v>99</v>
      </c>
      <c r="E2185" t="s">
        <v>172</v>
      </c>
      <c r="F2185" t="s">
        <v>277</v>
      </c>
      <c r="G2185" t="s">
        <v>278</v>
      </c>
      <c r="H2185" t="s">
        <v>175</v>
      </c>
      <c r="I2185" t="s">
        <v>358</v>
      </c>
      <c r="J2185" t="s">
        <v>3062</v>
      </c>
      <c r="K2185" t="s">
        <v>105</v>
      </c>
      <c r="L2185" t="s">
        <v>187</v>
      </c>
      <c r="M2185" t="s">
        <v>106</v>
      </c>
      <c r="N2185" t="s">
        <v>57</v>
      </c>
      <c r="O2185" s="4">
        <v>3</v>
      </c>
      <c r="P2185" s="4">
        <v>6</v>
      </c>
      <c r="Q2185" t="s">
        <v>138</v>
      </c>
      <c r="R2185" s="2">
        <v>46178</v>
      </c>
      <c r="S2185" s="4">
        <v>25</v>
      </c>
      <c r="T2185" s="3">
        <v>156000000</v>
      </c>
      <c r="U2185" t="s">
        <v>42</v>
      </c>
      <c r="V2185" t="s">
        <v>43</v>
      </c>
      <c r="W2185" t="s">
        <v>157</v>
      </c>
      <c r="Y2185" t="s">
        <v>158</v>
      </c>
      <c r="Z2185" t="s">
        <v>3177</v>
      </c>
      <c r="AA2185" t="s">
        <v>181</v>
      </c>
      <c r="AB2185" t="s">
        <v>63</v>
      </c>
      <c r="AC2185" t="s">
        <v>181</v>
      </c>
    </row>
    <row r="2186" spans="1:29">
      <c r="A2186" t="s">
        <v>2603</v>
      </c>
      <c r="B2186" s="2">
        <v>46184</v>
      </c>
      <c r="C2186" t="s">
        <v>30</v>
      </c>
      <c r="D2186" t="s">
        <v>99</v>
      </c>
      <c r="E2186" t="s">
        <v>50</v>
      </c>
      <c r="F2186" t="s">
        <v>89</v>
      </c>
      <c r="G2186" t="s">
        <v>270</v>
      </c>
      <c r="H2186" t="s">
        <v>53</v>
      </c>
      <c r="I2186" t="s">
        <v>368</v>
      </c>
      <c r="J2186" t="s">
        <v>3064</v>
      </c>
      <c r="K2186" t="s">
        <v>56</v>
      </c>
      <c r="L2186" t="s">
        <v>169</v>
      </c>
      <c r="M2186" t="s">
        <v>39</v>
      </c>
      <c r="N2186" t="s">
        <v>57</v>
      </c>
      <c r="O2186" s="4">
        <v>3</v>
      </c>
      <c r="P2186" s="4">
        <v>5</v>
      </c>
      <c r="Q2186" t="s">
        <v>107</v>
      </c>
      <c r="R2186" s="2">
        <v>46182</v>
      </c>
      <c r="S2186" s="4">
        <v>21</v>
      </c>
      <c r="T2186" s="3">
        <v>467000000</v>
      </c>
      <c r="U2186" t="s">
        <v>177</v>
      </c>
      <c r="V2186" t="s">
        <v>59</v>
      </c>
      <c r="W2186" t="s">
        <v>71</v>
      </c>
      <c r="X2186" t="s">
        <v>422</v>
      </c>
      <c r="Y2186" t="s">
        <v>158</v>
      </c>
      <c r="Z2186" t="s">
        <v>3177</v>
      </c>
      <c r="AA2186" t="s">
        <v>62</v>
      </c>
      <c r="AB2186" t="s">
        <v>63</v>
      </c>
      <c r="AC2186" t="s">
        <v>62</v>
      </c>
    </row>
    <row r="2187" spans="1:29">
      <c r="A2187" t="s">
        <v>2604</v>
      </c>
      <c r="B2187" s="2">
        <v>46180</v>
      </c>
      <c r="C2187" t="s">
        <v>30</v>
      </c>
      <c r="D2187" t="s">
        <v>134</v>
      </c>
      <c r="E2187" t="s">
        <v>152</v>
      </c>
      <c r="F2187" t="s">
        <v>205</v>
      </c>
      <c r="G2187" t="s">
        <v>294</v>
      </c>
      <c r="H2187" t="s">
        <v>155</v>
      </c>
      <c r="I2187" t="s">
        <v>375</v>
      </c>
      <c r="J2187" t="s">
        <v>3067</v>
      </c>
      <c r="K2187" t="s">
        <v>56</v>
      </c>
      <c r="L2187" t="s">
        <v>80</v>
      </c>
      <c r="M2187" t="s">
        <v>81</v>
      </c>
      <c r="N2187" t="s">
        <v>130</v>
      </c>
      <c r="O2187" s="4">
        <v>5</v>
      </c>
      <c r="P2187" s="4">
        <v>10</v>
      </c>
      <c r="Q2187" t="s">
        <v>83</v>
      </c>
      <c r="R2187" s="2">
        <v>46170</v>
      </c>
      <c r="S2187" s="4">
        <v>33</v>
      </c>
      <c r="T2187" s="3">
        <v>473000000</v>
      </c>
      <c r="U2187" t="s">
        <v>42</v>
      </c>
      <c r="V2187" t="s">
        <v>143</v>
      </c>
      <c r="W2187" t="s">
        <v>144</v>
      </c>
      <c r="Y2187" t="s">
        <v>132</v>
      </c>
      <c r="Z2187" t="s">
        <v>3179</v>
      </c>
      <c r="AA2187" t="s">
        <v>159</v>
      </c>
      <c r="AB2187" t="s">
        <v>97</v>
      </c>
      <c r="AC2187" t="s">
        <v>159</v>
      </c>
    </row>
    <row r="2188" spans="1:29">
      <c r="A2188" t="s">
        <v>2605</v>
      </c>
      <c r="B2188" s="2">
        <v>46175</v>
      </c>
      <c r="C2188" t="s">
        <v>30</v>
      </c>
      <c r="D2188" t="s">
        <v>134</v>
      </c>
      <c r="E2188" t="s">
        <v>32</v>
      </c>
      <c r="F2188" t="s">
        <v>256</v>
      </c>
      <c r="G2188" t="s">
        <v>218</v>
      </c>
      <c r="H2188" t="s">
        <v>35</v>
      </c>
      <c r="I2188" t="s">
        <v>604</v>
      </c>
      <c r="J2188" t="s">
        <v>3130</v>
      </c>
      <c r="K2188" t="s">
        <v>92</v>
      </c>
      <c r="L2188" t="s">
        <v>55</v>
      </c>
      <c r="M2188" t="s">
        <v>164</v>
      </c>
      <c r="N2188" t="s">
        <v>82</v>
      </c>
      <c r="O2188" s="4">
        <v>1</v>
      </c>
      <c r="P2188" s="4">
        <v>5</v>
      </c>
      <c r="Q2188" t="s">
        <v>107</v>
      </c>
      <c r="R2188" s="2">
        <v>46173</v>
      </c>
      <c r="S2188" s="4">
        <v>30</v>
      </c>
      <c r="T2188" s="3">
        <v>200000000</v>
      </c>
      <c r="U2188" t="s">
        <v>42</v>
      </c>
      <c r="V2188" t="s">
        <v>43</v>
      </c>
      <c r="W2188" t="s">
        <v>84</v>
      </c>
      <c r="Y2188" t="s">
        <v>305</v>
      </c>
      <c r="Z2188" t="s">
        <v>3178</v>
      </c>
      <c r="AA2188" t="s">
        <v>46</v>
      </c>
      <c r="AB2188" t="s">
        <v>87</v>
      </c>
      <c r="AC2188" t="s">
        <v>46</v>
      </c>
    </row>
    <row r="2189" spans="1:29">
      <c r="A2189" t="s">
        <v>2606</v>
      </c>
      <c r="B2189" s="2">
        <v>46179</v>
      </c>
      <c r="C2189" t="s">
        <v>30</v>
      </c>
      <c r="D2189" t="s">
        <v>134</v>
      </c>
      <c r="E2189" t="s">
        <v>100</v>
      </c>
      <c r="F2189" t="s">
        <v>101</v>
      </c>
      <c r="G2189" t="s">
        <v>237</v>
      </c>
      <c r="H2189" t="s">
        <v>148</v>
      </c>
      <c r="I2189" t="s">
        <v>315</v>
      </c>
      <c r="J2189" t="s">
        <v>3049</v>
      </c>
      <c r="K2189" t="s">
        <v>92</v>
      </c>
      <c r="L2189" t="s">
        <v>68</v>
      </c>
      <c r="M2189" t="s">
        <v>129</v>
      </c>
      <c r="N2189" t="s">
        <v>213</v>
      </c>
      <c r="O2189" s="4">
        <v>6</v>
      </c>
      <c r="P2189" s="4">
        <v>14</v>
      </c>
      <c r="Q2189" t="s">
        <v>138</v>
      </c>
      <c r="R2189" s="2">
        <v>46174</v>
      </c>
      <c r="S2189" s="4">
        <v>29</v>
      </c>
      <c r="T2189" s="3">
        <v>177000000</v>
      </c>
      <c r="U2189" t="s">
        <v>42</v>
      </c>
      <c r="V2189" t="s">
        <v>70</v>
      </c>
      <c r="W2189" t="s">
        <v>390</v>
      </c>
      <c r="Y2189" t="s">
        <v>216</v>
      </c>
      <c r="Z2189" t="s">
        <v>3179</v>
      </c>
      <c r="AA2189" t="s">
        <v>109</v>
      </c>
      <c r="AB2189" t="s">
        <v>97</v>
      </c>
      <c r="AC2189" t="s">
        <v>109</v>
      </c>
    </row>
    <row r="2190" spans="1:29">
      <c r="A2190" t="s">
        <v>2607</v>
      </c>
      <c r="B2190" s="2">
        <v>46176</v>
      </c>
      <c r="C2190" t="s">
        <v>30</v>
      </c>
      <c r="D2190" t="s">
        <v>134</v>
      </c>
      <c r="E2190" t="s">
        <v>50</v>
      </c>
      <c r="F2190" t="s">
        <v>351</v>
      </c>
      <c r="G2190" t="s">
        <v>234</v>
      </c>
      <c r="H2190" t="s">
        <v>53</v>
      </c>
      <c r="I2190" t="s">
        <v>373</v>
      </c>
      <c r="J2190" t="s">
        <v>3066</v>
      </c>
      <c r="K2190" t="s">
        <v>56</v>
      </c>
      <c r="L2190" t="s">
        <v>187</v>
      </c>
      <c r="M2190" t="s">
        <v>93</v>
      </c>
      <c r="N2190" t="s">
        <v>196</v>
      </c>
      <c r="O2190" s="4">
        <v>7</v>
      </c>
      <c r="P2190" s="4">
        <v>11</v>
      </c>
      <c r="Q2190" t="s">
        <v>69</v>
      </c>
      <c r="R2190" s="2">
        <v>46167</v>
      </c>
      <c r="S2190" s="4">
        <v>36</v>
      </c>
      <c r="T2190" s="3">
        <v>293000000</v>
      </c>
      <c r="U2190" t="s">
        <v>564</v>
      </c>
      <c r="V2190" t="s">
        <v>70</v>
      </c>
      <c r="W2190" t="s">
        <v>675</v>
      </c>
      <c r="Y2190" t="s">
        <v>198</v>
      </c>
      <c r="Z2190" t="s">
        <v>3181</v>
      </c>
      <c r="AA2190" t="s">
        <v>62</v>
      </c>
      <c r="AB2190" t="s">
        <v>199</v>
      </c>
      <c r="AC2190" t="s">
        <v>62</v>
      </c>
    </row>
    <row r="2191" spans="1:29">
      <c r="A2191" t="s">
        <v>2608</v>
      </c>
      <c r="B2191" s="2">
        <v>46198</v>
      </c>
      <c r="C2191" t="s">
        <v>30</v>
      </c>
      <c r="D2191" t="s">
        <v>49</v>
      </c>
      <c r="E2191" t="s">
        <v>32</v>
      </c>
      <c r="F2191" t="s">
        <v>273</v>
      </c>
      <c r="G2191" t="s">
        <v>218</v>
      </c>
      <c r="H2191" t="s">
        <v>258</v>
      </c>
      <c r="I2191" t="s">
        <v>1756</v>
      </c>
      <c r="J2191" t="s">
        <v>3175</v>
      </c>
      <c r="K2191" t="s">
        <v>105</v>
      </c>
      <c r="L2191" t="s">
        <v>150</v>
      </c>
      <c r="M2191" t="s">
        <v>81</v>
      </c>
      <c r="N2191" t="s">
        <v>94</v>
      </c>
      <c r="O2191" s="4">
        <v>4</v>
      </c>
      <c r="P2191" s="4">
        <v>3</v>
      </c>
      <c r="Q2191" t="s">
        <v>58</v>
      </c>
      <c r="R2191" s="2">
        <v>46190</v>
      </c>
      <c r="S2191" s="4">
        <v>13</v>
      </c>
      <c r="T2191" s="3">
        <v>295000000</v>
      </c>
      <c r="U2191" t="s">
        <v>426</v>
      </c>
      <c r="V2191" t="s">
        <v>59</v>
      </c>
      <c r="W2191" t="s">
        <v>188</v>
      </c>
      <c r="X2191" t="s">
        <v>422</v>
      </c>
      <c r="Y2191" t="s">
        <v>268</v>
      </c>
      <c r="Z2191" t="s">
        <v>3179</v>
      </c>
      <c r="AA2191" t="s">
        <v>46</v>
      </c>
      <c r="AB2191" t="s">
        <v>97</v>
      </c>
      <c r="AC2191" t="s">
        <v>46</v>
      </c>
    </row>
    <row r="2192" spans="1:29">
      <c r="A2192" t="s">
        <v>2609</v>
      </c>
      <c r="B2192" s="2">
        <v>46188</v>
      </c>
      <c r="C2192" t="s">
        <v>30</v>
      </c>
      <c r="D2192" t="s">
        <v>74</v>
      </c>
      <c r="E2192" t="s">
        <v>120</v>
      </c>
      <c r="F2192" t="s">
        <v>167</v>
      </c>
      <c r="G2192" t="s">
        <v>227</v>
      </c>
      <c r="H2192" t="s">
        <v>136</v>
      </c>
      <c r="I2192" t="s">
        <v>168</v>
      </c>
      <c r="J2192" t="s">
        <v>3022</v>
      </c>
      <c r="K2192" t="s">
        <v>37</v>
      </c>
      <c r="L2192" t="s">
        <v>55</v>
      </c>
      <c r="M2192" t="s">
        <v>164</v>
      </c>
      <c r="N2192" t="s">
        <v>213</v>
      </c>
      <c r="O2192" s="4">
        <v>6</v>
      </c>
      <c r="P2192" s="4">
        <v>13</v>
      </c>
      <c r="Q2192" t="s">
        <v>142</v>
      </c>
      <c r="R2192" s="2">
        <v>46179</v>
      </c>
      <c r="S2192" s="4">
        <v>24</v>
      </c>
      <c r="T2192" s="3">
        <v>169000000</v>
      </c>
      <c r="U2192" t="s">
        <v>214</v>
      </c>
      <c r="V2192" t="s">
        <v>70</v>
      </c>
      <c r="W2192" t="s">
        <v>438</v>
      </c>
      <c r="Y2192" t="s">
        <v>432</v>
      </c>
      <c r="Z2192" t="s">
        <v>3179</v>
      </c>
      <c r="AA2192" t="s">
        <v>97</v>
      </c>
      <c r="AB2192" t="s">
        <v>97</v>
      </c>
      <c r="AC2192" t="s">
        <v>97</v>
      </c>
    </row>
    <row r="2193" spans="1:29">
      <c r="A2193" t="s">
        <v>2610</v>
      </c>
      <c r="B2193" s="2">
        <v>46175</v>
      </c>
      <c r="C2193" t="s">
        <v>30</v>
      </c>
      <c r="D2193" t="s">
        <v>134</v>
      </c>
      <c r="E2193" t="s">
        <v>32</v>
      </c>
      <c r="F2193" t="s">
        <v>33</v>
      </c>
      <c r="G2193" t="s">
        <v>463</v>
      </c>
      <c r="H2193" t="s">
        <v>35</v>
      </c>
      <c r="I2193" t="s">
        <v>36</v>
      </c>
      <c r="J2193" t="s">
        <v>3008</v>
      </c>
      <c r="K2193" t="s">
        <v>105</v>
      </c>
      <c r="L2193" t="s">
        <v>80</v>
      </c>
      <c r="M2193" t="s">
        <v>164</v>
      </c>
      <c r="N2193" t="s">
        <v>82</v>
      </c>
      <c r="O2193" s="4">
        <v>1</v>
      </c>
      <c r="P2193" s="4">
        <v>4</v>
      </c>
      <c r="Q2193" t="s">
        <v>107</v>
      </c>
      <c r="R2193" s="2">
        <v>46171</v>
      </c>
      <c r="S2193" s="4">
        <v>32</v>
      </c>
      <c r="T2193" s="3">
        <v>54000000</v>
      </c>
      <c r="U2193" t="s">
        <v>42</v>
      </c>
      <c r="V2193" t="s">
        <v>43</v>
      </c>
      <c r="W2193" t="s">
        <v>404</v>
      </c>
      <c r="Y2193" t="s">
        <v>305</v>
      </c>
      <c r="Z2193" t="s">
        <v>3176</v>
      </c>
      <c r="AA2193" t="s">
        <v>46</v>
      </c>
      <c r="AB2193" t="s">
        <v>47</v>
      </c>
      <c r="AC2193" t="s">
        <v>46</v>
      </c>
    </row>
    <row r="2194" spans="1:29">
      <c r="A2194" t="s">
        <v>2611</v>
      </c>
      <c r="B2194" s="2">
        <v>46184</v>
      </c>
      <c r="C2194" t="s">
        <v>30</v>
      </c>
      <c r="D2194" t="s">
        <v>99</v>
      </c>
      <c r="E2194" t="s">
        <v>32</v>
      </c>
      <c r="F2194" t="s">
        <v>256</v>
      </c>
      <c r="G2194" t="s">
        <v>257</v>
      </c>
      <c r="H2194" t="s">
        <v>35</v>
      </c>
      <c r="I2194" t="s">
        <v>595</v>
      </c>
      <c r="J2194" t="s">
        <v>3128</v>
      </c>
      <c r="K2194" t="s">
        <v>37</v>
      </c>
      <c r="L2194" t="s">
        <v>187</v>
      </c>
      <c r="M2194" t="s">
        <v>81</v>
      </c>
      <c r="N2194" t="s">
        <v>57</v>
      </c>
      <c r="O2194" s="4">
        <v>3</v>
      </c>
      <c r="P2194" s="4">
        <v>1</v>
      </c>
      <c r="Q2194" t="s">
        <v>107</v>
      </c>
      <c r="R2194" s="2">
        <v>46182</v>
      </c>
      <c r="S2194" s="4">
        <v>21</v>
      </c>
      <c r="T2194" s="3">
        <v>126000000</v>
      </c>
      <c r="U2194" t="s">
        <v>42</v>
      </c>
      <c r="V2194" t="s">
        <v>59</v>
      </c>
      <c r="W2194" t="s">
        <v>157</v>
      </c>
      <c r="Y2194" t="s">
        <v>61</v>
      </c>
      <c r="Z2194" t="s">
        <v>3177</v>
      </c>
      <c r="AA2194" t="s">
        <v>46</v>
      </c>
      <c r="AB2194" t="s">
        <v>63</v>
      </c>
      <c r="AC2194" t="s">
        <v>46</v>
      </c>
    </row>
    <row r="2195" spans="1:29">
      <c r="A2195" t="s">
        <v>2612</v>
      </c>
      <c r="B2195" s="2">
        <v>46176</v>
      </c>
      <c r="C2195" t="s">
        <v>30</v>
      </c>
      <c r="D2195" t="s">
        <v>134</v>
      </c>
      <c r="E2195" t="s">
        <v>120</v>
      </c>
      <c r="F2195" t="s">
        <v>167</v>
      </c>
      <c r="G2195" t="s">
        <v>227</v>
      </c>
      <c r="H2195" t="s">
        <v>123</v>
      </c>
      <c r="I2195" t="s">
        <v>124</v>
      </c>
      <c r="J2195" t="s">
        <v>3015</v>
      </c>
      <c r="K2195" t="s">
        <v>56</v>
      </c>
      <c r="L2195" t="s">
        <v>169</v>
      </c>
      <c r="M2195" t="s">
        <v>93</v>
      </c>
      <c r="N2195" t="s">
        <v>94</v>
      </c>
      <c r="O2195" s="4">
        <v>4</v>
      </c>
      <c r="P2195" s="4">
        <v>6</v>
      </c>
      <c r="Q2195" t="s">
        <v>138</v>
      </c>
      <c r="R2195" s="2">
        <v>46171</v>
      </c>
      <c r="S2195" s="4">
        <v>32</v>
      </c>
      <c r="T2195" s="3">
        <v>431000000</v>
      </c>
      <c r="U2195" t="s">
        <v>426</v>
      </c>
      <c r="V2195" t="s">
        <v>59</v>
      </c>
      <c r="W2195" t="s">
        <v>170</v>
      </c>
      <c r="X2195" t="s">
        <v>520</v>
      </c>
      <c r="Y2195" t="s">
        <v>268</v>
      </c>
      <c r="Z2195" t="s">
        <v>3179</v>
      </c>
      <c r="AA2195" t="s">
        <v>97</v>
      </c>
      <c r="AB2195" t="s">
        <v>97</v>
      </c>
      <c r="AC2195" t="s">
        <v>97</v>
      </c>
    </row>
    <row r="2196" spans="1:29">
      <c r="A2196" t="s">
        <v>2613</v>
      </c>
      <c r="B2196" s="2">
        <v>46185</v>
      </c>
      <c r="C2196" t="s">
        <v>30</v>
      </c>
      <c r="D2196" t="s">
        <v>99</v>
      </c>
      <c r="E2196" t="s">
        <v>50</v>
      </c>
      <c r="F2196" t="s">
        <v>89</v>
      </c>
      <c r="G2196" t="s">
        <v>234</v>
      </c>
      <c r="H2196" t="s">
        <v>53</v>
      </c>
      <c r="I2196" t="s">
        <v>787</v>
      </c>
      <c r="J2196" t="s">
        <v>3154</v>
      </c>
      <c r="K2196" t="s">
        <v>37</v>
      </c>
      <c r="L2196" t="s">
        <v>169</v>
      </c>
      <c r="M2196" t="s">
        <v>56</v>
      </c>
      <c r="N2196" t="s">
        <v>94</v>
      </c>
      <c r="O2196" s="4">
        <v>4</v>
      </c>
      <c r="P2196" s="4">
        <v>11</v>
      </c>
      <c r="Q2196" t="s">
        <v>69</v>
      </c>
      <c r="R2196" s="2">
        <v>46175</v>
      </c>
      <c r="S2196" s="4">
        <v>28</v>
      </c>
      <c r="T2196" s="3">
        <v>223000000</v>
      </c>
      <c r="U2196" t="s">
        <v>42</v>
      </c>
      <c r="V2196" t="s">
        <v>59</v>
      </c>
      <c r="W2196" t="s">
        <v>267</v>
      </c>
      <c r="Y2196" t="s">
        <v>268</v>
      </c>
      <c r="Z2196" t="s">
        <v>3179</v>
      </c>
      <c r="AA2196" t="s">
        <v>62</v>
      </c>
      <c r="AB2196" t="s">
        <v>97</v>
      </c>
      <c r="AC2196" t="s">
        <v>62</v>
      </c>
    </row>
    <row r="2197" spans="1:29">
      <c r="A2197" t="s">
        <v>2614</v>
      </c>
      <c r="B2197" s="2">
        <v>46201</v>
      </c>
      <c r="C2197" t="s">
        <v>30</v>
      </c>
      <c r="D2197" t="s">
        <v>49</v>
      </c>
      <c r="E2197" t="s">
        <v>100</v>
      </c>
      <c r="F2197" t="s">
        <v>140</v>
      </c>
      <c r="G2197" t="s">
        <v>212</v>
      </c>
      <c r="H2197" t="s">
        <v>201</v>
      </c>
      <c r="I2197" t="s">
        <v>416</v>
      </c>
      <c r="J2197" t="s">
        <v>3078</v>
      </c>
      <c r="K2197" t="s">
        <v>37</v>
      </c>
      <c r="L2197" t="s">
        <v>80</v>
      </c>
      <c r="M2197" t="s">
        <v>81</v>
      </c>
      <c r="N2197" t="s">
        <v>94</v>
      </c>
      <c r="O2197" s="4">
        <v>4</v>
      </c>
      <c r="P2197" s="4">
        <v>17</v>
      </c>
      <c r="Q2197" t="s">
        <v>41</v>
      </c>
      <c r="R2197" s="2">
        <v>46201</v>
      </c>
      <c r="S2197" s="4">
        <v>2</v>
      </c>
      <c r="T2197" s="3">
        <v>80000000</v>
      </c>
      <c r="U2197" t="s">
        <v>42</v>
      </c>
      <c r="V2197" t="s">
        <v>59</v>
      </c>
      <c r="W2197" t="s">
        <v>95</v>
      </c>
      <c r="X2197" t="s">
        <v>117</v>
      </c>
      <c r="Y2197" t="s">
        <v>268</v>
      </c>
      <c r="Z2197" t="s">
        <v>3179</v>
      </c>
      <c r="AA2197" t="s">
        <v>109</v>
      </c>
      <c r="AB2197" t="s">
        <v>97</v>
      </c>
      <c r="AC2197" t="s">
        <v>109</v>
      </c>
    </row>
    <row r="2198" spans="1:29">
      <c r="A2198" t="s">
        <v>2615</v>
      </c>
      <c r="B2198" s="2">
        <v>46183</v>
      </c>
      <c r="C2198" t="s">
        <v>30</v>
      </c>
      <c r="D2198" t="s">
        <v>99</v>
      </c>
      <c r="E2198" t="s">
        <v>32</v>
      </c>
      <c r="F2198" t="s">
        <v>33</v>
      </c>
      <c r="G2198" t="s">
        <v>361</v>
      </c>
      <c r="H2198" t="s">
        <v>258</v>
      </c>
      <c r="I2198" t="s">
        <v>259</v>
      </c>
      <c r="J2198" t="s">
        <v>3036</v>
      </c>
      <c r="K2198" t="s">
        <v>105</v>
      </c>
      <c r="L2198" t="s">
        <v>187</v>
      </c>
      <c r="M2198" t="s">
        <v>39</v>
      </c>
      <c r="N2198" t="s">
        <v>82</v>
      </c>
      <c r="O2198" s="4">
        <v>1</v>
      </c>
      <c r="P2198" s="4">
        <v>5</v>
      </c>
      <c r="Q2198" t="s">
        <v>142</v>
      </c>
      <c r="R2198" s="2">
        <v>46178</v>
      </c>
      <c r="S2198" s="4">
        <v>25</v>
      </c>
      <c r="T2198" s="3">
        <v>140000000</v>
      </c>
      <c r="U2198" t="s">
        <v>42</v>
      </c>
      <c r="V2198" t="s">
        <v>43</v>
      </c>
      <c r="W2198" t="s">
        <v>290</v>
      </c>
      <c r="Y2198" t="s">
        <v>85</v>
      </c>
      <c r="Z2198" t="s">
        <v>3178</v>
      </c>
      <c r="AA2198" t="s">
        <v>46</v>
      </c>
      <c r="AB2198" t="s">
        <v>87</v>
      </c>
      <c r="AC2198" t="s">
        <v>46</v>
      </c>
    </row>
    <row r="2199" spans="1:29">
      <c r="A2199" t="s">
        <v>2616</v>
      </c>
      <c r="B2199" s="2">
        <v>46183</v>
      </c>
      <c r="C2199" t="s">
        <v>30</v>
      </c>
      <c r="D2199" t="s">
        <v>99</v>
      </c>
      <c r="E2199" t="s">
        <v>100</v>
      </c>
      <c r="F2199" t="s">
        <v>101</v>
      </c>
      <c r="G2199" t="s">
        <v>102</v>
      </c>
      <c r="H2199" t="s">
        <v>148</v>
      </c>
      <c r="I2199" t="s">
        <v>724</v>
      </c>
      <c r="J2199" t="s">
        <v>3148</v>
      </c>
      <c r="K2199" t="s">
        <v>105</v>
      </c>
      <c r="L2199" t="s">
        <v>38</v>
      </c>
      <c r="M2199" t="s">
        <v>39</v>
      </c>
      <c r="N2199" t="s">
        <v>94</v>
      </c>
      <c r="O2199" s="4">
        <v>4</v>
      </c>
      <c r="P2199" s="4">
        <v>13</v>
      </c>
      <c r="Q2199" t="s">
        <v>69</v>
      </c>
      <c r="R2199" s="2">
        <v>46182</v>
      </c>
      <c r="S2199" s="4">
        <v>21</v>
      </c>
      <c r="T2199" s="3">
        <v>172000000</v>
      </c>
      <c r="U2199" t="s">
        <v>42</v>
      </c>
      <c r="V2199" t="s">
        <v>143</v>
      </c>
      <c r="W2199" t="s">
        <v>95</v>
      </c>
      <c r="Y2199" t="s">
        <v>228</v>
      </c>
      <c r="Z2199" t="s">
        <v>3179</v>
      </c>
      <c r="AA2199" t="s">
        <v>109</v>
      </c>
      <c r="AB2199" t="s">
        <v>97</v>
      </c>
      <c r="AC2199" t="s">
        <v>109</v>
      </c>
    </row>
    <row r="2200" spans="1:29">
      <c r="A2200" t="s">
        <v>2617</v>
      </c>
      <c r="B2200" s="2">
        <v>46177</v>
      </c>
      <c r="C2200" t="s">
        <v>30</v>
      </c>
      <c r="D2200" t="s">
        <v>134</v>
      </c>
      <c r="E2200" t="s">
        <v>111</v>
      </c>
      <c r="F2200" t="s">
        <v>190</v>
      </c>
      <c r="G2200" t="s">
        <v>126</v>
      </c>
      <c r="H2200" t="s">
        <v>127</v>
      </c>
      <c r="I2200" t="s">
        <v>349</v>
      </c>
      <c r="J2200" t="s">
        <v>3059</v>
      </c>
      <c r="K2200" t="s">
        <v>56</v>
      </c>
      <c r="L2200" t="s">
        <v>38</v>
      </c>
      <c r="M2200" t="s">
        <v>81</v>
      </c>
      <c r="N2200" t="s">
        <v>57</v>
      </c>
      <c r="O2200" s="4">
        <v>3</v>
      </c>
      <c r="P2200" s="4">
        <v>12</v>
      </c>
      <c r="Q2200" t="s">
        <v>107</v>
      </c>
      <c r="R2200" s="2">
        <v>46175</v>
      </c>
      <c r="S2200" s="4">
        <v>28</v>
      </c>
      <c r="T2200" s="3">
        <v>398000000</v>
      </c>
      <c r="U2200" t="s">
        <v>42</v>
      </c>
      <c r="V2200" t="s">
        <v>59</v>
      </c>
      <c r="W2200" t="s">
        <v>157</v>
      </c>
      <c r="Y2200" t="s">
        <v>61</v>
      </c>
      <c r="Z2200" t="s">
        <v>3180</v>
      </c>
      <c r="AA2200" t="s">
        <v>118</v>
      </c>
      <c r="AB2200" t="s">
        <v>193</v>
      </c>
      <c r="AC2200" t="s">
        <v>118</v>
      </c>
    </row>
    <row r="2201" spans="1:29">
      <c r="A2201" t="s">
        <v>2618</v>
      </c>
      <c r="B2201" s="2">
        <v>46177</v>
      </c>
      <c r="C2201" t="s">
        <v>30</v>
      </c>
      <c r="D2201" t="s">
        <v>134</v>
      </c>
      <c r="E2201" t="s">
        <v>152</v>
      </c>
      <c r="F2201" t="s">
        <v>205</v>
      </c>
      <c r="G2201" t="s">
        <v>154</v>
      </c>
      <c r="H2201" t="s">
        <v>207</v>
      </c>
      <c r="I2201" t="s">
        <v>222</v>
      </c>
      <c r="J2201" t="s">
        <v>3029</v>
      </c>
      <c r="K2201" t="s">
        <v>92</v>
      </c>
      <c r="L2201" t="s">
        <v>55</v>
      </c>
      <c r="M2201" t="s">
        <v>81</v>
      </c>
      <c r="N2201" t="s">
        <v>57</v>
      </c>
      <c r="O2201" s="4">
        <v>3</v>
      </c>
      <c r="P2201" s="4">
        <v>12</v>
      </c>
      <c r="Q2201" t="s">
        <v>142</v>
      </c>
      <c r="R2201" s="2">
        <v>46172</v>
      </c>
      <c r="S2201" s="4">
        <v>31</v>
      </c>
      <c r="T2201" s="3">
        <v>113000000</v>
      </c>
      <c r="U2201" t="s">
        <v>42</v>
      </c>
      <c r="V2201" t="s">
        <v>59</v>
      </c>
      <c r="W2201" t="s">
        <v>157</v>
      </c>
      <c r="Y2201" t="s">
        <v>165</v>
      </c>
      <c r="Z2201" t="s">
        <v>3180</v>
      </c>
      <c r="AA2201" t="s">
        <v>159</v>
      </c>
      <c r="AB2201" t="s">
        <v>193</v>
      </c>
      <c r="AC2201" t="s">
        <v>159</v>
      </c>
    </row>
    <row r="2202" spans="1:29">
      <c r="A2202" t="s">
        <v>2619</v>
      </c>
      <c r="B2202" s="2">
        <v>46186</v>
      </c>
      <c r="C2202" t="s">
        <v>30</v>
      </c>
      <c r="D2202" t="s">
        <v>99</v>
      </c>
      <c r="E2202" t="s">
        <v>172</v>
      </c>
      <c r="F2202" t="s">
        <v>173</v>
      </c>
      <c r="G2202" t="s">
        <v>289</v>
      </c>
      <c r="H2202" t="s">
        <v>175</v>
      </c>
      <c r="I2202" t="s">
        <v>358</v>
      </c>
      <c r="J2202" t="s">
        <v>3062</v>
      </c>
      <c r="K2202" t="s">
        <v>105</v>
      </c>
      <c r="L2202" t="s">
        <v>169</v>
      </c>
      <c r="M2202" t="s">
        <v>81</v>
      </c>
      <c r="N2202" t="s">
        <v>196</v>
      </c>
      <c r="O2202" s="4">
        <v>7</v>
      </c>
      <c r="P2202" s="4">
        <v>8</v>
      </c>
      <c r="Q2202" t="s">
        <v>83</v>
      </c>
      <c r="R2202" s="2">
        <v>46177</v>
      </c>
      <c r="S2202" s="4">
        <v>26</v>
      </c>
      <c r="T2202" s="3">
        <v>347000000</v>
      </c>
      <c r="U2202" t="s">
        <v>196</v>
      </c>
      <c r="V2202" t="s">
        <v>70</v>
      </c>
      <c r="W2202" t="s">
        <v>243</v>
      </c>
      <c r="Y2202" t="s">
        <v>198</v>
      </c>
      <c r="Z2202" t="s">
        <v>3181</v>
      </c>
      <c r="AA2202" t="s">
        <v>181</v>
      </c>
      <c r="AB2202" t="s">
        <v>199</v>
      </c>
      <c r="AC2202" t="s">
        <v>181</v>
      </c>
    </row>
    <row r="2203" spans="1:29">
      <c r="A2203" t="s">
        <v>2620</v>
      </c>
      <c r="B2203" s="2">
        <v>46197</v>
      </c>
      <c r="C2203" t="s">
        <v>30</v>
      </c>
      <c r="D2203" t="s">
        <v>49</v>
      </c>
      <c r="E2203" t="s">
        <v>75</v>
      </c>
      <c r="F2203" t="s">
        <v>183</v>
      </c>
      <c r="G2203" t="s">
        <v>230</v>
      </c>
      <c r="H2203" t="s">
        <v>78</v>
      </c>
      <c r="I2203" t="s">
        <v>163</v>
      </c>
      <c r="J2203" t="s">
        <v>3021</v>
      </c>
      <c r="K2203" t="s">
        <v>56</v>
      </c>
      <c r="L2203" t="s">
        <v>55</v>
      </c>
      <c r="M2203" t="s">
        <v>106</v>
      </c>
      <c r="N2203" t="s">
        <v>94</v>
      </c>
      <c r="O2203" s="4">
        <v>4</v>
      </c>
      <c r="P2203" s="4">
        <v>6</v>
      </c>
      <c r="Q2203" t="s">
        <v>83</v>
      </c>
      <c r="R2203" s="2">
        <v>46193</v>
      </c>
      <c r="S2203" s="4">
        <v>10</v>
      </c>
      <c r="T2203" s="3">
        <v>398000000</v>
      </c>
      <c r="U2203" t="s">
        <v>42</v>
      </c>
      <c r="V2203" t="s">
        <v>59</v>
      </c>
      <c r="W2203" t="s">
        <v>267</v>
      </c>
      <c r="Y2203" t="s">
        <v>96</v>
      </c>
      <c r="Z2203" t="s">
        <v>3179</v>
      </c>
      <c r="AA2203" t="s">
        <v>86</v>
      </c>
      <c r="AB2203" t="s">
        <v>97</v>
      </c>
      <c r="AC2203" t="s">
        <v>86</v>
      </c>
    </row>
    <row r="2204" spans="1:29">
      <c r="A2204" t="s">
        <v>2621</v>
      </c>
      <c r="B2204" s="2">
        <v>46182</v>
      </c>
      <c r="C2204" t="s">
        <v>30</v>
      </c>
      <c r="D2204" t="s">
        <v>99</v>
      </c>
      <c r="E2204" t="s">
        <v>32</v>
      </c>
      <c r="F2204" t="s">
        <v>256</v>
      </c>
      <c r="G2204" t="s">
        <v>361</v>
      </c>
      <c r="H2204" t="s">
        <v>35</v>
      </c>
      <c r="I2204" t="s">
        <v>320</v>
      </c>
      <c r="J2204" t="s">
        <v>3051</v>
      </c>
      <c r="K2204" t="s">
        <v>37</v>
      </c>
      <c r="L2204" t="s">
        <v>38</v>
      </c>
      <c r="M2204" t="s">
        <v>56</v>
      </c>
      <c r="N2204" t="s">
        <v>82</v>
      </c>
      <c r="O2204" s="4">
        <v>1</v>
      </c>
      <c r="P2204" s="4">
        <v>10</v>
      </c>
      <c r="Q2204" t="s">
        <v>83</v>
      </c>
      <c r="R2204" s="2">
        <v>46181</v>
      </c>
      <c r="S2204" s="4">
        <v>22</v>
      </c>
      <c r="T2204" s="3">
        <v>86000000</v>
      </c>
      <c r="U2204" t="s">
        <v>42</v>
      </c>
      <c r="V2204" t="s">
        <v>43</v>
      </c>
      <c r="W2204" t="s">
        <v>84</v>
      </c>
      <c r="Y2204" t="s">
        <v>305</v>
      </c>
      <c r="Z2204" t="s">
        <v>3178</v>
      </c>
      <c r="AA2204" t="s">
        <v>46</v>
      </c>
      <c r="AB2204" t="s">
        <v>87</v>
      </c>
      <c r="AC2204" t="s">
        <v>46</v>
      </c>
    </row>
    <row r="2205" spans="1:29">
      <c r="A2205" t="s">
        <v>2622</v>
      </c>
      <c r="B2205" s="2">
        <v>46183</v>
      </c>
      <c r="C2205" t="s">
        <v>30</v>
      </c>
      <c r="D2205" t="s">
        <v>99</v>
      </c>
      <c r="E2205" t="s">
        <v>172</v>
      </c>
      <c r="F2205" t="s">
        <v>195</v>
      </c>
      <c r="G2205" t="s">
        <v>476</v>
      </c>
      <c r="H2205" t="s">
        <v>241</v>
      </c>
      <c r="I2205" t="s">
        <v>242</v>
      </c>
      <c r="J2205" t="s">
        <v>3034</v>
      </c>
      <c r="K2205" t="s">
        <v>37</v>
      </c>
      <c r="L2205" t="s">
        <v>80</v>
      </c>
      <c r="M2205" t="s">
        <v>93</v>
      </c>
      <c r="N2205" t="s">
        <v>40</v>
      </c>
      <c r="O2205" s="4">
        <v>2</v>
      </c>
      <c r="P2205" s="4">
        <v>7</v>
      </c>
      <c r="Q2205" t="s">
        <v>107</v>
      </c>
      <c r="R2205" s="2">
        <v>46175</v>
      </c>
      <c r="S2205" s="4">
        <v>28</v>
      </c>
      <c r="T2205" s="3">
        <v>259000000</v>
      </c>
      <c r="U2205" t="s">
        <v>42</v>
      </c>
      <c r="V2205" t="s">
        <v>43</v>
      </c>
      <c r="W2205" t="s">
        <v>239</v>
      </c>
      <c r="Y2205" t="s">
        <v>45</v>
      </c>
      <c r="Z2205" t="s">
        <v>3178</v>
      </c>
      <c r="AA2205" t="s">
        <v>181</v>
      </c>
      <c r="AB2205" t="s">
        <v>87</v>
      </c>
      <c r="AC2205" t="s">
        <v>181</v>
      </c>
    </row>
    <row r="2206" spans="1:29">
      <c r="A2206" t="s">
        <v>2623</v>
      </c>
      <c r="B2206" s="2">
        <v>46174</v>
      </c>
      <c r="C2206" t="s">
        <v>30</v>
      </c>
      <c r="D2206" t="s">
        <v>134</v>
      </c>
      <c r="E2206" t="s">
        <v>120</v>
      </c>
      <c r="F2206" t="s">
        <v>121</v>
      </c>
      <c r="G2206" t="s">
        <v>227</v>
      </c>
      <c r="H2206" t="s">
        <v>123</v>
      </c>
      <c r="I2206" t="s">
        <v>519</v>
      </c>
      <c r="J2206" t="s">
        <v>3109</v>
      </c>
      <c r="K2206" t="s">
        <v>105</v>
      </c>
      <c r="L2206" t="s">
        <v>38</v>
      </c>
      <c r="M2206" t="s">
        <v>106</v>
      </c>
      <c r="N2206" t="s">
        <v>196</v>
      </c>
      <c r="O2206" s="4">
        <v>7</v>
      </c>
      <c r="P2206" s="4">
        <v>10</v>
      </c>
      <c r="Q2206" t="s">
        <v>41</v>
      </c>
      <c r="R2206" s="2">
        <v>46164</v>
      </c>
      <c r="S2206" s="4">
        <v>39</v>
      </c>
      <c r="T2206" s="3">
        <v>159000000</v>
      </c>
      <c r="U2206" t="s">
        <v>196</v>
      </c>
      <c r="V2206" t="s">
        <v>70</v>
      </c>
      <c r="W2206" t="s">
        <v>675</v>
      </c>
      <c r="Y2206" t="s">
        <v>244</v>
      </c>
      <c r="Z2206" t="s">
        <v>3181</v>
      </c>
      <c r="AA2206" t="s">
        <v>97</v>
      </c>
      <c r="AB2206" t="s">
        <v>199</v>
      </c>
      <c r="AC2206" t="s">
        <v>97</v>
      </c>
    </row>
    <row r="2207" spans="1:29">
      <c r="A2207" t="s">
        <v>2624</v>
      </c>
      <c r="B2207" s="2">
        <v>46182</v>
      </c>
      <c r="C2207" t="s">
        <v>30</v>
      </c>
      <c r="D2207" t="s">
        <v>99</v>
      </c>
      <c r="E2207" t="s">
        <v>100</v>
      </c>
      <c r="F2207" t="s">
        <v>101</v>
      </c>
      <c r="G2207" t="s">
        <v>313</v>
      </c>
      <c r="H2207" t="s">
        <v>148</v>
      </c>
      <c r="I2207" t="s">
        <v>851</v>
      </c>
      <c r="J2207" t="s">
        <v>3163</v>
      </c>
      <c r="K2207" t="s">
        <v>56</v>
      </c>
      <c r="L2207" t="s">
        <v>187</v>
      </c>
      <c r="M2207" t="s">
        <v>56</v>
      </c>
      <c r="N2207" t="s">
        <v>57</v>
      </c>
      <c r="O2207" s="4">
        <v>3</v>
      </c>
      <c r="P2207" s="4">
        <v>13</v>
      </c>
      <c r="Q2207" t="s">
        <v>83</v>
      </c>
      <c r="R2207" s="2">
        <v>46179</v>
      </c>
      <c r="S2207" s="4">
        <v>24</v>
      </c>
      <c r="T2207" s="3">
        <v>276000000</v>
      </c>
      <c r="U2207" t="s">
        <v>42</v>
      </c>
      <c r="V2207" t="s">
        <v>59</v>
      </c>
      <c r="W2207" t="s">
        <v>71</v>
      </c>
      <c r="Y2207" t="s">
        <v>72</v>
      </c>
      <c r="Z2207" t="s">
        <v>3180</v>
      </c>
      <c r="AA2207" t="s">
        <v>109</v>
      </c>
      <c r="AB2207" t="s">
        <v>193</v>
      </c>
      <c r="AC2207" t="s">
        <v>109</v>
      </c>
    </row>
    <row r="2208" spans="1:29">
      <c r="A2208" t="s">
        <v>2625</v>
      </c>
      <c r="B2208" s="2">
        <v>46203</v>
      </c>
      <c r="C2208" t="s">
        <v>30</v>
      </c>
      <c r="D2208" t="s">
        <v>31</v>
      </c>
      <c r="E2208" t="s">
        <v>100</v>
      </c>
      <c r="F2208" t="s">
        <v>146</v>
      </c>
      <c r="G2208" t="s">
        <v>102</v>
      </c>
      <c r="H2208" t="s">
        <v>201</v>
      </c>
      <c r="I2208" t="s">
        <v>416</v>
      </c>
      <c r="J2208" t="s">
        <v>3078</v>
      </c>
      <c r="K2208" t="s">
        <v>105</v>
      </c>
      <c r="L2208" t="s">
        <v>68</v>
      </c>
      <c r="M2208" t="s">
        <v>39</v>
      </c>
      <c r="N2208" t="s">
        <v>196</v>
      </c>
      <c r="O2208" s="4">
        <v>7</v>
      </c>
      <c r="P2208" s="4">
        <v>23</v>
      </c>
      <c r="Q2208" t="s">
        <v>107</v>
      </c>
      <c r="R2208" s="2">
        <v>46196</v>
      </c>
      <c r="S2208" s="4">
        <v>7</v>
      </c>
      <c r="T2208" s="3">
        <v>235000000</v>
      </c>
      <c r="U2208" t="s">
        <v>196</v>
      </c>
      <c r="V2208" t="s">
        <v>70</v>
      </c>
      <c r="W2208" t="s">
        <v>675</v>
      </c>
      <c r="Y2208" t="s">
        <v>210</v>
      </c>
      <c r="Z2208" t="s">
        <v>3181</v>
      </c>
      <c r="AA2208" t="s">
        <v>109</v>
      </c>
      <c r="AB2208" t="s">
        <v>199</v>
      </c>
      <c r="AC2208" t="s">
        <v>109</v>
      </c>
    </row>
    <row r="2209" spans="1:29">
      <c r="A2209" t="s">
        <v>2626</v>
      </c>
      <c r="B2209" s="2">
        <v>46178</v>
      </c>
      <c r="C2209" t="s">
        <v>30</v>
      </c>
      <c r="D2209" t="s">
        <v>134</v>
      </c>
      <c r="E2209" t="s">
        <v>75</v>
      </c>
      <c r="F2209" t="s">
        <v>76</v>
      </c>
      <c r="G2209" t="s">
        <v>387</v>
      </c>
      <c r="H2209" t="s">
        <v>388</v>
      </c>
      <c r="I2209" t="s">
        <v>630</v>
      </c>
      <c r="J2209" t="s">
        <v>3135</v>
      </c>
      <c r="K2209" t="s">
        <v>37</v>
      </c>
      <c r="L2209" t="s">
        <v>38</v>
      </c>
      <c r="M2209" t="s">
        <v>81</v>
      </c>
      <c r="N2209" t="s">
        <v>40</v>
      </c>
      <c r="O2209" s="4">
        <v>2</v>
      </c>
      <c r="P2209" s="4">
        <v>4</v>
      </c>
      <c r="Q2209" t="s">
        <v>69</v>
      </c>
      <c r="R2209" s="2">
        <v>46174</v>
      </c>
      <c r="S2209" s="4">
        <v>29</v>
      </c>
      <c r="T2209" s="3">
        <v>242000000</v>
      </c>
      <c r="U2209" t="s">
        <v>42</v>
      </c>
      <c r="V2209" t="s">
        <v>43</v>
      </c>
      <c r="W2209" t="s">
        <v>44</v>
      </c>
      <c r="Y2209" t="s">
        <v>281</v>
      </c>
      <c r="Z2209" t="s">
        <v>3176</v>
      </c>
      <c r="AA2209" t="s">
        <v>86</v>
      </c>
      <c r="AB2209" t="s">
        <v>47</v>
      </c>
      <c r="AC2209" t="s">
        <v>86</v>
      </c>
    </row>
    <row r="2210" spans="1:29">
      <c r="A2210" t="s">
        <v>2627</v>
      </c>
      <c r="B2210" s="2">
        <v>46193</v>
      </c>
      <c r="C2210" t="s">
        <v>30</v>
      </c>
      <c r="D2210" t="s">
        <v>74</v>
      </c>
      <c r="E2210" t="s">
        <v>32</v>
      </c>
      <c r="F2210" t="s">
        <v>256</v>
      </c>
      <c r="G2210" t="s">
        <v>257</v>
      </c>
      <c r="H2210" t="s">
        <v>35</v>
      </c>
      <c r="I2210" t="s">
        <v>862</v>
      </c>
      <c r="J2210" t="s">
        <v>3164</v>
      </c>
      <c r="K2210" t="s">
        <v>37</v>
      </c>
      <c r="L2210" t="s">
        <v>38</v>
      </c>
      <c r="M2210" t="s">
        <v>81</v>
      </c>
      <c r="N2210" t="s">
        <v>82</v>
      </c>
      <c r="O2210" s="4">
        <v>1</v>
      </c>
      <c r="P2210" s="4">
        <v>5</v>
      </c>
      <c r="Q2210" t="s">
        <v>142</v>
      </c>
      <c r="R2210" s="2">
        <v>46187</v>
      </c>
      <c r="S2210" s="4">
        <v>16</v>
      </c>
      <c r="T2210" s="3">
        <v>216000000</v>
      </c>
      <c r="U2210" t="s">
        <v>42</v>
      </c>
      <c r="V2210" t="s">
        <v>43</v>
      </c>
      <c r="W2210" t="s">
        <v>404</v>
      </c>
      <c r="Y2210" t="s">
        <v>291</v>
      </c>
      <c r="Z2210" t="s">
        <v>3178</v>
      </c>
      <c r="AA2210" t="s">
        <v>46</v>
      </c>
      <c r="AB2210" t="s">
        <v>87</v>
      </c>
      <c r="AC2210" t="s">
        <v>46</v>
      </c>
    </row>
    <row r="2211" spans="1:29">
      <c r="A2211" t="s">
        <v>2628</v>
      </c>
      <c r="B2211" s="2">
        <v>46178</v>
      </c>
      <c r="C2211" t="s">
        <v>30</v>
      </c>
      <c r="D2211" t="s">
        <v>134</v>
      </c>
      <c r="E2211" t="s">
        <v>50</v>
      </c>
      <c r="F2211" t="s">
        <v>351</v>
      </c>
      <c r="G2211" t="s">
        <v>52</v>
      </c>
      <c r="H2211" t="s">
        <v>53</v>
      </c>
      <c r="I2211" t="s">
        <v>373</v>
      </c>
      <c r="J2211" t="s">
        <v>3066</v>
      </c>
      <c r="K2211" t="s">
        <v>56</v>
      </c>
      <c r="L2211" t="s">
        <v>187</v>
      </c>
      <c r="M2211" t="s">
        <v>39</v>
      </c>
      <c r="N2211" t="s">
        <v>57</v>
      </c>
      <c r="O2211" s="4">
        <v>3</v>
      </c>
      <c r="P2211" s="4">
        <v>5</v>
      </c>
      <c r="Q2211" t="s">
        <v>69</v>
      </c>
      <c r="R2211" s="2">
        <v>46168</v>
      </c>
      <c r="S2211" s="4">
        <v>35</v>
      </c>
      <c r="T2211" s="3">
        <v>225000000</v>
      </c>
      <c r="U2211" t="s">
        <v>42</v>
      </c>
      <c r="V2211" t="s">
        <v>43</v>
      </c>
      <c r="W2211" t="s">
        <v>203</v>
      </c>
      <c r="Y2211" t="s">
        <v>158</v>
      </c>
      <c r="Z2211" t="s">
        <v>3177</v>
      </c>
      <c r="AA2211" t="s">
        <v>62</v>
      </c>
      <c r="AB2211" t="s">
        <v>63</v>
      </c>
      <c r="AC2211" t="s">
        <v>62</v>
      </c>
    </row>
    <row r="2212" spans="1:29">
      <c r="A2212" t="s">
        <v>2629</v>
      </c>
      <c r="B2212" s="2">
        <v>46183</v>
      </c>
      <c r="C2212" t="s">
        <v>30</v>
      </c>
      <c r="D2212" t="s">
        <v>99</v>
      </c>
      <c r="E2212" t="s">
        <v>100</v>
      </c>
      <c r="F2212" t="s">
        <v>140</v>
      </c>
      <c r="G2212" t="s">
        <v>147</v>
      </c>
      <c r="H2212" t="s">
        <v>103</v>
      </c>
      <c r="I2212" t="s">
        <v>436</v>
      </c>
      <c r="J2212" t="s">
        <v>3084</v>
      </c>
      <c r="K2212" t="s">
        <v>56</v>
      </c>
      <c r="L2212" t="s">
        <v>187</v>
      </c>
      <c r="M2212" t="s">
        <v>39</v>
      </c>
      <c r="N2212" t="s">
        <v>213</v>
      </c>
      <c r="O2212" s="4">
        <v>6</v>
      </c>
      <c r="P2212" s="4">
        <v>13</v>
      </c>
      <c r="Q2212" t="s">
        <v>41</v>
      </c>
      <c r="R2212" s="2">
        <v>46175</v>
      </c>
      <c r="S2212" s="4">
        <v>28</v>
      </c>
      <c r="T2212" s="3">
        <v>187000000</v>
      </c>
      <c r="U2212" t="s">
        <v>214</v>
      </c>
      <c r="V2212" t="s">
        <v>70</v>
      </c>
      <c r="W2212" t="s">
        <v>248</v>
      </c>
      <c r="Y2212" t="s">
        <v>249</v>
      </c>
      <c r="Z2212" t="s">
        <v>3179</v>
      </c>
      <c r="AA2212" t="s">
        <v>109</v>
      </c>
      <c r="AB2212" t="s">
        <v>97</v>
      </c>
      <c r="AC2212" t="s">
        <v>109</v>
      </c>
    </row>
    <row r="2213" spans="1:29">
      <c r="A2213" t="s">
        <v>2630</v>
      </c>
      <c r="B2213" s="2">
        <v>46181</v>
      </c>
      <c r="C2213" t="s">
        <v>30</v>
      </c>
      <c r="D2213" t="s">
        <v>99</v>
      </c>
      <c r="E2213" t="s">
        <v>152</v>
      </c>
      <c r="F2213" t="s">
        <v>205</v>
      </c>
      <c r="G2213" t="s">
        <v>206</v>
      </c>
      <c r="H2213" t="s">
        <v>207</v>
      </c>
      <c r="I2213" t="s">
        <v>547</v>
      </c>
      <c r="J2213" t="s">
        <v>3116</v>
      </c>
      <c r="K2213" t="s">
        <v>105</v>
      </c>
      <c r="L2213" t="s">
        <v>187</v>
      </c>
      <c r="M2213" t="s">
        <v>56</v>
      </c>
      <c r="N2213" t="s">
        <v>40</v>
      </c>
      <c r="O2213" s="4">
        <v>2</v>
      </c>
      <c r="P2213" s="4">
        <v>15</v>
      </c>
      <c r="Q2213" t="s">
        <v>142</v>
      </c>
      <c r="R2213" s="2">
        <v>46175</v>
      </c>
      <c r="S2213" s="4">
        <v>28</v>
      </c>
      <c r="T2213" s="3">
        <v>326000000</v>
      </c>
      <c r="U2213" t="s">
        <v>42</v>
      </c>
      <c r="V2213" t="s">
        <v>43</v>
      </c>
      <c r="W2213" t="s">
        <v>298</v>
      </c>
      <c r="Y2213" t="s">
        <v>281</v>
      </c>
      <c r="Z2213" t="s">
        <v>3180</v>
      </c>
      <c r="AA2213" t="s">
        <v>159</v>
      </c>
      <c r="AB2213" t="s">
        <v>193</v>
      </c>
      <c r="AC2213" t="s">
        <v>159</v>
      </c>
    </row>
    <row r="2214" spans="1:29">
      <c r="A2214" t="s">
        <v>2631</v>
      </c>
      <c r="B2214" s="2">
        <v>46195</v>
      </c>
      <c r="C2214" t="s">
        <v>30</v>
      </c>
      <c r="D2214" t="s">
        <v>49</v>
      </c>
      <c r="E2214" t="s">
        <v>172</v>
      </c>
      <c r="F2214" t="s">
        <v>173</v>
      </c>
      <c r="G2214" t="s">
        <v>278</v>
      </c>
      <c r="H2214" t="s">
        <v>241</v>
      </c>
      <c r="I2214" t="s">
        <v>559</v>
      </c>
      <c r="J2214" t="s">
        <v>3119</v>
      </c>
      <c r="K2214" t="s">
        <v>92</v>
      </c>
      <c r="L2214" t="s">
        <v>55</v>
      </c>
      <c r="M2214" t="s">
        <v>39</v>
      </c>
      <c r="N2214" t="s">
        <v>94</v>
      </c>
      <c r="O2214" s="4">
        <v>4</v>
      </c>
      <c r="P2214" s="4">
        <v>8</v>
      </c>
      <c r="Q2214" t="s">
        <v>83</v>
      </c>
      <c r="R2214" s="2">
        <v>46192</v>
      </c>
      <c r="S2214" s="4">
        <v>11</v>
      </c>
      <c r="T2214" s="3">
        <v>97000000</v>
      </c>
      <c r="U2214" t="s">
        <v>42</v>
      </c>
      <c r="V2214" t="s">
        <v>59</v>
      </c>
      <c r="W2214" t="s">
        <v>267</v>
      </c>
      <c r="Y2214" t="s">
        <v>268</v>
      </c>
      <c r="Z2214" t="s">
        <v>3179</v>
      </c>
      <c r="AA2214" t="s">
        <v>181</v>
      </c>
      <c r="AB2214" t="s">
        <v>97</v>
      </c>
      <c r="AC2214" t="s">
        <v>181</v>
      </c>
    </row>
    <row r="2215" spans="1:29">
      <c r="A2215" t="s">
        <v>2632</v>
      </c>
      <c r="B2215" s="2">
        <v>46203</v>
      </c>
      <c r="C2215" t="s">
        <v>30</v>
      </c>
      <c r="D2215" t="s">
        <v>31</v>
      </c>
      <c r="E2215" t="s">
        <v>111</v>
      </c>
      <c r="F2215" t="s">
        <v>190</v>
      </c>
      <c r="G2215" t="s">
        <v>265</v>
      </c>
      <c r="H2215" t="s">
        <v>114</v>
      </c>
      <c r="I2215" t="s">
        <v>115</v>
      </c>
      <c r="J2215" t="s">
        <v>3014</v>
      </c>
      <c r="K2215" t="s">
        <v>105</v>
      </c>
      <c r="L2215" t="s">
        <v>187</v>
      </c>
      <c r="M2215" t="s">
        <v>106</v>
      </c>
      <c r="N2215" t="s">
        <v>40</v>
      </c>
      <c r="O2215" s="4">
        <v>2</v>
      </c>
      <c r="P2215" s="4">
        <v>12</v>
      </c>
      <c r="Q2215" t="s">
        <v>142</v>
      </c>
      <c r="R2215" s="2">
        <v>46194</v>
      </c>
      <c r="S2215" s="4">
        <v>9</v>
      </c>
      <c r="T2215" s="3">
        <v>357000000</v>
      </c>
      <c r="U2215" t="s">
        <v>177</v>
      </c>
      <c r="V2215" t="s">
        <v>43</v>
      </c>
      <c r="W2215" t="s">
        <v>44</v>
      </c>
      <c r="X2215" t="s">
        <v>308</v>
      </c>
      <c r="Y2215" t="s">
        <v>180</v>
      </c>
      <c r="Z2215" t="s">
        <v>3180</v>
      </c>
      <c r="AA2215" t="s">
        <v>118</v>
      </c>
      <c r="AB2215" t="s">
        <v>193</v>
      </c>
      <c r="AC2215" t="s">
        <v>118</v>
      </c>
    </row>
    <row r="2216" spans="1:29">
      <c r="A2216" t="s">
        <v>2633</v>
      </c>
      <c r="B2216" s="2">
        <v>46182</v>
      </c>
      <c r="C2216" t="s">
        <v>30</v>
      </c>
      <c r="D2216" t="s">
        <v>99</v>
      </c>
      <c r="E2216" t="s">
        <v>111</v>
      </c>
      <c r="F2216" t="s">
        <v>264</v>
      </c>
      <c r="G2216" t="s">
        <v>265</v>
      </c>
      <c r="H2216" t="s">
        <v>114</v>
      </c>
      <c r="I2216" t="s">
        <v>645</v>
      </c>
      <c r="J2216" t="s">
        <v>3139</v>
      </c>
      <c r="K2216" t="s">
        <v>105</v>
      </c>
      <c r="L2216" t="s">
        <v>55</v>
      </c>
      <c r="M2216" t="s">
        <v>106</v>
      </c>
      <c r="N2216" t="s">
        <v>196</v>
      </c>
      <c r="O2216" s="4">
        <v>7</v>
      </c>
      <c r="P2216" s="4">
        <v>9</v>
      </c>
      <c r="Q2216" t="s">
        <v>41</v>
      </c>
      <c r="R2216" s="2">
        <v>46177</v>
      </c>
      <c r="S2216" s="4">
        <v>26</v>
      </c>
      <c r="T2216" s="3">
        <v>401000000</v>
      </c>
      <c r="U2216" t="s">
        <v>196</v>
      </c>
      <c r="V2216" t="s">
        <v>70</v>
      </c>
      <c r="W2216" t="s">
        <v>675</v>
      </c>
      <c r="Y2216" t="s">
        <v>210</v>
      </c>
      <c r="Z2216" t="s">
        <v>3181</v>
      </c>
      <c r="AA2216" t="s">
        <v>118</v>
      </c>
      <c r="AB2216" t="s">
        <v>199</v>
      </c>
      <c r="AC2216" t="s">
        <v>118</v>
      </c>
    </row>
    <row r="2217" spans="1:29">
      <c r="A2217" t="s">
        <v>2634</v>
      </c>
      <c r="B2217" s="2">
        <v>46181</v>
      </c>
      <c r="C2217" t="s">
        <v>30</v>
      </c>
      <c r="D2217" t="s">
        <v>99</v>
      </c>
      <c r="E2217" t="s">
        <v>50</v>
      </c>
      <c r="F2217" t="s">
        <v>89</v>
      </c>
      <c r="G2217" t="s">
        <v>234</v>
      </c>
      <c r="H2217" t="s">
        <v>90</v>
      </c>
      <c r="I2217" t="s">
        <v>91</v>
      </c>
      <c r="J2217" t="s">
        <v>3012</v>
      </c>
      <c r="K2217" t="s">
        <v>105</v>
      </c>
      <c r="L2217" t="s">
        <v>187</v>
      </c>
      <c r="M2217" t="s">
        <v>81</v>
      </c>
      <c r="N2217" t="s">
        <v>213</v>
      </c>
      <c r="O2217" s="4">
        <v>6</v>
      </c>
      <c r="P2217" s="4">
        <v>10</v>
      </c>
      <c r="Q2217" t="s">
        <v>83</v>
      </c>
      <c r="R2217" s="2">
        <v>46177</v>
      </c>
      <c r="S2217" s="4">
        <v>26</v>
      </c>
      <c r="T2217" s="3">
        <v>58000000</v>
      </c>
      <c r="U2217" t="s">
        <v>214</v>
      </c>
      <c r="V2217" t="s">
        <v>70</v>
      </c>
      <c r="W2217" t="s">
        <v>215</v>
      </c>
      <c r="Y2217" t="s">
        <v>249</v>
      </c>
      <c r="Z2217" t="s">
        <v>3179</v>
      </c>
      <c r="AA2217" t="s">
        <v>62</v>
      </c>
      <c r="AB2217" t="s">
        <v>97</v>
      </c>
      <c r="AC2217" t="s">
        <v>62</v>
      </c>
    </row>
    <row r="2218" spans="1:29">
      <c r="A2218" t="s">
        <v>2635</v>
      </c>
      <c r="B2218" s="2">
        <v>46175</v>
      </c>
      <c r="C2218" t="s">
        <v>30</v>
      </c>
      <c r="D2218" t="s">
        <v>134</v>
      </c>
      <c r="E2218" t="s">
        <v>152</v>
      </c>
      <c r="F2218" t="s">
        <v>221</v>
      </c>
      <c r="G2218" t="s">
        <v>286</v>
      </c>
      <c r="H2218" t="s">
        <v>155</v>
      </c>
      <c r="I2218" t="s">
        <v>537</v>
      </c>
      <c r="J2218" t="s">
        <v>3113</v>
      </c>
      <c r="K2218" t="s">
        <v>37</v>
      </c>
      <c r="L2218" t="s">
        <v>80</v>
      </c>
      <c r="M2218" t="s">
        <v>56</v>
      </c>
      <c r="N2218" t="s">
        <v>82</v>
      </c>
      <c r="O2218" s="4">
        <v>1</v>
      </c>
      <c r="P2218" s="4">
        <v>16</v>
      </c>
      <c r="Q2218" t="s">
        <v>83</v>
      </c>
      <c r="R2218" s="2">
        <v>46166</v>
      </c>
      <c r="S2218" s="4">
        <v>37</v>
      </c>
      <c r="T2218" s="3">
        <v>110000000</v>
      </c>
      <c r="U2218" t="s">
        <v>42</v>
      </c>
      <c r="V2218" t="s">
        <v>43</v>
      </c>
      <c r="W2218" t="s">
        <v>84</v>
      </c>
      <c r="Y2218" t="s">
        <v>85</v>
      </c>
      <c r="Z2218" t="s">
        <v>3180</v>
      </c>
      <c r="AA2218" t="s">
        <v>159</v>
      </c>
      <c r="AB2218" t="s">
        <v>193</v>
      </c>
      <c r="AC2218" t="s">
        <v>159</v>
      </c>
    </row>
    <row r="2219" spans="1:29">
      <c r="A2219" t="s">
        <v>2636</v>
      </c>
      <c r="B2219" s="2">
        <v>46195</v>
      </c>
      <c r="C2219" t="s">
        <v>30</v>
      </c>
      <c r="D2219" t="s">
        <v>49</v>
      </c>
      <c r="E2219" t="s">
        <v>172</v>
      </c>
      <c r="F2219" t="s">
        <v>277</v>
      </c>
      <c r="G2219" t="s">
        <v>278</v>
      </c>
      <c r="H2219" t="s">
        <v>317</v>
      </c>
      <c r="I2219" t="s">
        <v>478</v>
      </c>
      <c r="J2219" t="s">
        <v>3099</v>
      </c>
      <c r="K2219" t="s">
        <v>105</v>
      </c>
      <c r="L2219" t="s">
        <v>68</v>
      </c>
      <c r="M2219" t="s">
        <v>39</v>
      </c>
      <c r="N2219" t="s">
        <v>94</v>
      </c>
      <c r="O2219" s="4">
        <v>4</v>
      </c>
      <c r="P2219" s="4">
        <v>6</v>
      </c>
      <c r="Q2219" t="s">
        <v>138</v>
      </c>
      <c r="R2219" s="2">
        <v>46188</v>
      </c>
      <c r="S2219" s="4">
        <v>15</v>
      </c>
      <c r="T2219" s="3">
        <v>331000000</v>
      </c>
      <c r="U2219" t="s">
        <v>42</v>
      </c>
      <c r="V2219" t="s">
        <v>59</v>
      </c>
      <c r="W2219" t="s">
        <v>170</v>
      </c>
      <c r="Y2219" t="s">
        <v>108</v>
      </c>
      <c r="Z2219" t="s">
        <v>3179</v>
      </c>
      <c r="AA2219" t="s">
        <v>181</v>
      </c>
      <c r="AB2219" t="s">
        <v>97</v>
      </c>
      <c r="AC2219" t="s">
        <v>181</v>
      </c>
    </row>
    <row r="2220" spans="1:29">
      <c r="A2220" t="s">
        <v>2637</v>
      </c>
      <c r="B2220" s="2">
        <v>46182</v>
      </c>
      <c r="C2220" t="s">
        <v>30</v>
      </c>
      <c r="D2220" t="s">
        <v>99</v>
      </c>
      <c r="E2220" t="s">
        <v>172</v>
      </c>
      <c r="F2220" t="s">
        <v>195</v>
      </c>
      <c r="G2220" t="s">
        <v>476</v>
      </c>
      <c r="H2220" t="s">
        <v>241</v>
      </c>
      <c r="I2220" t="s">
        <v>379</v>
      </c>
      <c r="J2220" t="s">
        <v>3069</v>
      </c>
      <c r="K2220" t="s">
        <v>37</v>
      </c>
      <c r="L2220" t="s">
        <v>150</v>
      </c>
      <c r="M2220" t="s">
        <v>129</v>
      </c>
      <c r="N2220" t="s">
        <v>57</v>
      </c>
      <c r="O2220" s="4">
        <v>3</v>
      </c>
      <c r="P2220" s="4">
        <v>8</v>
      </c>
      <c r="Q2220" t="s">
        <v>107</v>
      </c>
      <c r="R2220" s="2">
        <v>46178</v>
      </c>
      <c r="S2220" s="4">
        <v>25</v>
      </c>
      <c r="T2220" s="3">
        <v>74000000</v>
      </c>
      <c r="U2220" t="s">
        <v>42</v>
      </c>
      <c r="V2220" t="s">
        <v>43</v>
      </c>
      <c r="W2220" t="s">
        <v>203</v>
      </c>
      <c r="Y2220" t="s">
        <v>61</v>
      </c>
      <c r="Z2220" t="s">
        <v>3177</v>
      </c>
      <c r="AA2220" t="s">
        <v>181</v>
      </c>
      <c r="AB2220" t="s">
        <v>63</v>
      </c>
      <c r="AC2220" t="s">
        <v>181</v>
      </c>
    </row>
    <row r="2221" spans="1:29">
      <c r="A2221" t="s">
        <v>2638</v>
      </c>
      <c r="B2221" s="2">
        <v>46185</v>
      </c>
      <c r="C2221" t="s">
        <v>30</v>
      </c>
      <c r="D2221" t="s">
        <v>99</v>
      </c>
      <c r="E2221" t="s">
        <v>120</v>
      </c>
      <c r="F2221" t="s">
        <v>246</v>
      </c>
      <c r="G2221" t="s">
        <v>122</v>
      </c>
      <c r="H2221" t="s">
        <v>123</v>
      </c>
      <c r="I2221" t="s">
        <v>397</v>
      </c>
      <c r="J2221" t="s">
        <v>3073</v>
      </c>
      <c r="K2221" t="s">
        <v>37</v>
      </c>
      <c r="L2221" t="s">
        <v>80</v>
      </c>
      <c r="M2221" t="s">
        <v>164</v>
      </c>
      <c r="N2221" t="s">
        <v>130</v>
      </c>
      <c r="O2221" s="4">
        <v>5</v>
      </c>
      <c r="P2221" s="4">
        <v>10</v>
      </c>
      <c r="Q2221" t="s">
        <v>41</v>
      </c>
      <c r="R2221" s="2">
        <v>46181</v>
      </c>
      <c r="S2221" s="4">
        <v>22</v>
      </c>
      <c r="T2221" s="3">
        <v>108000000</v>
      </c>
      <c r="U2221" t="s">
        <v>42</v>
      </c>
      <c r="V2221" t="s">
        <v>70</v>
      </c>
      <c r="W2221" t="s">
        <v>355</v>
      </c>
      <c r="Y2221" t="s">
        <v>132</v>
      </c>
      <c r="Z2221" t="s">
        <v>3179</v>
      </c>
      <c r="AA2221" t="s">
        <v>97</v>
      </c>
      <c r="AB2221" t="s">
        <v>97</v>
      </c>
      <c r="AC2221" t="s">
        <v>97</v>
      </c>
    </row>
    <row r="2222" spans="1:29">
      <c r="A2222" t="s">
        <v>2639</v>
      </c>
      <c r="B2222" s="2">
        <v>46189</v>
      </c>
      <c r="C2222" t="s">
        <v>30</v>
      </c>
      <c r="D2222" t="s">
        <v>74</v>
      </c>
      <c r="E2222" t="s">
        <v>100</v>
      </c>
      <c r="F2222" t="s">
        <v>140</v>
      </c>
      <c r="G2222" t="s">
        <v>102</v>
      </c>
      <c r="H2222" t="s">
        <v>148</v>
      </c>
      <c r="I2222" t="s">
        <v>532</v>
      </c>
      <c r="J2222" t="s">
        <v>3111</v>
      </c>
      <c r="K2222" t="s">
        <v>92</v>
      </c>
      <c r="L2222" t="s">
        <v>80</v>
      </c>
      <c r="M2222" t="s">
        <v>106</v>
      </c>
      <c r="N2222" t="s">
        <v>57</v>
      </c>
      <c r="O2222" s="4">
        <v>3</v>
      </c>
      <c r="P2222" s="4">
        <v>9</v>
      </c>
      <c r="Q2222" t="s">
        <v>83</v>
      </c>
      <c r="R2222" s="2">
        <v>46179</v>
      </c>
      <c r="S2222" s="4">
        <v>24</v>
      </c>
      <c r="T2222" s="3">
        <v>169000000</v>
      </c>
      <c r="U2222" t="s">
        <v>260</v>
      </c>
      <c r="V2222" t="s">
        <v>59</v>
      </c>
      <c r="W2222" t="s">
        <v>60</v>
      </c>
      <c r="X2222" t="s">
        <v>520</v>
      </c>
      <c r="Y2222" t="s">
        <v>72</v>
      </c>
      <c r="Z2222" t="s">
        <v>3177</v>
      </c>
      <c r="AA2222" t="s">
        <v>109</v>
      </c>
      <c r="AB2222" t="s">
        <v>63</v>
      </c>
      <c r="AC2222" t="s">
        <v>109</v>
      </c>
    </row>
    <row r="2223" spans="1:29">
      <c r="A2223" t="s">
        <v>2640</v>
      </c>
      <c r="B2223" s="2">
        <v>46178</v>
      </c>
      <c r="C2223" t="s">
        <v>30</v>
      </c>
      <c r="D2223" t="s">
        <v>134</v>
      </c>
      <c r="E2223" t="s">
        <v>100</v>
      </c>
      <c r="F2223" t="s">
        <v>101</v>
      </c>
      <c r="G2223" t="s">
        <v>147</v>
      </c>
      <c r="H2223" t="s">
        <v>148</v>
      </c>
      <c r="I2223" t="s">
        <v>490</v>
      </c>
      <c r="J2223" t="s">
        <v>3103</v>
      </c>
      <c r="K2223" t="s">
        <v>92</v>
      </c>
      <c r="L2223" t="s">
        <v>80</v>
      </c>
      <c r="M2223" t="s">
        <v>39</v>
      </c>
      <c r="N2223" t="s">
        <v>57</v>
      </c>
      <c r="O2223" s="4">
        <v>3</v>
      </c>
      <c r="P2223" s="4">
        <v>7</v>
      </c>
      <c r="Q2223" t="s">
        <v>107</v>
      </c>
      <c r="R2223" s="2">
        <v>46173</v>
      </c>
      <c r="S2223" s="4">
        <v>30</v>
      </c>
      <c r="T2223" s="3">
        <v>210000000</v>
      </c>
      <c r="U2223" t="s">
        <v>42</v>
      </c>
      <c r="V2223" t="s">
        <v>43</v>
      </c>
      <c r="W2223" t="s">
        <v>157</v>
      </c>
      <c r="Y2223" t="s">
        <v>165</v>
      </c>
      <c r="Z2223" t="s">
        <v>3177</v>
      </c>
      <c r="AA2223" t="s">
        <v>109</v>
      </c>
      <c r="AB2223" t="s">
        <v>63</v>
      </c>
      <c r="AC2223" t="s">
        <v>109</v>
      </c>
    </row>
    <row r="2224" spans="1:29">
      <c r="A2224" t="s">
        <v>2641</v>
      </c>
      <c r="B2224" s="2">
        <v>46185</v>
      </c>
      <c r="C2224" t="s">
        <v>30</v>
      </c>
      <c r="D2224" t="s">
        <v>99</v>
      </c>
      <c r="E2224" t="s">
        <v>152</v>
      </c>
      <c r="F2224" t="s">
        <v>153</v>
      </c>
      <c r="G2224" t="s">
        <v>294</v>
      </c>
      <c r="H2224" t="s">
        <v>283</v>
      </c>
      <c r="I2224" t="s">
        <v>474</v>
      </c>
      <c r="J2224" t="s">
        <v>3098</v>
      </c>
      <c r="K2224" t="s">
        <v>37</v>
      </c>
      <c r="L2224" t="s">
        <v>80</v>
      </c>
      <c r="M2224" t="s">
        <v>129</v>
      </c>
      <c r="N2224" t="s">
        <v>94</v>
      </c>
      <c r="O2224" s="4">
        <v>4</v>
      </c>
      <c r="P2224" s="4">
        <v>9</v>
      </c>
      <c r="Q2224" t="s">
        <v>138</v>
      </c>
      <c r="R2224" s="2">
        <v>46183</v>
      </c>
      <c r="S2224" s="4">
        <v>20</v>
      </c>
      <c r="T2224" s="3">
        <v>159000000</v>
      </c>
      <c r="U2224" t="s">
        <v>42</v>
      </c>
      <c r="V2224" t="s">
        <v>70</v>
      </c>
      <c r="W2224" t="s">
        <v>170</v>
      </c>
      <c r="X2224" t="s">
        <v>117</v>
      </c>
      <c r="Y2224" t="s">
        <v>108</v>
      </c>
      <c r="Z2224" t="s">
        <v>3179</v>
      </c>
      <c r="AA2224" t="s">
        <v>159</v>
      </c>
      <c r="AB2224" t="s">
        <v>97</v>
      </c>
      <c r="AC2224" t="s">
        <v>159</v>
      </c>
    </row>
    <row r="2225" spans="1:29">
      <c r="A2225" t="s">
        <v>2642</v>
      </c>
      <c r="B2225" s="2">
        <v>46197</v>
      </c>
      <c r="C2225" t="s">
        <v>30</v>
      </c>
      <c r="D2225" t="s">
        <v>49</v>
      </c>
      <c r="E2225" t="s">
        <v>32</v>
      </c>
      <c r="F2225" t="s">
        <v>256</v>
      </c>
      <c r="G2225" t="s">
        <v>361</v>
      </c>
      <c r="H2225" t="s">
        <v>35</v>
      </c>
      <c r="I2225" t="s">
        <v>862</v>
      </c>
      <c r="J2225" t="s">
        <v>3164</v>
      </c>
      <c r="K2225" t="s">
        <v>37</v>
      </c>
      <c r="L2225" t="s">
        <v>80</v>
      </c>
      <c r="M2225" t="s">
        <v>129</v>
      </c>
      <c r="N2225" t="s">
        <v>40</v>
      </c>
      <c r="O2225" s="4">
        <v>2</v>
      </c>
      <c r="P2225" s="4">
        <v>2</v>
      </c>
      <c r="Q2225" t="s">
        <v>107</v>
      </c>
      <c r="R2225" s="2">
        <v>46193</v>
      </c>
      <c r="S2225" s="4">
        <v>10</v>
      </c>
      <c r="T2225" s="3">
        <v>118000000</v>
      </c>
      <c r="U2225" t="s">
        <v>42</v>
      </c>
      <c r="V2225" t="s">
        <v>43</v>
      </c>
      <c r="W2225" t="s">
        <v>298</v>
      </c>
      <c r="Y2225" t="s">
        <v>180</v>
      </c>
      <c r="Z2225" t="s">
        <v>3176</v>
      </c>
      <c r="AA2225" t="s">
        <v>46</v>
      </c>
      <c r="AB2225" t="s">
        <v>47</v>
      </c>
      <c r="AC2225" t="s">
        <v>46</v>
      </c>
    </row>
    <row r="2226" spans="1:29">
      <c r="A2226" t="s">
        <v>2643</v>
      </c>
      <c r="B2226" s="2">
        <v>46179</v>
      </c>
      <c r="C2226" t="s">
        <v>30</v>
      </c>
      <c r="D2226" t="s">
        <v>134</v>
      </c>
      <c r="E2226" t="s">
        <v>75</v>
      </c>
      <c r="F2226" t="s">
        <v>183</v>
      </c>
      <c r="G2226" t="s">
        <v>230</v>
      </c>
      <c r="H2226" t="s">
        <v>185</v>
      </c>
      <c r="I2226" t="s">
        <v>721</v>
      </c>
      <c r="J2226" t="s">
        <v>3147</v>
      </c>
      <c r="K2226" t="s">
        <v>56</v>
      </c>
      <c r="L2226" t="s">
        <v>68</v>
      </c>
      <c r="M2226" t="s">
        <v>56</v>
      </c>
      <c r="N2226" t="s">
        <v>196</v>
      </c>
      <c r="O2226" s="4">
        <v>7</v>
      </c>
      <c r="P2226" s="4">
        <v>12</v>
      </c>
      <c r="Q2226" t="s">
        <v>142</v>
      </c>
      <c r="R2226" s="2">
        <v>46177</v>
      </c>
      <c r="S2226" s="4">
        <v>26</v>
      </c>
      <c r="T2226" s="3">
        <v>197000000</v>
      </c>
      <c r="U2226" t="s">
        <v>196</v>
      </c>
      <c r="V2226" t="s">
        <v>70</v>
      </c>
      <c r="W2226" t="s">
        <v>243</v>
      </c>
      <c r="Y2226" t="s">
        <v>244</v>
      </c>
      <c r="Z2226" t="s">
        <v>3181</v>
      </c>
      <c r="AA2226" t="s">
        <v>86</v>
      </c>
      <c r="AB2226" t="s">
        <v>199</v>
      </c>
      <c r="AC2226" t="s">
        <v>86</v>
      </c>
    </row>
    <row r="2227" spans="1:29">
      <c r="A2227" t="s">
        <v>2644</v>
      </c>
      <c r="B2227" s="2">
        <v>46176</v>
      </c>
      <c r="C2227" t="s">
        <v>30</v>
      </c>
      <c r="D2227" t="s">
        <v>134</v>
      </c>
      <c r="E2227" t="s">
        <v>32</v>
      </c>
      <c r="F2227" t="s">
        <v>33</v>
      </c>
      <c r="G2227" t="s">
        <v>257</v>
      </c>
      <c r="H2227" t="s">
        <v>35</v>
      </c>
      <c r="I2227" t="s">
        <v>36</v>
      </c>
      <c r="J2227" t="s">
        <v>3008</v>
      </c>
      <c r="K2227" t="s">
        <v>37</v>
      </c>
      <c r="L2227" t="s">
        <v>55</v>
      </c>
      <c r="M2227" t="s">
        <v>56</v>
      </c>
      <c r="N2227" t="s">
        <v>40</v>
      </c>
      <c r="O2227" s="4">
        <v>2</v>
      </c>
      <c r="P2227" s="4">
        <v>12</v>
      </c>
      <c r="Q2227" t="s">
        <v>107</v>
      </c>
      <c r="R2227" s="2">
        <v>46167</v>
      </c>
      <c r="S2227" s="4">
        <v>36</v>
      </c>
      <c r="T2227" s="3">
        <v>114000000</v>
      </c>
      <c r="U2227" t="s">
        <v>42</v>
      </c>
      <c r="V2227" t="s">
        <v>43</v>
      </c>
      <c r="W2227" t="s">
        <v>178</v>
      </c>
      <c r="Y2227" t="s">
        <v>45</v>
      </c>
      <c r="Z2227" t="s">
        <v>3180</v>
      </c>
      <c r="AA2227" t="s">
        <v>46</v>
      </c>
      <c r="AB2227" t="s">
        <v>193</v>
      </c>
      <c r="AC2227" t="s">
        <v>46</v>
      </c>
    </row>
    <row r="2228" spans="1:29">
      <c r="A2228" t="s">
        <v>2645</v>
      </c>
      <c r="B2228" s="2">
        <v>46197</v>
      </c>
      <c r="C2228" t="s">
        <v>30</v>
      </c>
      <c r="D2228" t="s">
        <v>49</v>
      </c>
      <c r="E2228" t="s">
        <v>111</v>
      </c>
      <c r="F2228" t="s">
        <v>190</v>
      </c>
      <c r="G2228" t="s">
        <v>265</v>
      </c>
      <c r="H2228" t="s">
        <v>191</v>
      </c>
      <c r="I2228" t="s">
        <v>192</v>
      </c>
      <c r="J2228" t="s">
        <v>3025</v>
      </c>
      <c r="K2228" t="s">
        <v>37</v>
      </c>
      <c r="L2228" t="s">
        <v>38</v>
      </c>
      <c r="M2228" t="s">
        <v>129</v>
      </c>
      <c r="N2228" t="s">
        <v>196</v>
      </c>
      <c r="O2228" s="4">
        <v>7</v>
      </c>
      <c r="P2228" s="4">
        <v>13</v>
      </c>
      <c r="Q2228" t="s">
        <v>41</v>
      </c>
      <c r="R2228" s="2">
        <v>46187</v>
      </c>
      <c r="S2228" s="4">
        <v>16</v>
      </c>
      <c r="T2228" s="3">
        <v>126000000</v>
      </c>
      <c r="U2228" t="s">
        <v>196</v>
      </c>
      <c r="V2228" t="s">
        <v>70</v>
      </c>
      <c r="W2228" t="s">
        <v>675</v>
      </c>
      <c r="Y2228" t="s">
        <v>198</v>
      </c>
      <c r="Z2228" t="s">
        <v>3181</v>
      </c>
      <c r="AA2228" t="s">
        <v>118</v>
      </c>
      <c r="AB2228" t="s">
        <v>199</v>
      </c>
      <c r="AC2228" t="s">
        <v>118</v>
      </c>
    </row>
    <row r="2229" spans="1:29">
      <c r="A2229" t="s">
        <v>2646</v>
      </c>
      <c r="B2229" s="2">
        <v>46191</v>
      </c>
      <c r="C2229" t="s">
        <v>30</v>
      </c>
      <c r="D2229" t="s">
        <v>74</v>
      </c>
      <c r="E2229" t="s">
        <v>172</v>
      </c>
      <c r="F2229" t="s">
        <v>195</v>
      </c>
      <c r="G2229" t="s">
        <v>278</v>
      </c>
      <c r="H2229" t="s">
        <v>175</v>
      </c>
      <c r="I2229" t="s">
        <v>176</v>
      </c>
      <c r="J2229" t="s">
        <v>3023</v>
      </c>
      <c r="K2229" t="s">
        <v>56</v>
      </c>
      <c r="L2229" t="s">
        <v>169</v>
      </c>
      <c r="M2229" t="s">
        <v>93</v>
      </c>
      <c r="N2229" t="s">
        <v>94</v>
      </c>
      <c r="O2229" s="4">
        <v>4</v>
      </c>
      <c r="P2229" s="4">
        <v>7</v>
      </c>
      <c r="Q2229" t="s">
        <v>138</v>
      </c>
      <c r="R2229" s="2">
        <v>46191</v>
      </c>
      <c r="S2229" s="4">
        <v>12</v>
      </c>
      <c r="T2229" s="3">
        <v>299000000</v>
      </c>
      <c r="U2229" t="s">
        <v>260</v>
      </c>
      <c r="V2229" t="s">
        <v>59</v>
      </c>
      <c r="W2229" t="s">
        <v>95</v>
      </c>
      <c r="X2229" t="s">
        <v>520</v>
      </c>
      <c r="Y2229" t="s">
        <v>108</v>
      </c>
      <c r="Z2229" t="s">
        <v>3179</v>
      </c>
      <c r="AA2229" t="s">
        <v>181</v>
      </c>
      <c r="AB2229" t="s">
        <v>97</v>
      </c>
      <c r="AC2229" t="s">
        <v>181</v>
      </c>
    </row>
    <row r="2230" spans="1:29">
      <c r="A2230" t="s">
        <v>2647</v>
      </c>
      <c r="B2230" s="2">
        <v>46194</v>
      </c>
      <c r="C2230" t="s">
        <v>30</v>
      </c>
      <c r="D2230" t="s">
        <v>74</v>
      </c>
      <c r="E2230" t="s">
        <v>75</v>
      </c>
      <c r="F2230" t="s">
        <v>183</v>
      </c>
      <c r="G2230" t="s">
        <v>230</v>
      </c>
      <c r="H2230" t="s">
        <v>388</v>
      </c>
      <c r="I2230" t="s">
        <v>630</v>
      </c>
      <c r="J2230" t="s">
        <v>3135</v>
      </c>
      <c r="K2230" t="s">
        <v>105</v>
      </c>
      <c r="L2230" t="s">
        <v>150</v>
      </c>
      <c r="M2230" t="s">
        <v>106</v>
      </c>
      <c r="N2230" t="s">
        <v>196</v>
      </c>
      <c r="O2230" s="4">
        <v>7</v>
      </c>
      <c r="P2230" s="4">
        <v>12</v>
      </c>
      <c r="Q2230" t="s">
        <v>107</v>
      </c>
      <c r="R2230" s="2">
        <v>46194</v>
      </c>
      <c r="S2230" s="4">
        <v>9</v>
      </c>
      <c r="T2230" s="3">
        <v>385000000</v>
      </c>
      <c r="U2230" t="s">
        <v>196</v>
      </c>
      <c r="V2230" t="s">
        <v>70</v>
      </c>
      <c r="W2230" t="s">
        <v>197</v>
      </c>
      <c r="Y2230" t="s">
        <v>198</v>
      </c>
      <c r="Z2230" t="s">
        <v>3181</v>
      </c>
      <c r="AA2230" t="s">
        <v>86</v>
      </c>
      <c r="AB2230" t="s">
        <v>199</v>
      </c>
      <c r="AC2230" t="s">
        <v>86</v>
      </c>
    </row>
    <row r="2231" spans="1:29">
      <c r="A2231" t="s">
        <v>2648</v>
      </c>
      <c r="B2231" s="2">
        <v>46188</v>
      </c>
      <c r="C2231" t="s">
        <v>30</v>
      </c>
      <c r="D2231" t="s">
        <v>74</v>
      </c>
      <c r="E2231" t="s">
        <v>111</v>
      </c>
      <c r="F2231" t="s">
        <v>190</v>
      </c>
      <c r="G2231" t="s">
        <v>126</v>
      </c>
      <c r="H2231" t="s">
        <v>191</v>
      </c>
      <c r="I2231" t="s">
        <v>192</v>
      </c>
      <c r="J2231" t="s">
        <v>3025</v>
      </c>
      <c r="K2231" t="s">
        <v>92</v>
      </c>
      <c r="L2231" t="s">
        <v>80</v>
      </c>
      <c r="M2231" t="s">
        <v>93</v>
      </c>
      <c r="N2231" t="s">
        <v>213</v>
      </c>
      <c r="O2231" s="4">
        <v>6</v>
      </c>
      <c r="P2231" s="4">
        <v>13</v>
      </c>
      <c r="Q2231" t="s">
        <v>142</v>
      </c>
      <c r="R2231" s="2">
        <v>46180</v>
      </c>
      <c r="S2231" s="4">
        <v>23</v>
      </c>
      <c r="T2231" s="3">
        <v>190000000</v>
      </c>
      <c r="U2231" t="s">
        <v>42</v>
      </c>
      <c r="V2231" t="s">
        <v>70</v>
      </c>
      <c r="W2231" t="s">
        <v>438</v>
      </c>
      <c r="X2231" t="s">
        <v>253</v>
      </c>
      <c r="Y2231" t="s">
        <v>216</v>
      </c>
      <c r="Z2231" t="s">
        <v>3179</v>
      </c>
      <c r="AA2231" t="s">
        <v>118</v>
      </c>
      <c r="AB2231" t="s">
        <v>97</v>
      </c>
      <c r="AC2231" t="s">
        <v>118</v>
      </c>
    </row>
    <row r="2232" spans="1:29">
      <c r="A2232" t="s">
        <v>2649</v>
      </c>
      <c r="B2232" s="2">
        <v>46176</v>
      </c>
      <c r="C2232" t="s">
        <v>30</v>
      </c>
      <c r="D2232" t="s">
        <v>134</v>
      </c>
      <c r="E2232" t="s">
        <v>111</v>
      </c>
      <c r="F2232" t="s">
        <v>112</v>
      </c>
      <c r="G2232" t="s">
        <v>265</v>
      </c>
      <c r="H2232" t="s">
        <v>191</v>
      </c>
      <c r="I2232" t="s">
        <v>449</v>
      </c>
      <c r="J2232" t="s">
        <v>3089</v>
      </c>
      <c r="K2232" t="s">
        <v>56</v>
      </c>
      <c r="L2232" t="s">
        <v>187</v>
      </c>
      <c r="M2232" t="s">
        <v>93</v>
      </c>
      <c r="N2232" t="s">
        <v>213</v>
      </c>
      <c r="O2232" s="4">
        <v>6</v>
      </c>
      <c r="P2232" s="4">
        <v>9</v>
      </c>
      <c r="Q2232" t="s">
        <v>83</v>
      </c>
      <c r="R2232" s="2">
        <v>46166</v>
      </c>
      <c r="S2232" s="4">
        <v>37</v>
      </c>
      <c r="T2232" s="3">
        <v>193000000</v>
      </c>
      <c r="U2232" t="s">
        <v>214</v>
      </c>
      <c r="V2232" t="s">
        <v>59</v>
      </c>
      <c r="W2232" t="s">
        <v>215</v>
      </c>
      <c r="Y2232" t="s">
        <v>424</v>
      </c>
      <c r="Z2232" t="s">
        <v>3179</v>
      </c>
      <c r="AA2232" t="s">
        <v>118</v>
      </c>
      <c r="AB2232" t="s">
        <v>97</v>
      </c>
      <c r="AC2232" t="s">
        <v>118</v>
      </c>
    </row>
    <row r="2233" spans="1:29">
      <c r="A2233" t="s">
        <v>2650</v>
      </c>
      <c r="B2233" s="2">
        <v>46175</v>
      </c>
      <c r="C2233" t="s">
        <v>30</v>
      </c>
      <c r="D2233" t="s">
        <v>134</v>
      </c>
      <c r="E2233" t="s">
        <v>100</v>
      </c>
      <c r="F2233" t="s">
        <v>140</v>
      </c>
      <c r="G2233" t="s">
        <v>313</v>
      </c>
      <c r="H2233" t="s">
        <v>103</v>
      </c>
      <c r="I2233" t="s">
        <v>436</v>
      </c>
      <c r="J2233" t="s">
        <v>3084</v>
      </c>
      <c r="K2233" t="s">
        <v>92</v>
      </c>
      <c r="L2233" t="s">
        <v>150</v>
      </c>
      <c r="M2233" t="s">
        <v>129</v>
      </c>
      <c r="N2233" t="s">
        <v>94</v>
      </c>
      <c r="O2233" s="4">
        <v>4</v>
      </c>
      <c r="P2233" s="4">
        <v>14</v>
      </c>
      <c r="Q2233" t="s">
        <v>83</v>
      </c>
      <c r="R2233" s="2">
        <v>46166</v>
      </c>
      <c r="S2233" s="4">
        <v>37</v>
      </c>
      <c r="T2233" s="3">
        <v>225000000</v>
      </c>
      <c r="U2233" t="s">
        <v>42</v>
      </c>
      <c r="V2233" t="s">
        <v>143</v>
      </c>
      <c r="W2233" t="s">
        <v>188</v>
      </c>
      <c r="Y2233" t="s">
        <v>228</v>
      </c>
      <c r="Z2233" t="s">
        <v>3179</v>
      </c>
      <c r="AA2233" t="s">
        <v>109</v>
      </c>
      <c r="AB2233" t="s">
        <v>97</v>
      </c>
      <c r="AC2233" t="s">
        <v>109</v>
      </c>
    </row>
    <row r="2234" spans="1:29">
      <c r="A2234" t="s">
        <v>2651</v>
      </c>
      <c r="B2234" s="2">
        <v>46198</v>
      </c>
      <c r="C2234" t="s">
        <v>30</v>
      </c>
      <c r="D2234" t="s">
        <v>49</v>
      </c>
      <c r="E2234" t="s">
        <v>50</v>
      </c>
      <c r="F2234" t="s">
        <v>51</v>
      </c>
      <c r="G2234" t="s">
        <v>52</v>
      </c>
      <c r="H2234" t="s">
        <v>90</v>
      </c>
      <c r="I2234" t="s">
        <v>740</v>
      </c>
      <c r="J2234" t="s">
        <v>3151</v>
      </c>
      <c r="K2234" t="s">
        <v>105</v>
      </c>
      <c r="L2234" t="s">
        <v>150</v>
      </c>
      <c r="M2234" t="s">
        <v>39</v>
      </c>
      <c r="N2234" t="s">
        <v>40</v>
      </c>
      <c r="O2234" s="4">
        <v>2</v>
      </c>
      <c r="P2234" s="4">
        <v>12</v>
      </c>
      <c r="Q2234" t="s">
        <v>69</v>
      </c>
      <c r="R2234" s="2">
        <v>46190</v>
      </c>
      <c r="S2234" s="4">
        <v>13</v>
      </c>
      <c r="T2234" s="3">
        <v>302000000</v>
      </c>
      <c r="U2234" t="s">
        <v>42</v>
      </c>
      <c r="V2234" t="s">
        <v>43</v>
      </c>
      <c r="W2234" t="s">
        <v>239</v>
      </c>
      <c r="Y2234" t="s">
        <v>180</v>
      </c>
      <c r="Z2234" t="s">
        <v>3180</v>
      </c>
      <c r="AA2234" t="s">
        <v>62</v>
      </c>
      <c r="AB2234" t="s">
        <v>193</v>
      </c>
      <c r="AC2234" t="s">
        <v>62</v>
      </c>
    </row>
    <row r="2235" spans="1:29">
      <c r="A2235" t="s">
        <v>2652</v>
      </c>
      <c r="B2235" s="2">
        <v>46177</v>
      </c>
      <c r="C2235" t="s">
        <v>30</v>
      </c>
      <c r="D2235" t="s">
        <v>134</v>
      </c>
      <c r="E2235" t="s">
        <v>50</v>
      </c>
      <c r="F2235" t="s">
        <v>51</v>
      </c>
      <c r="G2235" t="s">
        <v>52</v>
      </c>
      <c r="H2235" t="s">
        <v>66</v>
      </c>
      <c r="I2235" t="s">
        <v>341</v>
      </c>
      <c r="J2235" t="s">
        <v>3056</v>
      </c>
      <c r="K2235" t="s">
        <v>116</v>
      </c>
      <c r="L2235" t="s">
        <v>169</v>
      </c>
      <c r="M2235" t="s">
        <v>164</v>
      </c>
      <c r="N2235" t="s">
        <v>94</v>
      </c>
      <c r="O2235" s="4">
        <v>4</v>
      </c>
      <c r="P2235" s="4">
        <v>8</v>
      </c>
      <c r="Q2235" t="s">
        <v>41</v>
      </c>
      <c r="R2235" s="2">
        <v>46171</v>
      </c>
      <c r="S2235" s="4">
        <v>32</v>
      </c>
      <c r="T2235" s="3">
        <v>81000000</v>
      </c>
      <c r="U2235" t="s">
        <v>42</v>
      </c>
      <c r="V2235" t="s">
        <v>143</v>
      </c>
      <c r="W2235" t="s">
        <v>95</v>
      </c>
      <c r="Y2235" t="s">
        <v>228</v>
      </c>
      <c r="Z2235" t="s">
        <v>3179</v>
      </c>
      <c r="AA2235" t="s">
        <v>62</v>
      </c>
      <c r="AB2235" t="s">
        <v>97</v>
      </c>
      <c r="AC2235" t="s">
        <v>62</v>
      </c>
    </row>
    <row r="2236" spans="1:29">
      <c r="A2236" t="s">
        <v>2653</v>
      </c>
      <c r="B2236" s="2">
        <v>46186</v>
      </c>
      <c r="C2236" t="s">
        <v>30</v>
      </c>
      <c r="D2236" t="s">
        <v>99</v>
      </c>
      <c r="E2236" t="s">
        <v>120</v>
      </c>
      <c r="F2236" t="s">
        <v>246</v>
      </c>
      <c r="G2236" t="s">
        <v>227</v>
      </c>
      <c r="H2236" t="s">
        <v>300</v>
      </c>
      <c r="I2236" t="s">
        <v>527</v>
      </c>
      <c r="J2236" t="s">
        <v>3110</v>
      </c>
      <c r="K2236" t="s">
        <v>105</v>
      </c>
      <c r="L2236" t="s">
        <v>80</v>
      </c>
      <c r="M2236" t="s">
        <v>81</v>
      </c>
      <c r="N2236" t="s">
        <v>94</v>
      </c>
      <c r="O2236" s="4">
        <v>4</v>
      </c>
      <c r="P2236" s="4">
        <v>6</v>
      </c>
      <c r="Q2236" t="s">
        <v>69</v>
      </c>
      <c r="R2236" s="2">
        <v>46180</v>
      </c>
      <c r="S2236" s="4">
        <v>23</v>
      </c>
      <c r="T2236" s="3">
        <v>272000000</v>
      </c>
      <c r="U2236" t="s">
        <v>42</v>
      </c>
      <c r="V2236" t="s">
        <v>59</v>
      </c>
      <c r="W2236" t="s">
        <v>267</v>
      </c>
      <c r="Y2236" t="s">
        <v>96</v>
      </c>
      <c r="Z2236" t="s">
        <v>3179</v>
      </c>
      <c r="AA2236" t="s">
        <v>97</v>
      </c>
      <c r="AB2236" t="s">
        <v>97</v>
      </c>
      <c r="AC2236" t="s">
        <v>97</v>
      </c>
    </row>
    <row r="2237" spans="1:29">
      <c r="A2237" t="s">
        <v>2654</v>
      </c>
      <c r="B2237" s="2">
        <v>46175</v>
      </c>
      <c r="C2237" t="s">
        <v>30</v>
      </c>
      <c r="D2237" t="s">
        <v>134</v>
      </c>
      <c r="E2237" t="s">
        <v>120</v>
      </c>
      <c r="F2237" t="s">
        <v>121</v>
      </c>
      <c r="G2237" t="s">
        <v>420</v>
      </c>
      <c r="H2237" t="s">
        <v>300</v>
      </c>
      <c r="I2237" t="s">
        <v>400</v>
      </c>
      <c r="J2237" t="s">
        <v>3074</v>
      </c>
      <c r="K2237" t="s">
        <v>116</v>
      </c>
      <c r="L2237" t="s">
        <v>55</v>
      </c>
      <c r="M2237" t="s">
        <v>164</v>
      </c>
      <c r="N2237" t="s">
        <v>130</v>
      </c>
      <c r="O2237" s="4">
        <v>5</v>
      </c>
      <c r="P2237" s="4">
        <v>7</v>
      </c>
      <c r="Q2237" t="s">
        <v>41</v>
      </c>
      <c r="R2237" s="2">
        <v>46170</v>
      </c>
      <c r="S2237" s="4">
        <v>33</v>
      </c>
      <c r="T2237" s="3">
        <v>44000000</v>
      </c>
      <c r="U2237" t="s">
        <v>42</v>
      </c>
      <c r="V2237" t="s">
        <v>59</v>
      </c>
      <c r="W2237" t="s">
        <v>144</v>
      </c>
      <c r="X2237" t="s">
        <v>117</v>
      </c>
      <c r="Y2237" t="s">
        <v>132</v>
      </c>
      <c r="Z2237" t="s">
        <v>3179</v>
      </c>
      <c r="AA2237" t="s">
        <v>97</v>
      </c>
      <c r="AB2237" t="s">
        <v>97</v>
      </c>
      <c r="AC2237" t="s">
        <v>97</v>
      </c>
    </row>
    <row r="2238" spans="1:29">
      <c r="A2238" t="s">
        <v>2655</v>
      </c>
      <c r="B2238" s="2">
        <v>46193</v>
      </c>
      <c r="C2238" t="s">
        <v>30</v>
      </c>
      <c r="D2238" t="s">
        <v>74</v>
      </c>
      <c r="E2238" t="s">
        <v>152</v>
      </c>
      <c r="F2238" t="s">
        <v>205</v>
      </c>
      <c r="G2238" t="s">
        <v>206</v>
      </c>
      <c r="H2238" t="s">
        <v>207</v>
      </c>
      <c r="I2238" t="s">
        <v>208</v>
      </c>
      <c r="J2238" t="s">
        <v>3027</v>
      </c>
      <c r="K2238" t="s">
        <v>37</v>
      </c>
      <c r="L2238" t="s">
        <v>150</v>
      </c>
      <c r="M2238" t="s">
        <v>56</v>
      </c>
      <c r="N2238" t="s">
        <v>130</v>
      </c>
      <c r="O2238" s="4">
        <v>5</v>
      </c>
      <c r="P2238" s="4">
        <v>9</v>
      </c>
      <c r="Q2238" t="s">
        <v>41</v>
      </c>
      <c r="R2238" s="2">
        <v>46189</v>
      </c>
      <c r="S2238" s="4">
        <v>14</v>
      </c>
      <c r="T2238" s="3">
        <v>192000000</v>
      </c>
      <c r="U2238" t="s">
        <v>42</v>
      </c>
      <c r="V2238" t="s">
        <v>70</v>
      </c>
      <c r="W2238" t="s">
        <v>131</v>
      </c>
      <c r="Y2238" t="s">
        <v>334</v>
      </c>
      <c r="Z2238" t="s">
        <v>3179</v>
      </c>
      <c r="AA2238" t="s">
        <v>159</v>
      </c>
      <c r="AB2238" t="s">
        <v>97</v>
      </c>
      <c r="AC2238" t="s">
        <v>159</v>
      </c>
    </row>
    <row r="2239" spans="1:29">
      <c r="A2239" t="s">
        <v>2656</v>
      </c>
      <c r="B2239" s="2">
        <v>46200</v>
      </c>
      <c r="C2239" t="s">
        <v>30</v>
      </c>
      <c r="D2239" t="s">
        <v>49</v>
      </c>
      <c r="E2239" t="s">
        <v>120</v>
      </c>
      <c r="F2239" t="s">
        <v>246</v>
      </c>
      <c r="G2239" t="s">
        <v>227</v>
      </c>
      <c r="H2239" t="s">
        <v>123</v>
      </c>
      <c r="I2239" t="s">
        <v>459</v>
      </c>
      <c r="J2239" t="s">
        <v>3093</v>
      </c>
      <c r="K2239" t="s">
        <v>56</v>
      </c>
      <c r="L2239" t="s">
        <v>150</v>
      </c>
      <c r="M2239" t="s">
        <v>129</v>
      </c>
      <c r="N2239" t="s">
        <v>57</v>
      </c>
      <c r="O2239" s="4">
        <v>3</v>
      </c>
      <c r="P2239" s="4">
        <v>10</v>
      </c>
      <c r="Q2239" t="s">
        <v>58</v>
      </c>
      <c r="R2239" s="2">
        <v>46191</v>
      </c>
      <c r="S2239" s="4">
        <v>12</v>
      </c>
      <c r="T2239" s="3">
        <v>104000000</v>
      </c>
      <c r="U2239" t="s">
        <v>260</v>
      </c>
      <c r="V2239" t="s">
        <v>43</v>
      </c>
      <c r="W2239" t="s">
        <v>157</v>
      </c>
      <c r="X2239" t="s">
        <v>308</v>
      </c>
      <c r="Y2239" t="s">
        <v>158</v>
      </c>
      <c r="Z2239" t="s">
        <v>3177</v>
      </c>
      <c r="AA2239" t="s">
        <v>97</v>
      </c>
      <c r="AB2239" t="s">
        <v>63</v>
      </c>
      <c r="AC2239" t="s">
        <v>97</v>
      </c>
    </row>
    <row r="2240" spans="1:29">
      <c r="A2240" t="s">
        <v>2657</v>
      </c>
      <c r="B2240" s="2">
        <v>46178</v>
      </c>
      <c r="C2240" t="s">
        <v>30</v>
      </c>
      <c r="D2240" t="s">
        <v>134</v>
      </c>
      <c r="E2240" t="s">
        <v>75</v>
      </c>
      <c r="F2240" t="s">
        <v>183</v>
      </c>
      <c r="G2240" t="s">
        <v>184</v>
      </c>
      <c r="H2240" t="s">
        <v>388</v>
      </c>
      <c r="I2240" t="s">
        <v>389</v>
      </c>
      <c r="J2240" t="s">
        <v>3071</v>
      </c>
      <c r="K2240" t="s">
        <v>37</v>
      </c>
      <c r="L2240" t="s">
        <v>38</v>
      </c>
      <c r="M2240" t="s">
        <v>81</v>
      </c>
      <c r="N2240" t="s">
        <v>196</v>
      </c>
      <c r="O2240" s="4">
        <v>7</v>
      </c>
      <c r="P2240" s="4">
        <v>10</v>
      </c>
      <c r="Q2240" t="s">
        <v>41</v>
      </c>
      <c r="R2240" s="2">
        <v>46174</v>
      </c>
      <c r="S2240" s="4">
        <v>29</v>
      </c>
      <c r="T2240" s="3">
        <v>145000000</v>
      </c>
      <c r="U2240" t="s">
        <v>232</v>
      </c>
      <c r="V2240" t="s">
        <v>70</v>
      </c>
      <c r="W2240" t="s">
        <v>209</v>
      </c>
      <c r="Y2240" t="s">
        <v>369</v>
      </c>
      <c r="Z2240" t="s">
        <v>3181</v>
      </c>
      <c r="AA2240" t="s">
        <v>86</v>
      </c>
      <c r="AB2240" t="s">
        <v>199</v>
      </c>
      <c r="AC2240" t="s">
        <v>86</v>
      </c>
    </row>
    <row r="2241" spans="1:29">
      <c r="A2241" t="s">
        <v>2658</v>
      </c>
      <c r="B2241" s="2">
        <v>46178</v>
      </c>
      <c r="C2241" t="s">
        <v>30</v>
      </c>
      <c r="D2241" t="s">
        <v>134</v>
      </c>
      <c r="E2241" t="s">
        <v>32</v>
      </c>
      <c r="F2241" t="s">
        <v>273</v>
      </c>
      <c r="G2241" t="s">
        <v>257</v>
      </c>
      <c r="H2241" t="s">
        <v>35</v>
      </c>
      <c r="I2241" t="s">
        <v>36</v>
      </c>
      <c r="J2241" t="s">
        <v>3008</v>
      </c>
      <c r="K2241" t="s">
        <v>116</v>
      </c>
      <c r="L2241" t="s">
        <v>150</v>
      </c>
      <c r="M2241" t="s">
        <v>164</v>
      </c>
      <c r="N2241" t="s">
        <v>94</v>
      </c>
      <c r="O2241" s="4">
        <v>4</v>
      </c>
      <c r="P2241" s="4">
        <v>6</v>
      </c>
      <c r="Q2241" t="s">
        <v>83</v>
      </c>
      <c r="R2241" s="2">
        <v>46178</v>
      </c>
      <c r="S2241" s="4">
        <v>25</v>
      </c>
      <c r="T2241" s="3">
        <v>92000000</v>
      </c>
      <c r="U2241" t="s">
        <v>42</v>
      </c>
      <c r="V2241" t="s">
        <v>59</v>
      </c>
      <c r="W2241" t="s">
        <v>95</v>
      </c>
      <c r="Y2241" t="s">
        <v>96</v>
      </c>
      <c r="Z2241" t="s">
        <v>3179</v>
      </c>
      <c r="AA2241" t="s">
        <v>46</v>
      </c>
      <c r="AB2241" t="s">
        <v>97</v>
      </c>
      <c r="AC2241" t="s">
        <v>46</v>
      </c>
    </row>
    <row r="2242" spans="1:29">
      <c r="A2242" t="s">
        <v>2659</v>
      </c>
      <c r="B2242" s="2">
        <v>46183</v>
      </c>
      <c r="C2242" t="s">
        <v>30</v>
      </c>
      <c r="D2242" t="s">
        <v>99</v>
      </c>
      <c r="E2242" t="s">
        <v>50</v>
      </c>
      <c r="F2242" t="s">
        <v>51</v>
      </c>
      <c r="G2242" t="s">
        <v>65</v>
      </c>
      <c r="H2242" t="s">
        <v>66</v>
      </c>
      <c r="I2242" t="s">
        <v>346</v>
      </c>
      <c r="J2242" t="s">
        <v>3058</v>
      </c>
      <c r="K2242" t="s">
        <v>92</v>
      </c>
      <c r="L2242" t="s">
        <v>187</v>
      </c>
      <c r="M2242" t="s">
        <v>106</v>
      </c>
      <c r="N2242" t="s">
        <v>82</v>
      </c>
      <c r="O2242" s="4">
        <v>1</v>
      </c>
      <c r="P2242" s="4">
        <v>11</v>
      </c>
      <c r="Q2242" t="s">
        <v>58</v>
      </c>
      <c r="R2242" s="2">
        <v>46174</v>
      </c>
      <c r="S2242" s="4">
        <v>29</v>
      </c>
      <c r="T2242" s="3">
        <v>195000000</v>
      </c>
      <c r="U2242" t="s">
        <v>177</v>
      </c>
      <c r="V2242" t="s">
        <v>43</v>
      </c>
      <c r="W2242" t="s">
        <v>290</v>
      </c>
      <c r="X2242" t="s">
        <v>308</v>
      </c>
      <c r="Y2242" t="s">
        <v>85</v>
      </c>
      <c r="Z2242" t="s">
        <v>3178</v>
      </c>
      <c r="AA2242" t="s">
        <v>62</v>
      </c>
      <c r="AB2242" t="s">
        <v>87</v>
      </c>
      <c r="AC2242" t="s">
        <v>62</v>
      </c>
    </row>
    <row r="2243" spans="1:29">
      <c r="A2243" t="s">
        <v>2660</v>
      </c>
      <c r="B2243" s="2">
        <v>46200</v>
      </c>
      <c r="C2243" t="s">
        <v>30</v>
      </c>
      <c r="D2243" t="s">
        <v>49</v>
      </c>
      <c r="E2243" t="s">
        <v>50</v>
      </c>
      <c r="F2243" t="s">
        <v>351</v>
      </c>
      <c r="G2243" t="s">
        <v>234</v>
      </c>
      <c r="H2243" t="s">
        <v>53</v>
      </c>
      <c r="I2243" t="s">
        <v>271</v>
      </c>
      <c r="J2243" t="s">
        <v>3038</v>
      </c>
      <c r="K2243" t="s">
        <v>56</v>
      </c>
      <c r="L2243" t="s">
        <v>187</v>
      </c>
      <c r="M2243" t="s">
        <v>129</v>
      </c>
      <c r="N2243" t="s">
        <v>40</v>
      </c>
      <c r="O2243" s="4">
        <v>2</v>
      </c>
      <c r="P2243" s="4">
        <v>10</v>
      </c>
      <c r="Q2243" t="s">
        <v>41</v>
      </c>
      <c r="R2243" s="2">
        <v>46191</v>
      </c>
      <c r="S2243" s="4">
        <v>12</v>
      </c>
      <c r="T2243" s="3">
        <v>258000000</v>
      </c>
      <c r="U2243" t="s">
        <v>42</v>
      </c>
      <c r="V2243" t="s">
        <v>59</v>
      </c>
      <c r="W2243" t="s">
        <v>44</v>
      </c>
      <c r="Y2243" t="s">
        <v>180</v>
      </c>
      <c r="Z2243" t="s">
        <v>3178</v>
      </c>
      <c r="AA2243" t="s">
        <v>62</v>
      </c>
      <c r="AB2243" t="s">
        <v>87</v>
      </c>
      <c r="AC2243" t="s">
        <v>62</v>
      </c>
    </row>
    <row r="2244" spans="1:29">
      <c r="A2244" t="s">
        <v>2661</v>
      </c>
      <c r="B2244" s="2">
        <v>46203</v>
      </c>
      <c r="C2244" t="s">
        <v>30</v>
      </c>
      <c r="D2244" t="s">
        <v>31</v>
      </c>
      <c r="E2244" t="s">
        <v>172</v>
      </c>
      <c r="F2244" t="s">
        <v>195</v>
      </c>
      <c r="G2244" t="s">
        <v>476</v>
      </c>
      <c r="H2244" t="s">
        <v>175</v>
      </c>
      <c r="I2244" t="s">
        <v>333</v>
      </c>
      <c r="J2244" t="s">
        <v>3054</v>
      </c>
      <c r="K2244" t="s">
        <v>37</v>
      </c>
      <c r="L2244" t="s">
        <v>38</v>
      </c>
      <c r="M2244" t="s">
        <v>129</v>
      </c>
      <c r="N2244" t="s">
        <v>94</v>
      </c>
      <c r="O2244" s="4">
        <v>4</v>
      </c>
      <c r="P2244" s="4">
        <v>7</v>
      </c>
      <c r="Q2244" t="s">
        <v>107</v>
      </c>
      <c r="R2244" s="2">
        <v>46196</v>
      </c>
      <c r="S2244" s="4">
        <v>7</v>
      </c>
      <c r="T2244" s="3">
        <v>115000000</v>
      </c>
      <c r="U2244" t="s">
        <v>42</v>
      </c>
      <c r="V2244" t="s">
        <v>70</v>
      </c>
      <c r="W2244" t="s">
        <v>95</v>
      </c>
      <c r="X2244" t="s">
        <v>117</v>
      </c>
      <c r="Y2244" t="s">
        <v>268</v>
      </c>
      <c r="Z2244" t="s">
        <v>3179</v>
      </c>
      <c r="AA2244" t="s">
        <v>181</v>
      </c>
      <c r="AB2244" t="s">
        <v>97</v>
      </c>
      <c r="AC2244" t="s">
        <v>181</v>
      </c>
    </row>
    <row r="2245" spans="1:29">
      <c r="A2245" t="s">
        <v>2662</v>
      </c>
      <c r="B2245" s="2">
        <v>46177</v>
      </c>
      <c r="C2245" t="s">
        <v>30</v>
      </c>
      <c r="D2245" t="s">
        <v>134</v>
      </c>
      <c r="E2245" t="s">
        <v>75</v>
      </c>
      <c r="F2245" t="s">
        <v>76</v>
      </c>
      <c r="G2245" t="s">
        <v>184</v>
      </c>
      <c r="H2245" t="s">
        <v>185</v>
      </c>
      <c r="I2245" t="s">
        <v>721</v>
      </c>
      <c r="J2245" t="s">
        <v>3147</v>
      </c>
      <c r="K2245" t="s">
        <v>37</v>
      </c>
      <c r="L2245" t="s">
        <v>55</v>
      </c>
      <c r="M2245" t="s">
        <v>129</v>
      </c>
      <c r="N2245" t="s">
        <v>94</v>
      </c>
      <c r="O2245" s="4">
        <v>4</v>
      </c>
      <c r="P2245" s="4">
        <v>8</v>
      </c>
      <c r="Q2245" t="s">
        <v>142</v>
      </c>
      <c r="R2245" s="2">
        <v>46173</v>
      </c>
      <c r="S2245" s="4">
        <v>30</v>
      </c>
      <c r="T2245" s="3">
        <v>159000000</v>
      </c>
      <c r="U2245" t="s">
        <v>42</v>
      </c>
      <c r="V2245" t="s">
        <v>143</v>
      </c>
      <c r="W2245" t="s">
        <v>170</v>
      </c>
      <c r="Y2245" t="s">
        <v>96</v>
      </c>
      <c r="Z2245" t="s">
        <v>3179</v>
      </c>
      <c r="AA2245" t="s">
        <v>86</v>
      </c>
      <c r="AB2245" t="s">
        <v>97</v>
      </c>
      <c r="AC2245" t="s">
        <v>86</v>
      </c>
    </row>
    <row r="2246" spans="1:29">
      <c r="A2246" t="s">
        <v>2663</v>
      </c>
      <c r="B2246" s="2">
        <v>46178</v>
      </c>
      <c r="C2246" t="s">
        <v>30</v>
      </c>
      <c r="D2246" t="s">
        <v>134</v>
      </c>
      <c r="E2246" t="s">
        <v>75</v>
      </c>
      <c r="F2246" t="s">
        <v>183</v>
      </c>
      <c r="G2246" t="s">
        <v>162</v>
      </c>
      <c r="H2246" t="s">
        <v>78</v>
      </c>
      <c r="I2246" t="s">
        <v>810</v>
      </c>
      <c r="J2246" t="s">
        <v>3157</v>
      </c>
      <c r="K2246" t="s">
        <v>37</v>
      </c>
      <c r="L2246" t="s">
        <v>38</v>
      </c>
      <c r="M2246" t="s">
        <v>81</v>
      </c>
      <c r="N2246" t="s">
        <v>94</v>
      </c>
      <c r="O2246" s="4">
        <v>4</v>
      </c>
      <c r="P2246" s="4">
        <v>11</v>
      </c>
      <c r="Q2246" t="s">
        <v>69</v>
      </c>
      <c r="R2246" s="2">
        <v>46170</v>
      </c>
      <c r="S2246" s="4">
        <v>33</v>
      </c>
      <c r="T2246" s="3">
        <v>204000000</v>
      </c>
      <c r="U2246" t="s">
        <v>42</v>
      </c>
      <c r="V2246" t="s">
        <v>59</v>
      </c>
      <c r="W2246" t="s">
        <v>267</v>
      </c>
      <c r="Y2246" t="s">
        <v>96</v>
      </c>
      <c r="Z2246" t="s">
        <v>3179</v>
      </c>
      <c r="AA2246" t="s">
        <v>86</v>
      </c>
      <c r="AB2246" t="s">
        <v>97</v>
      </c>
      <c r="AC2246" t="s">
        <v>86</v>
      </c>
    </row>
    <row r="2247" spans="1:29">
      <c r="A2247" t="s">
        <v>2664</v>
      </c>
      <c r="B2247" s="2">
        <v>46203</v>
      </c>
      <c r="C2247" t="s">
        <v>30</v>
      </c>
      <c r="D2247" t="s">
        <v>31</v>
      </c>
      <c r="E2247" t="s">
        <v>152</v>
      </c>
      <c r="F2247" t="s">
        <v>153</v>
      </c>
      <c r="G2247" t="s">
        <v>286</v>
      </c>
      <c r="H2247" t="s">
        <v>207</v>
      </c>
      <c r="I2247" t="s">
        <v>637</v>
      </c>
      <c r="J2247" t="s">
        <v>3137</v>
      </c>
      <c r="K2247" t="s">
        <v>37</v>
      </c>
      <c r="L2247" t="s">
        <v>80</v>
      </c>
      <c r="M2247" t="s">
        <v>129</v>
      </c>
      <c r="N2247" t="s">
        <v>57</v>
      </c>
      <c r="O2247" s="4">
        <v>3</v>
      </c>
      <c r="P2247" s="4">
        <v>7</v>
      </c>
      <c r="Q2247" t="s">
        <v>138</v>
      </c>
      <c r="R2247" s="2">
        <v>46199</v>
      </c>
      <c r="S2247" s="4">
        <v>4</v>
      </c>
      <c r="T2247" s="3">
        <v>85000000</v>
      </c>
      <c r="U2247" t="s">
        <v>42</v>
      </c>
      <c r="V2247" t="s">
        <v>59</v>
      </c>
      <c r="W2247" t="s">
        <v>71</v>
      </c>
      <c r="Y2247" t="s">
        <v>165</v>
      </c>
      <c r="Z2247" t="s">
        <v>3177</v>
      </c>
      <c r="AA2247" t="s">
        <v>159</v>
      </c>
      <c r="AB2247" t="s">
        <v>63</v>
      </c>
      <c r="AC2247" t="s">
        <v>159</v>
      </c>
    </row>
    <row r="2248" spans="1:29">
      <c r="A2248" t="s">
        <v>2665</v>
      </c>
      <c r="B2248" s="2">
        <v>46180</v>
      </c>
      <c r="C2248" t="s">
        <v>30</v>
      </c>
      <c r="D2248" t="s">
        <v>134</v>
      </c>
      <c r="E2248" t="s">
        <v>50</v>
      </c>
      <c r="F2248" t="s">
        <v>351</v>
      </c>
      <c r="G2248" t="s">
        <v>65</v>
      </c>
      <c r="H2248" t="s">
        <v>53</v>
      </c>
      <c r="I2248" t="s">
        <v>307</v>
      </c>
      <c r="J2248" t="s">
        <v>3047</v>
      </c>
      <c r="K2248" t="s">
        <v>37</v>
      </c>
      <c r="L2248" t="s">
        <v>80</v>
      </c>
      <c r="M2248" t="s">
        <v>106</v>
      </c>
      <c r="N2248" t="s">
        <v>94</v>
      </c>
      <c r="O2248" s="4">
        <v>4</v>
      </c>
      <c r="P2248" s="4">
        <v>13</v>
      </c>
      <c r="Q2248" t="s">
        <v>41</v>
      </c>
      <c r="R2248" s="2">
        <v>46171</v>
      </c>
      <c r="S2248" s="4">
        <v>32</v>
      </c>
      <c r="T2248" s="3">
        <v>170000000</v>
      </c>
      <c r="U2248" t="s">
        <v>42</v>
      </c>
      <c r="V2248" t="s">
        <v>70</v>
      </c>
      <c r="W2248" t="s">
        <v>188</v>
      </c>
      <c r="Y2248" t="s">
        <v>228</v>
      </c>
      <c r="Z2248" t="s">
        <v>3179</v>
      </c>
      <c r="AA2248" t="s">
        <v>62</v>
      </c>
      <c r="AB2248" t="s">
        <v>97</v>
      </c>
      <c r="AC2248" t="s">
        <v>62</v>
      </c>
    </row>
    <row r="2249" spans="1:29">
      <c r="A2249" t="s">
        <v>2666</v>
      </c>
      <c r="B2249" s="2">
        <v>46178</v>
      </c>
      <c r="C2249" t="s">
        <v>30</v>
      </c>
      <c r="D2249" t="s">
        <v>134</v>
      </c>
      <c r="E2249" t="s">
        <v>100</v>
      </c>
      <c r="F2249" t="s">
        <v>101</v>
      </c>
      <c r="G2249" t="s">
        <v>313</v>
      </c>
      <c r="H2249" t="s">
        <v>103</v>
      </c>
      <c r="I2249" t="s">
        <v>994</v>
      </c>
      <c r="J2249" t="s">
        <v>3169</v>
      </c>
      <c r="K2249" t="s">
        <v>56</v>
      </c>
      <c r="L2249" t="s">
        <v>187</v>
      </c>
      <c r="M2249" t="s">
        <v>164</v>
      </c>
      <c r="N2249" t="s">
        <v>57</v>
      </c>
      <c r="O2249" s="4">
        <v>3</v>
      </c>
      <c r="P2249" s="4">
        <v>12</v>
      </c>
      <c r="Q2249" t="s">
        <v>69</v>
      </c>
      <c r="R2249" s="2">
        <v>46178</v>
      </c>
      <c r="S2249" s="4">
        <v>25</v>
      </c>
      <c r="T2249" s="3">
        <v>403000000</v>
      </c>
      <c r="U2249" t="s">
        <v>42</v>
      </c>
      <c r="V2249" t="s">
        <v>43</v>
      </c>
      <c r="W2249" t="s">
        <v>157</v>
      </c>
      <c r="Y2249" t="s">
        <v>165</v>
      </c>
      <c r="Z2249" t="s">
        <v>3180</v>
      </c>
      <c r="AA2249" t="s">
        <v>109</v>
      </c>
      <c r="AB2249" t="s">
        <v>193</v>
      </c>
      <c r="AC2249" t="s">
        <v>109</v>
      </c>
    </row>
    <row r="2250" spans="1:29">
      <c r="A2250" t="s">
        <v>2667</v>
      </c>
      <c r="B2250" s="2">
        <v>46197</v>
      </c>
      <c r="C2250" t="s">
        <v>30</v>
      </c>
      <c r="D2250" t="s">
        <v>49</v>
      </c>
      <c r="E2250" t="s">
        <v>152</v>
      </c>
      <c r="F2250" t="s">
        <v>221</v>
      </c>
      <c r="G2250" t="s">
        <v>206</v>
      </c>
      <c r="H2250" t="s">
        <v>155</v>
      </c>
      <c r="I2250" t="s">
        <v>443</v>
      </c>
      <c r="J2250" t="s">
        <v>3086</v>
      </c>
      <c r="K2250" t="s">
        <v>37</v>
      </c>
      <c r="L2250" t="s">
        <v>68</v>
      </c>
      <c r="M2250" t="s">
        <v>56</v>
      </c>
      <c r="N2250" t="s">
        <v>82</v>
      </c>
      <c r="O2250" s="4">
        <v>1</v>
      </c>
      <c r="P2250" s="4">
        <v>13</v>
      </c>
      <c r="Q2250" t="s">
        <v>58</v>
      </c>
      <c r="R2250" s="2">
        <v>46197</v>
      </c>
      <c r="S2250" s="4">
        <v>6</v>
      </c>
      <c r="T2250" s="3">
        <v>220000000</v>
      </c>
      <c r="U2250" t="s">
        <v>42</v>
      </c>
      <c r="V2250" t="s">
        <v>59</v>
      </c>
      <c r="W2250" t="s">
        <v>290</v>
      </c>
      <c r="Y2250" t="s">
        <v>85</v>
      </c>
      <c r="Z2250" t="s">
        <v>3180</v>
      </c>
      <c r="AA2250" t="s">
        <v>159</v>
      </c>
      <c r="AB2250" t="s">
        <v>193</v>
      </c>
      <c r="AC2250" t="s">
        <v>159</v>
      </c>
    </row>
    <row r="2251" spans="1:29">
      <c r="A2251" t="s">
        <v>2668</v>
      </c>
      <c r="B2251" s="2">
        <v>46183</v>
      </c>
      <c r="C2251" t="s">
        <v>30</v>
      </c>
      <c r="D2251" t="s">
        <v>99</v>
      </c>
      <c r="E2251" t="s">
        <v>50</v>
      </c>
      <c r="F2251" t="s">
        <v>351</v>
      </c>
      <c r="G2251" t="s">
        <v>343</v>
      </c>
      <c r="H2251" t="s">
        <v>90</v>
      </c>
      <c r="I2251" t="s">
        <v>497</v>
      </c>
      <c r="J2251" t="s">
        <v>3105</v>
      </c>
      <c r="K2251" t="s">
        <v>92</v>
      </c>
      <c r="L2251" t="s">
        <v>150</v>
      </c>
      <c r="M2251" t="s">
        <v>81</v>
      </c>
      <c r="N2251" t="s">
        <v>130</v>
      </c>
      <c r="O2251" s="4">
        <v>5</v>
      </c>
      <c r="P2251" s="4">
        <v>15</v>
      </c>
      <c r="Q2251" t="s">
        <v>142</v>
      </c>
      <c r="R2251" s="2">
        <v>46180</v>
      </c>
      <c r="S2251" s="4">
        <v>23</v>
      </c>
      <c r="T2251" s="3">
        <v>193000000</v>
      </c>
      <c r="U2251" t="s">
        <v>426</v>
      </c>
      <c r="V2251" t="s">
        <v>70</v>
      </c>
      <c r="W2251" t="s">
        <v>131</v>
      </c>
      <c r="X2251" t="s">
        <v>308</v>
      </c>
      <c r="Y2251" t="s">
        <v>132</v>
      </c>
      <c r="Z2251" t="s">
        <v>3179</v>
      </c>
      <c r="AA2251" t="s">
        <v>62</v>
      </c>
      <c r="AB2251" t="s">
        <v>97</v>
      </c>
      <c r="AC2251" t="s">
        <v>62</v>
      </c>
    </row>
    <row r="2252" spans="1:29">
      <c r="A2252" t="s">
        <v>2669</v>
      </c>
      <c r="B2252" s="2">
        <v>46199</v>
      </c>
      <c r="C2252" t="s">
        <v>30</v>
      </c>
      <c r="D2252" t="s">
        <v>49</v>
      </c>
      <c r="E2252" t="s">
        <v>152</v>
      </c>
      <c r="F2252" t="s">
        <v>221</v>
      </c>
      <c r="G2252" t="s">
        <v>328</v>
      </c>
      <c r="H2252" t="s">
        <v>155</v>
      </c>
      <c r="I2252" t="s">
        <v>418</v>
      </c>
      <c r="J2252" t="s">
        <v>3079</v>
      </c>
      <c r="K2252" t="s">
        <v>56</v>
      </c>
      <c r="L2252" t="s">
        <v>38</v>
      </c>
      <c r="M2252" t="s">
        <v>39</v>
      </c>
      <c r="N2252" t="s">
        <v>57</v>
      </c>
      <c r="O2252" s="4">
        <v>3</v>
      </c>
      <c r="P2252" s="4">
        <v>15</v>
      </c>
      <c r="Q2252" t="s">
        <v>142</v>
      </c>
      <c r="R2252" s="2">
        <v>46191</v>
      </c>
      <c r="S2252" s="4">
        <v>12</v>
      </c>
      <c r="T2252" s="3">
        <v>175000000</v>
      </c>
      <c r="U2252" t="s">
        <v>42</v>
      </c>
      <c r="V2252" t="s">
        <v>59</v>
      </c>
      <c r="W2252" t="s">
        <v>71</v>
      </c>
      <c r="Y2252" t="s">
        <v>158</v>
      </c>
      <c r="Z2252" t="s">
        <v>3180</v>
      </c>
      <c r="AA2252" t="s">
        <v>159</v>
      </c>
      <c r="AB2252" t="s">
        <v>193</v>
      </c>
      <c r="AC2252" t="s">
        <v>159</v>
      </c>
    </row>
    <row r="2253" spans="1:29">
      <c r="A2253" t="s">
        <v>2670</v>
      </c>
      <c r="B2253" s="2">
        <v>46192</v>
      </c>
      <c r="C2253" t="s">
        <v>30</v>
      </c>
      <c r="D2253" t="s">
        <v>74</v>
      </c>
      <c r="E2253" t="s">
        <v>75</v>
      </c>
      <c r="F2253" t="s">
        <v>76</v>
      </c>
      <c r="G2253" t="s">
        <v>184</v>
      </c>
      <c r="H2253" t="s">
        <v>388</v>
      </c>
      <c r="I2253" t="s">
        <v>630</v>
      </c>
      <c r="J2253" t="s">
        <v>3135</v>
      </c>
      <c r="K2253" t="s">
        <v>56</v>
      </c>
      <c r="L2253" t="s">
        <v>68</v>
      </c>
      <c r="M2253" t="s">
        <v>81</v>
      </c>
      <c r="N2253" t="s">
        <v>82</v>
      </c>
      <c r="O2253" s="4">
        <v>1</v>
      </c>
      <c r="P2253" s="4">
        <v>10</v>
      </c>
      <c r="Q2253" t="s">
        <v>107</v>
      </c>
      <c r="R2253" s="2">
        <v>46183</v>
      </c>
      <c r="S2253" s="4">
        <v>20</v>
      </c>
      <c r="T2253" s="3">
        <v>334000000</v>
      </c>
      <c r="U2253" t="s">
        <v>42</v>
      </c>
      <c r="V2253" t="s">
        <v>43</v>
      </c>
      <c r="W2253" t="s">
        <v>359</v>
      </c>
      <c r="Y2253" t="s">
        <v>85</v>
      </c>
      <c r="Z2253" t="s">
        <v>3178</v>
      </c>
      <c r="AA2253" t="s">
        <v>86</v>
      </c>
      <c r="AB2253" t="s">
        <v>87</v>
      </c>
      <c r="AC2253" t="s">
        <v>86</v>
      </c>
    </row>
    <row r="2254" spans="1:29">
      <c r="A2254" t="s">
        <v>2671</v>
      </c>
      <c r="B2254" s="2">
        <v>46203</v>
      </c>
      <c r="C2254" t="s">
        <v>30</v>
      </c>
      <c r="D2254" t="s">
        <v>31</v>
      </c>
      <c r="E2254" t="s">
        <v>152</v>
      </c>
      <c r="F2254" t="s">
        <v>205</v>
      </c>
      <c r="G2254" t="s">
        <v>154</v>
      </c>
      <c r="H2254" t="s">
        <v>155</v>
      </c>
      <c r="I2254" t="s">
        <v>537</v>
      </c>
      <c r="J2254" t="s">
        <v>3113</v>
      </c>
      <c r="K2254" t="s">
        <v>92</v>
      </c>
      <c r="L2254" t="s">
        <v>80</v>
      </c>
      <c r="M2254" t="s">
        <v>93</v>
      </c>
      <c r="N2254" t="s">
        <v>57</v>
      </c>
      <c r="O2254" s="4">
        <v>3</v>
      </c>
      <c r="P2254" s="4">
        <v>6</v>
      </c>
      <c r="Q2254" t="s">
        <v>58</v>
      </c>
      <c r="R2254" s="2">
        <v>46203</v>
      </c>
      <c r="S2254" s="4">
        <v>0</v>
      </c>
      <c r="T2254" s="3">
        <v>219000000</v>
      </c>
      <c r="U2254" t="s">
        <v>42</v>
      </c>
      <c r="V2254" t="s">
        <v>59</v>
      </c>
      <c r="W2254" t="s">
        <v>71</v>
      </c>
      <c r="Y2254" t="s">
        <v>61</v>
      </c>
      <c r="Z2254" t="s">
        <v>3177</v>
      </c>
      <c r="AA2254" t="s">
        <v>159</v>
      </c>
      <c r="AB2254" t="s">
        <v>63</v>
      </c>
      <c r="AC2254" t="s">
        <v>159</v>
      </c>
    </row>
    <row r="2255" spans="1:29">
      <c r="A2255" t="s">
        <v>2672</v>
      </c>
      <c r="B2255" s="2">
        <v>46183</v>
      </c>
      <c r="C2255" t="s">
        <v>30</v>
      </c>
      <c r="D2255" t="s">
        <v>99</v>
      </c>
      <c r="E2255" t="s">
        <v>100</v>
      </c>
      <c r="F2255" t="s">
        <v>101</v>
      </c>
      <c r="G2255" t="s">
        <v>313</v>
      </c>
      <c r="H2255" t="s">
        <v>148</v>
      </c>
      <c r="I2255" t="s">
        <v>315</v>
      </c>
      <c r="J2255" t="s">
        <v>3049</v>
      </c>
      <c r="K2255" t="s">
        <v>56</v>
      </c>
      <c r="L2255" t="s">
        <v>169</v>
      </c>
      <c r="M2255" t="s">
        <v>164</v>
      </c>
      <c r="N2255" t="s">
        <v>57</v>
      </c>
      <c r="O2255" s="4">
        <v>3</v>
      </c>
      <c r="P2255" s="4">
        <v>14</v>
      </c>
      <c r="Q2255" t="s">
        <v>142</v>
      </c>
      <c r="R2255" s="2">
        <v>46178</v>
      </c>
      <c r="S2255" s="4">
        <v>25</v>
      </c>
      <c r="T2255" s="3">
        <v>360000000</v>
      </c>
      <c r="U2255" t="s">
        <v>42</v>
      </c>
      <c r="V2255" t="s">
        <v>59</v>
      </c>
      <c r="W2255" t="s">
        <v>157</v>
      </c>
      <c r="Y2255" t="s">
        <v>165</v>
      </c>
      <c r="Z2255" t="s">
        <v>3180</v>
      </c>
      <c r="AA2255" t="s">
        <v>109</v>
      </c>
      <c r="AB2255" t="s">
        <v>193</v>
      </c>
      <c r="AC2255" t="s">
        <v>109</v>
      </c>
    </row>
    <row r="2256" spans="1:29">
      <c r="A2256" t="s">
        <v>2673</v>
      </c>
      <c r="B2256" s="2">
        <v>46187</v>
      </c>
      <c r="C2256" t="s">
        <v>30</v>
      </c>
      <c r="D2256" t="s">
        <v>99</v>
      </c>
      <c r="E2256" t="s">
        <v>172</v>
      </c>
      <c r="F2256" t="s">
        <v>195</v>
      </c>
      <c r="G2256" t="s">
        <v>476</v>
      </c>
      <c r="H2256" t="s">
        <v>317</v>
      </c>
      <c r="I2256" t="s">
        <v>534</v>
      </c>
      <c r="J2256" t="s">
        <v>3112</v>
      </c>
      <c r="K2256" t="s">
        <v>37</v>
      </c>
      <c r="L2256" t="s">
        <v>38</v>
      </c>
      <c r="M2256" t="s">
        <v>81</v>
      </c>
      <c r="N2256" t="s">
        <v>82</v>
      </c>
      <c r="O2256" s="4">
        <v>1</v>
      </c>
      <c r="P2256" s="4">
        <v>7</v>
      </c>
      <c r="Q2256" t="s">
        <v>58</v>
      </c>
      <c r="R2256" s="2">
        <v>46178</v>
      </c>
      <c r="S2256" s="4">
        <v>25</v>
      </c>
      <c r="T2256" s="3">
        <v>208000000</v>
      </c>
      <c r="U2256" t="s">
        <v>42</v>
      </c>
      <c r="V2256" t="s">
        <v>43</v>
      </c>
      <c r="W2256" t="s">
        <v>290</v>
      </c>
      <c r="Y2256" t="s">
        <v>291</v>
      </c>
      <c r="Z2256" t="s">
        <v>3178</v>
      </c>
      <c r="AA2256" t="s">
        <v>181</v>
      </c>
      <c r="AB2256" t="s">
        <v>87</v>
      </c>
      <c r="AC2256" t="s">
        <v>181</v>
      </c>
    </row>
    <row r="2257" spans="1:29">
      <c r="A2257" t="s">
        <v>2674</v>
      </c>
      <c r="B2257" s="2">
        <v>46179</v>
      </c>
      <c r="C2257" t="s">
        <v>30</v>
      </c>
      <c r="D2257" t="s">
        <v>134</v>
      </c>
      <c r="E2257" t="s">
        <v>50</v>
      </c>
      <c r="F2257" t="s">
        <v>351</v>
      </c>
      <c r="G2257" t="s">
        <v>270</v>
      </c>
      <c r="H2257" t="s">
        <v>90</v>
      </c>
      <c r="I2257" t="s">
        <v>352</v>
      </c>
      <c r="J2257" t="s">
        <v>3060</v>
      </c>
      <c r="K2257" t="s">
        <v>92</v>
      </c>
      <c r="L2257" t="s">
        <v>38</v>
      </c>
      <c r="M2257" t="s">
        <v>56</v>
      </c>
      <c r="N2257" t="s">
        <v>196</v>
      </c>
      <c r="O2257" s="4">
        <v>7</v>
      </c>
      <c r="P2257" s="4">
        <v>15</v>
      </c>
      <c r="Q2257" t="s">
        <v>83</v>
      </c>
      <c r="R2257" s="2">
        <v>46174</v>
      </c>
      <c r="S2257" s="4">
        <v>29</v>
      </c>
      <c r="T2257" s="3">
        <v>195000000</v>
      </c>
      <c r="U2257" t="s">
        <v>196</v>
      </c>
      <c r="V2257" t="s">
        <v>70</v>
      </c>
      <c r="W2257" t="s">
        <v>197</v>
      </c>
      <c r="Y2257" t="s">
        <v>198</v>
      </c>
      <c r="Z2257" t="s">
        <v>3181</v>
      </c>
      <c r="AA2257" t="s">
        <v>62</v>
      </c>
      <c r="AB2257" t="s">
        <v>199</v>
      </c>
      <c r="AC2257" t="s">
        <v>62</v>
      </c>
    </row>
    <row r="2258" spans="1:29">
      <c r="A2258" t="s">
        <v>2675</v>
      </c>
      <c r="B2258" s="2">
        <v>46203</v>
      </c>
      <c r="C2258" t="s">
        <v>30</v>
      </c>
      <c r="D2258" t="s">
        <v>31</v>
      </c>
      <c r="E2258" t="s">
        <v>100</v>
      </c>
      <c r="F2258" t="s">
        <v>101</v>
      </c>
      <c r="G2258" t="s">
        <v>313</v>
      </c>
      <c r="H2258" t="s">
        <v>103</v>
      </c>
      <c r="I2258" t="s">
        <v>141</v>
      </c>
      <c r="J2258" t="s">
        <v>3018</v>
      </c>
      <c r="K2258" t="s">
        <v>105</v>
      </c>
      <c r="L2258" t="s">
        <v>55</v>
      </c>
      <c r="M2258" t="s">
        <v>164</v>
      </c>
      <c r="N2258" t="s">
        <v>130</v>
      </c>
      <c r="O2258" s="4">
        <v>5</v>
      </c>
      <c r="P2258" s="4">
        <v>18</v>
      </c>
      <c r="Q2258" t="s">
        <v>41</v>
      </c>
      <c r="R2258" s="2">
        <v>46195</v>
      </c>
      <c r="S2258" s="4">
        <v>8</v>
      </c>
      <c r="T2258" s="3">
        <v>145000000</v>
      </c>
      <c r="U2258" t="s">
        <v>42</v>
      </c>
      <c r="V2258" t="s">
        <v>70</v>
      </c>
      <c r="W2258" t="s">
        <v>355</v>
      </c>
      <c r="X2258" t="s">
        <v>117</v>
      </c>
      <c r="Y2258" t="s">
        <v>254</v>
      </c>
      <c r="Z2258" t="s">
        <v>3179</v>
      </c>
      <c r="AA2258" t="s">
        <v>109</v>
      </c>
      <c r="AB2258" t="s">
        <v>97</v>
      </c>
      <c r="AC2258" t="s">
        <v>109</v>
      </c>
    </row>
    <row r="2259" spans="1:29">
      <c r="A2259" t="s">
        <v>2676</v>
      </c>
      <c r="B2259" s="2">
        <v>46201</v>
      </c>
      <c r="C2259" t="s">
        <v>30</v>
      </c>
      <c r="D2259" t="s">
        <v>49</v>
      </c>
      <c r="E2259" t="s">
        <v>50</v>
      </c>
      <c r="F2259" t="s">
        <v>51</v>
      </c>
      <c r="G2259" t="s">
        <v>52</v>
      </c>
      <c r="H2259" t="s">
        <v>90</v>
      </c>
      <c r="I2259" t="s">
        <v>585</v>
      </c>
      <c r="J2259" t="s">
        <v>3126</v>
      </c>
      <c r="K2259" t="s">
        <v>105</v>
      </c>
      <c r="L2259" t="s">
        <v>169</v>
      </c>
      <c r="M2259" t="s">
        <v>56</v>
      </c>
      <c r="N2259" t="s">
        <v>196</v>
      </c>
      <c r="O2259" s="4">
        <v>7</v>
      </c>
      <c r="P2259" s="4">
        <v>17</v>
      </c>
      <c r="Q2259" t="s">
        <v>69</v>
      </c>
      <c r="R2259" s="2">
        <v>46195</v>
      </c>
      <c r="S2259" s="4">
        <v>8</v>
      </c>
      <c r="T2259" s="3">
        <v>227000000</v>
      </c>
      <c r="U2259" t="s">
        <v>196</v>
      </c>
      <c r="V2259" t="s">
        <v>70</v>
      </c>
      <c r="W2259" t="s">
        <v>197</v>
      </c>
      <c r="Y2259" t="s">
        <v>198</v>
      </c>
      <c r="Z2259" t="s">
        <v>3181</v>
      </c>
      <c r="AA2259" t="s">
        <v>62</v>
      </c>
      <c r="AB2259" t="s">
        <v>199</v>
      </c>
      <c r="AC2259" t="s">
        <v>62</v>
      </c>
    </row>
    <row r="2260" spans="1:29">
      <c r="A2260" t="s">
        <v>2677</v>
      </c>
      <c r="B2260" s="2">
        <v>46184</v>
      </c>
      <c r="C2260" t="s">
        <v>30</v>
      </c>
      <c r="D2260" t="s">
        <v>99</v>
      </c>
      <c r="E2260" t="s">
        <v>120</v>
      </c>
      <c r="F2260" t="s">
        <v>167</v>
      </c>
      <c r="G2260" t="s">
        <v>135</v>
      </c>
      <c r="H2260" t="s">
        <v>136</v>
      </c>
      <c r="I2260" t="s">
        <v>275</v>
      </c>
      <c r="J2260" t="s">
        <v>3039</v>
      </c>
      <c r="K2260" t="s">
        <v>105</v>
      </c>
      <c r="L2260" t="s">
        <v>80</v>
      </c>
      <c r="M2260" t="s">
        <v>129</v>
      </c>
      <c r="N2260" t="s">
        <v>130</v>
      </c>
      <c r="O2260" s="4">
        <v>5</v>
      </c>
      <c r="P2260" s="4">
        <v>6</v>
      </c>
      <c r="Q2260" t="s">
        <v>58</v>
      </c>
      <c r="R2260" s="2">
        <v>46180</v>
      </c>
      <c r="S2260" s="4">
        <v>23</v>
      </c>
      <c r="T2260" s="3">
        <v>129000000</v>
      </c>
      <c r="U2260" t="s">
        <v>42</v>
      </c>
      <c r="V2260" t="s">
        <v>59</v>
      </c>
      <c r="W2260" t="s">
        <v>144</v>
      </c>
      <c r="Y2260" t="s">
        <v>254</v>
      </c>
      <c r="Z2260" t="s">
        <v>3179</v>
      </c>
      <c r="AA2260" t="s">
        <v>97</v>
      </c>
      <c r="AB2260" t="s">
        <v>97</v>
      </c>
      <c r="AC2260" t="s">
        <v>97</v>
      </c>
    </row>
    <row r="2261" spans="1:29">
      <c r="A2261" t="s">
        <v>2678</v>
      </c>
      <c r="B2261" s="2">
        <v>46176</v>
      </c>
      <c r="C2261" t="s">
        <v>30</v>
      </c>
      <c r="D2261" t="s">
        <v>134</v>
      </c>
      <c r="E2261" t="s">
        <v>100</v>
      </c>
      <c r="F2261" t="s">
        <v>146</v>
      </c>
      <c r="G2261" t="s">
        <v>313</v>
      </c>
      <c r="H2261" t="s">
        <v>201</v>
      </c>
      <c r="I2261" t="s">
        <v>238</v>
      </c>
      <c r="J2261" t="s">
        <v>3033</v>
      </c>
      <c r="K2261" t="s">
        <v>56</v>
      </c>
      <c r="L2261" t="s">
        <v>80</v>
      </c>
      <c r="M2261" t="s">
        <v>81</v>
      </c>
      <c r="N2261" t="s">
        <v>94</v>
      </c>
      <c r="O2261" s="4">
        <v>4</v>
      </c>
      <c r="P2261" s="4">
        <v>11</v>
      </c>
      <c r="Q2261" t="s">
        <v>41</v>
      </c>
      <c r="R2261" s="2">
        <v>46173</v>
      </c>
      <c r="S2261" s="4">
        <v>30</v>
      </c>
      <c r="T2261" s="3">
        <v>225000000</v>
      </c>
      <c r="U2261" t="s">
        <v>42</v>
      </c>
      <c r="V2261" t="s">
        <v>59</v>
      </c>
      <c r="W2261" t="s">
        <v>188</v>
      </c>
      <c r="Y2261" t="s">
        <v>96</v>
      </c>
      <c r="Z2261" t="s">
        <v>3179</v>
      </c>
      <c r="AA2261" t="s">
        <v>109</v>
      </c>
      <c r="AB2261" t="s">
        <v>97</v>
      </c>
      <c r="AC2261" t="s">
        <v>109</v>
      </c>
    </row>
    <row r="2262" spans="1:29">
      <c r="A2262" t="s">
        <v>2679</v>
      </c>
      <c r="B2262" s="2">
        <v>46183</v>
      </c>
      <c r="C2262" t="s">
        <v>30</v>
      </c>
      <c r="D2262" t="s">
        <v>99</v>
      </c>
      <c r="E2262" t="s">
        <v>32</v>
      </c>
      <c r="F2262" t="s">
        <v>33</v>
      </c>
      <c r="G2262" t="s">
        <v>218</v>
      </c>
      <c r="H2262" t="s">
        <v>258</v>
      </c>
      <c r="I2262" t="s">
        <v>1008</v>
      </c>
      <c r="J2262" t="s">
        <v>3170</v>
      </c>
      <c r="K2262" t="s">
        <v>56</v>
      </c>
      <c r="L2262" t="s">
        <v>80</v>
      </c>
      <c r="M2262" t="s">
        <v>164</v>
      </c>
      <c r="N2262" t="s">
        <v>57</v>
      </c>
      <c r="O2262" s="4">
        <v>3</v>
      </c>
      <c r="P2262" s="4">
        <v>3</v>
      </c>
      <c r="Q2262" t="s">
        <v>83</v>
      </c>
      <c r="R2262" s="2">
        <v>46182</v>
      </c>
      <c r="S2262" s="4">
        <v>21</v>
      </c>
      <c r="T2262" s="3">
        <v>279000000</v>
      </c>
      <c r="U2262" t="s">
        <v>42</v>
      </c>
      <c r="V2262" t="s">
        <v>43</v>
      </c>
      <c r="W2262" t="s">
        <v>157</v>
      </c>
      <c r="Y2262" t="s">
        <v>61</v>
      </c>
      <c r="Z2262" t="s">
        <v>3177</v>
      </c>
      <c r="AA2262" t="s">
        <v>46</v>
      </c>
      <c r="AB2262" t="s">
        <v>63</v>
      </c>
      <c r="AC2262" t="s">
        <v>46</v>
      </c>
    </row>
    <row r="2263" spans="1:29">
      <c r="A2263" t="s">
        <v>2680</v>
      </c>
      <c r="B2263" s="2">
        <v>46175</v>
      </c>
      <c r="C2263" t="s">
        <v>30</v>
      </c>
      <c r="D2263" t="s">
        <v>134</v>
      </c>
      <c r="E2263" t="s">
        <v>75</v>
      </c>
      <c r="F2263" t="s">
        <v>161</v>
      </c>
      <c r="G2263" t="s">
        <v>162</v>
      </c>
      <c r="H2263" t="s">
        <v>388</v>
      </c>
      <c r="I2263" t="s">
        <v>661</v>
      </c>
      <c r="J2263" t="s">
        <v>3144</v>
      </c>
      <c r="K2263" t="s">
        <v>37</v>
      </c>
      <c r="L2263" t="s">
        <v>68</v>
      </c>
      <c r="M2263" t="s">
        <v>164</v>
      </c>
      <c r="N2263" t="s">
        <v>57</v>
      </c>
      <c r="O2263" s="4">
        <v>3</v>
      </c>
      <c r="P2263" s="4">
        <v>17</v>
      </c>
      <c r="Q2263" t="s">
        <v>41</v>
      </c>
      <c r="R2263" s="2">
        <v>46173</v>
      </c>
      <c r="S2263" s="4">
        <v>30</v>
      </c>
      <c r="T2263" s="3">
        <v>171000000</v>
      </c>
      <c r="U2263" t="s">
        <v>42</v>
      </c>
      <c r="V2263" t="s">
        <v>59</v>
      </c>
      <c r="W2263" t="s">
        <v>157</v>
      </c>
      <c r="Y2263" t="s">
        <v>61</v>
      </c>
      <c r="Z2263" t="s">
        <v>3180</v>
      </c>
      <c r="AA2263" t="s">
        <v>86</v>
      </c>
      <c r="AB2263" t="s">
        <v>193</v>
      </c>
      <c r="AC2263" t="s">
        <v>86</v>
      </c>
    </row>
    <row r="2264" spans="1:29">
      <c r="A2264" t="s">
        <v>2681</v>
      </c>
      <c r="B2264" s="2">
        <v>46182</v>
      </c>
      <c r="C2264" t="s">
        <v>30</v>
      </c>
      <c r="D2264" t="s">
        <v>99</v>
      </c>
      <c r="E2264" t="s">
        <v>50</v>
      </c>
      <c r="F2264" t="s">
        <v>351</v>
      </c>
      <c r="G2264" t="s">
        <v>52</v>
      </c>
      <c r="H2264" t="s">
        <v>66</v>
      </c>
      <c r="I2264" t="s">
        <v>902</v>
      </c>
      <c r="J2264" t="s">
        <v>3165</v>
      </c>
      <c r="K2264" t="s">
        <v>92</v>
      </c>
      <c r="L2264" t="s">
        <v>169</v>
      </c>
      <c r="M2264" t="s">
        <v>93</v>
      </c>
      <c r="N2264" t="s">
        <v>40</v>
      </c>
      <c r="O2264" s="4">
        <v>2</v>
      </c>
      <c r="P2264" s="4">
        <v>9</v>
      </c>
      <c r="Q2264" t="s">
        <v>142</v>
      </c>
      <c r="R2264" s="2">
        <v>46175</v>
      </c>
      <c r="S2264" s="4">
        <v>28</v>
      </c>
      <c r="T2264" s="3">
        <v>219000000</v>
      </c>
      <c r="U2264" t="s">
        <v>42</v>
      </c>
      <c r="V2264" t="s">
        <v>43</v>
      </c>
      <c r="W2264" t="s">
        <v>239</v>
      </c>
      <c r="Y2264" t="s">
        <v>309</v>
      </c>
      <c r="Z2264" t="s">
        <v>3178</v>
      </c>
      <c r="AA2264" t="s">
        <v>62</v>
      </c>
      <c r="AB2264" t="s">
        <v>87</v>
      </c>
      <c r="AC2264" t="s">
        <v>62</v>
      </c>
    </row>
    <row r="2265" spans="1:29">
      <c r="A2265" t="s">
        <v>2682</v>
      </c>
      <c r="B2265" s="2">
        <v>46202</v>
      </c>
      <c r="C2265" t="s">
        <v>30</v>
      </c>
      <c r="D2265" t="s">
        <v>31</v>
      </c>
      <c r="E2265" t="s">
        <v>152</v>
      </c>
      <c r="F2265" t="s">
        <v>205</v>
      </c>
      <c r="G2265" t="s">
        <v>294</v>
      </c>
      <c r="H2265" t="s">
        <v>155</v>
      </c>
      <c r="I2265" t="s">
        <v>156</v>
      </c>
      <c r="J2265" t="s">
        <v>3020</v>
      </c>
      <c r="K2265" t="s">
        <v>37</v>
      </c>
      <c r="L2265" t="s">
        <v>55</v>
      </c>
      <c r="M2265" t="s">
        <v>39</v>
      </c>
      <c r="N2265" t="s">
        <v>94</v>
      </c>
      <c r="O2265" s="4">
        <v>4</v>
      </c>
      <c r="P2265" s="4">
        <v>14</v>
      </c>
      <c r="Q2265" t="s">
        <v>138</v>
      </c>
      <c r="R2265" s="2">
        <v>46194</v>
      </c>
      <c r="S2265" s="4">
        <v>9</v>
      </c>
      <c r="T2265" s="3">
        <v>247000000</v>
      </c>
      <c r="U2265" t="s">
        <v>42</v>
      </c>
      <c r="V2265" t="s">
        <v>59</v>
      </c>
      <c r="W2265" t="s">
        <v>267</v>
      </c>
      <c r="Y2265" t="s">
        <v>96</v>
      </c>
      <c r="Z2265" t="s">
        <v>3179</v>
      </c>
      <c r="AA2265" t="s">
        <v>159</v>
      </c>
      <c r="AB2265" t="s">
        <v>97</v>
      </c>
      <c r="AC2265" t="s">
        <v>159</v>
      </c>
    </row>
    <row r="2266" spans="1:29">
      <c r="A2266" t="s">
        <v>2683</v>
      </c>
      <c r="B2266" s="2">
        <v>46177</v>
      </c>
      <c r="C2266" t="s">
        <v>30</v>
      </c>
      <c r="D2266" t="s">
        <v>134</v>
      </c>
      <c r="E2266" t="s">
        <v>111</v>
      </c>
      <c r="F2266" t="s">
        <v>112</v>
      </c>
      <c r="G2266" t="s">
        <v>265</v>
      </c>
      <c r="H2266" t="s">
        <v>191</v>
      </c>
      <c r="I2266" t="s">
        <v>455</v>
      </c>
      <c r="J2266" t="s">
        <v>3091</v>
      </c>
      <c r="K2266" t="s">
        <v>56</v>
      </c>
      <c r="L2266" t="s">
        <v>187</v>
      </c>
      <c r="M2266" t="s">
        <v>129</v>
      </c>
      <c r="N2266" t="s">
        <v>40</v>
      </c>
      <c r="O2266" s="4">
        <v>2</v>
      </c>
      <c r="P2266" s="4">
        <v>5</v>
      </c>
      <c r="Q2266" t="s">
        <v>83</v>
      </c>
      <c r="R2266" s="2">
        <v>46169</v>
      </c>
      <c r="S2266" s="4">
        <v>34</v>
      </c>
      <c r="T2266" s="3">
        <v>281000000</v>
      </c>
      <c r="U2266" t="s">
        <v>42</v>
      </c>
      <c r="V2266" t="s">
        <v>43</v>
      </c>
      <c r="W2266" t="s">
        <v>239</v>
      </c>
      <c r="Y2266" t="s">
        <v>309</v>
      </c>
      <c r="Z2266" t="s">
        <v>3178</v>
      </c>
      <c r="AA2266" t="s">
        <v>118</v>
      </c>
      <c r="AB2266" t="s">
        <v>87</v>
      </c>
      <c r="AC2266" t="s">
        <v>118</v>
      </c>
    </row>
    <row r="2267" spans="1:29">
      <c r="A2267" t="s">
        <v>2684</v>
      </c>
      <c r="B2267" s="2">
        <v>46177</v>
      </c>
      <c r="C2267" t="s">
        <v>30</v>
      </c>
      <c r="D2267" t="s">
        <v>134</v>
      </c>
      <c r="E2267" t="s">
        <v>50</v>
      </c>
      <c r="F2267" t="s">
        <v>89</v>
      </c>
      <c r="G2267" t="s">
        <v>270</v>
      </c>
      <c r="H2267" t="s">
        <v>90</v>
      </c>
      <c r="I2267" t="s">
        <v>352</v>
      </c>
      <c r="J2267" t="s">
        <v>3060</v>
      </c>
      <c r="K2267" t="s">
        <v>37</v>
      </c>
      <c r="L2267" t="s">
        <v>38</v>
      </c>
      <c r="M2267" t="s">
        <v>93</v>
      </c>
      <c r="N2267" t="s">
        <v>94</v>
      </c>
      <c r="O2267" s="4">
        <v>4</v>
      </c>
      <c r="P2267" s="4">
        <v>12</v>
      </c>
      <c r="Q2267" t="s">
        <v>83</v>
      </c>
      <c r="R2267" s="2">
        <v>46171</v>
      </c>
      <c r="S2267" s="4">
        <v>32</v>
      </c>
      <c r="T2267" s="3">
        <v>88000000</v>
      </c>
      <c r="U2267" t="s">
        <v>42</v>
      </c>
      <c r="V2267" t="s">
        <v>59</v>
      </c>
      <c r="W2267" t="s">
        <v>170</v>
      </c>
      <c r="Y2267" t="s">
        <v>268</v>
      </c>
      <c r="Z2267" t="s">
        <v>3179</v>
      </c>
      <c r="AA2267" t="s">
        <v>62</v>
      </c>
      <c r="AB2267" t="s">
        <v>97</v>
      </c>
      <c r="AC2267" t="s">
        <v>62</v>
      </c>
    </row>
    <row r="2268" spans="1:29">
      <c r="A2268" t="s">
        <v>2685</v>
      </c>
      <c r="B2268" s="2">
        <v>46189</v>
      </c>
      <c r="C2268" t="s">
        <v>30</v>
      </c>
      <c r="D2268" t="s">
        <v>74</v>
      </c>
      <c r="E2268" t="s">
        <v>75</v>
      </c>
      <c r="F2268" t="s">
        <v>76</v>
      </c>
      <c r="G2268" t="s">
        <v>230</v>
      </c>
      <c r="H2268" t="s">
        <v>185</v>
      </c>
      <c r="I2268" t="s">
        <v>354</v>
      </c>
      <c r="J2268" t="s">
        <v>3061</v>
      </c>
      <c r="K2268" t="s">
        <v>37</v>
      </c>
      <c r="L2268" t="s">
        <v>150</v>
      </c>
      <c r="M2268" t="s">
        <v>93</v>
      </c>
      <c r="N2268" t="s">
        <v>57</v>
      </c>
      <c r="O2268" s="4">
        <v>3</v>
      </c>
      <c r="P2268" s="4">
        <v>9</v>
      </c>
      <c r="Q2268" t="s">
        <v>83</v>
      </c>
      <c r="R2268" s="2">
        <v>46183</v>
      </c>
      <c r="S2268" s="4">
        <v>20</v>
      </c>
      <c r="T2268" s="3">
        <v>209000000</v>
      </c>
      <c r="U2268" t="s">
        <v>42</v>
      </c>
      <c r="V2268" t="s">
        <v>59</v>
      </c>
      <c r="W2268" t="s">
        <v>203</v>
      </c>
      <c r="Y2268" t="s">
        <v>61</v>
      </c>
      <c r="Z2268" t="s">
        <v>3177</v>
      </c>
      <c r="AA2268" t="s">
        <v>86</v>
      </c>
      <c r="AB2268" t="s">
        <v>63</v>
      </c>
      <c r="AC2268" t="s">
        <v>86</v>
      </c>
    </row>
    <row r="2269" spans="1:29">
      <c r="A2269" t="s">
        <v>2686</v>
      </c>
      <c r="B2269" s="2">
        <v>46197</v>
      </c>
      <c r="C2269" t="s">
        <v>30</v>
      </c>
      <c r="D2269" t="s">
        <v>49</v>
      </c>
      <c r="E2269" t="s">
        <v>32</v>
      </c>
      <c r="F2269" t="s">
        <v>256</v>
      </c>
      <c r="G2269" t="s">
        <v>218</v>
      </c>
      <c r="H2269" t="s">
        <v>35</v>
      </c>
      <c r="I2269" t="s">
        <v>595</v>
      </c>
      <c r="J2269" t="s">
        <v>3128</v>
      </c>
      <c r="K2269" t="s">
        <v>37</v>
      </c>
      <c r="L2269" t="s">
        <v>187</v>
      </c>
      <c r="M2269" t="s">
        <v>81</v>
      </c>
      <c r="N2269" t="s">
        <v>82</v>
      </c>
      <c r="O2269" s="4">
        <v>1</v>
      </c>
      <c r="P2269" s="4">
        <v>3</v>
      </c>
      <c r="Q2269" t="s">
        <v>107</v>
      </c>
      <c r="R2269" s="2">
        <v>46194</v>
      </c>
      <c r="S2269" s="4">
        <v>9</v>
      </c>
      <c r="T2269" s="3">
        <v>150000000</v>
      </c>
      <c r="U2269" t="s">
        <v>42</v>
      </c>
      <c r="V2269" t="s">
        <v>43</v>
      </c>
      <c r="W2269" t="s">
        <v>359</v>
      </c>
      <c r="Y2269" t="s">
        <v>291</v>
      </c>
      <c r="Z2269" t="s">
        <v>3176</v>
      </c>
      <c r="AA2269" t="s">
        <v>46</v>
      </c>
      <c r="AB2269" t="s">
        <v>47</v>
      </c>
      <c r="AC2269" t="s">
        <v>46</v>
      </c>
    </row>
    <row r="2270" spans="1:29">
      <c r="A2270" t="s">
        <v>2687</v>
      </c>
      <c r="B2270" s="2">
        <v>46201</v>
      </c>
      <c r="C2270" t="s">
        <v>30</v>
      </c>
      <c r="D2270" t="s">
        <v>49</v>
      </c>
      <c r="E2270" t="s">
        <v>32</v>
      </c>
      <c r="F2270" t="s">
        <v>273</v>
      </c>
      <c r="G2270" t="s">
        <v>463</v>
      </c>
      <c r="H2270" t="s">
        <v>35</v>
      </c>
      <c r="I2270" t="s">
        <v>323</v>
      </c>
      <c r="J2270" t="s">
        <v>3052</v>
      </c>
      <c r="K2270" t="s">
        <v>37</v>
      </c>
      <c r="L2270" t="s">
        <v>80</v>
      </c>
      <c r="M2270" t="s">
        <v>93</v>
      </c>
      <c r="N2270" t="s">
        <v>40</v>
      </c>
      <c r="O2270" s="4">
        <v>2</v>
      </c>
      <c r="P2270" s="4">
        <v>2</v>
      </c>
      <c r="Q2270" t="s">
        <v>69</v>
      </c>
      <c r="R2270" s="2">
        <v>46194</v>
      </c>
      <c r="S2270" s="4">
        <v>9</v>
      </c>
      <c r="T2270" s="3">
        <v>215000000</v>
      </c>
      <c r="U2270" t="s">
        <v>42</v>
      </c>
      <c r="V2270" t="s">
        <v>43</v>
      </c>
      <c r="W2270" t="s">
        <v>298</v>
      </c>
      <c r="Y2270" t="s">
        <v>45</v>
      </c>
      <c r="Z2270" t="s">
        <v>3176</v>
      </c>
      <c r="AA2270" t="s">
        <v>46</v>
      </c>
      <c r="AB2270" t="s">
        <v>47</v>
      </c>
      <c r="AC2270" t="s">
        <v>46</v>
      </c>
    </row>
    <row r="2271" spans="1:29">
      <c r="A2271" t="s">
        <v>2688</v>
      </c>
      <c r="B2271" s="2">
        <v>46195</v>
      </c>
      <c r="C2271" t="s">
        <v>30</v>
      </c>
      <c r="D2271" t="s">
        <v>49</v>
      </c>
      <c r="E2271" t="s">
        <v>32</v>
      </c>
      <c r="F2271" t="s">
        <v>256</v>
      </c>
      <c r="G2271" t="s">
        <v>463</v>
      </c>
      <c r="H2271" t="s">
        <v>303</v>
      </c>
      <c r="I2271" t="s">
        <v>964</v>
      </c>
      <c r="J2271" t="s">
        <v>3167</v>
      </c>
      <c r="K2271" t="s">
        <v>56</v>
      </c>
      <c r="L2271" t="s">
        <v>68</v>
      </c>
      <c r="M2271" t="s">
        <v>39</v>
      </c>
      <c r="N2271" t="s">
        <v>82</v>
      </c>
      <c r="O2271" s="4">
        <v>1</v>
      </c>
      <c r="P2271" s="4">
        <v>3</v>
      </c>
      <c r="Q2271" t="s">
        <v>107</v>
      </c>
      <c r="R2271" s="2">
        <v>46189</v>
      </c>
      <c r="S2271" s="4">
        <v>14</v>
      </c>
      <c r="T2271" s="3">
        <v>436000000</v>
      </c>
      <c r="U2271" t="s">
        <v>42</v>
      </c>
      <c r="V2271" t="s">
        <v>43</v>
      </c>
      <c r="W2271" t="s">
        <v>404</v>
      </c>
      <c r="Y2271" t="s">
        <v>291</v>
      </c>
      <c r="Z2271" t="s">
        <v>3176</v>
      </c>
      <c r="AA2271" t="s">
        <v>46</v>
      </c>
      <c r="AB2271" t="s">
        <v>47</v>
      </c>
      <c r="AC2271" t="s">
        <v>46</v>
      </c>
    </row>
    <row r="2272" spans="1:29">
      <c r="A2272" t="s">
        <v>2689</v>
      </c>
      <c r="B2272" s="2">
        <v>46196</v>
      </c>
      <c r="C2272" t="s">
        <v>30</v>
      </c>
      <c r="D2272" t="s">
        <v>49</v>
      </c>
      <c r="E2272" t="s">
        <v>172</v>
      </c>
      <c r="F2272" t="s">
        <v>173</v>
      </c>
      <c r="G2272" t="s">
        <v>476</v>
      </c>
      <c r="H2272" t="s">
        <v>241</v>
      </c>
      <c r="I2272" t="s">
        <v>559</v>
      </c>
      <c r="J2272" t="s">
        <v>3119</v>
      </c>
      <c r="K2272" t="s">
        <v>56</v>
      </c>
      <c r="L2272" t="s">
        <v>150</v>
      </c>
      <c r="M2272" t="s">
        <v>56</v>
      </c>
      <c r="N2272" t="s">
        <v>94</v>
      </c>
      <c r="O2272" s="4">
        <v>4</v>
      </c>
      <c r="P2272" s="4">
        <v>7</v>
      </c>
      <c r="Q2272" t="s">
        <v>142</v>
      </c>
      <c r="R2272" s="2">
        <v>46186</v>
      </c>
      <c r="S2272" s="4">
        <v>17</v>
      </c>
      <c r="T2272" s="3">
        <v>136000000</v>
      </c>
      <c r="U2272" t="s">
        <v>42</v>
      </c>
      <c r="V2272" t="s">
        <v>59</v>
      </c>
      <c r="W2272" t="s">
        <v>95</v>
      </c>
      <c r="Y2272" t="s">
        <v>108</v>
      </c>
      <c r="Z2272" t="s">
        <v>3179</v>
      </c>
      <c r="AA2272" t="s">
        <v>181</v>
      </c>
      <c r="AB2272" t="s">
        <v>97</v>
      </c>
      <c r="AC2272" t="s">
        <v>181</v>
      </c>
    </row>
    <row r="2273" spans="1:29">
      <c r="A2273" t="s">
        <v>2690</v>
      </c>
      <c r="B2273" s="2">
        <v>46181</v>
      </c>
      <c r="C2273" t="s">
        <v>30</v>
      </c>
      <c r="D2273" t="s">
        <v>99</v>
      </c>
      <c r="E2273" t="s">
        <v>111</v>
      </c>
      <c r="F2273" t="s">
        <v>190</v>
      </c>
      <c r="G2273" t="s">
        <v>126</v>
      </c>
      <c r="H2273" t="s">
        <v>114</v>
      </c>
      <c r="I2273" t="s">
        <v>645</v>
      </c>
      <c r="J2273" t="s">
        <v>3139</v>
      </c>
      <c r="K2273" t="s">
        <v>92</v>
      </c>
      <c r="L2273" t="s">
        <v>55</v>
      </c>
      <c r="M2273" t="s">
        <v>39</v>
      </c>
      <c r="N2273" t="s">
        <v>213</v>
      </c>
      <c r="O2273" s="4">
        <v>6</v>
      </c>
      <c r="P2273" s="4">
        <v>13</v>
      </c>
      <c r="Q2273" t="s">
        <v>58</v>
      </c>
      <c r="R2273" s="2">
        <v>46178</v>
      </c>
      <c r="S2273" s="4">
        <v>25</v>
      </c>
      <c r="T2273" s="3">
        <v>192000000</v>
      </c>
      <c r="U2273" t="s">
        <v>214</v>
      </c>
      <c r="V2273" t="s">
        <v>70</v>
      </c>
      <c r="W2273" t="s">
        <v>438</v>
      </c>
      <c r="Y2273" t="s">
        <v>432</v>
      </c>
      <c r="Z2273" t="s">
        <v>3179</v>
      </c>
      <c r="AA2273" t="s">
        <v>118</v>
      </c>
      <c r="AB2273" t="s">
        <v>97</v>
      </c>
      <c r="AC2273" t="s">
        <v>118</v>
      </c>
    </row>
    <row r="2274" spans="1:29">
      <c r="A2274" t="s">
        <v>2691</v>
      </c>
      <c r="B2274" s="2">
        <v>46175</v>
      </c>
      <c r="C2274" t="s">
        <v>30</v>
      </c>
      <c r="D2274" t="s">
        <v>134</v>
      </c>
      <c r="E2274" t="s">
        <v>50</v>
      </c>
      <c r="F2274" t="s">
        <v>89</v>
      </c>
      <c r="G2274" t="s">
        <v>52</v>
      </c>
      <c r="H2274" t="s">
        <v>53</v>
      </c>
      <c r="I2274" t="s">
        <v>271</v>
      </c>
      <c r="J2274" t="s">
        <v>3038</v>
      </c>
      <c r="K2274" t="s">
        <v>92</v>
      </c>
      <c r="L2274" t="s">
        <v>187</v>
      </c>
      <c r="M2274" t="s">
        <v>129</v>
      </c>
      <c r="N2274" t="s">
        <v>130</v>
      </c>
      <c r="O2274" s="4">
        <v>5</v>
      </c>
      <c r="P2274" s="4">
        <v>10</v>
      </c>
      <c r="Q2274" t="s">
        <v>107</v>
      </c>
      <c r="R2274" s="2">
        <v>46166</v>
      </c>
      <c r="S2274" s="4">
        <v>37</v>
      </c>
      <c r="T2274" s="3">
        <v>195000000</v>
      </c>
      <c r="U2274" t="s">
        <v>42</v>
      </c>
      <c r="V2274" t="s">
        <v>143</v>
      </c>
      <c r="W2274" t="s">
        <v>252</v>
      </c>
      <c r="Y2274" t="s">
        <v>132</v>
      </c>
      <c r="Z2274" t="s">
        <v>3179</v>
      </c>
      <c r="AA2274" t="s">
        <v>62</v>
      </c>
      <c r="AB2274" t="s">
        <v>97</v>
      </c>
      <c r="AC2274" t="s">
        <v>62</v>
      </c>
    </row>
    <row r="2275" spans="1:29">
      <c r="A2275" t="s">
        <v>2692</v>
      </c>
      <c r="B2275" s="2">
        <v>46199</v>
      </c>
      <c r="C2275" t="s">
        <v>30</v>
      </c>
      <c r="D2275" t="s">
        <v>49</v>
      </c>
      <c r="E2275" t="s">
        <v>111</v>
      </c>
      <c r="F2275" t="s">
        <v>264</v>
      </c>
      <c r="G2275" t="s">
        <v>251</v>
      </c>
      <c r="H2275" t="s">
        <v>191</v>
      </c>
      <c r="I2275" t="s">
        <v>578</v>
      </c>
      <c r="J2275" t="s">
        <v>3124</v>
      </c>
      <c r="K2275" t="s">
        <v>56</v>
      </c>
      <c r="L2275" t="s">
        <v>150</v>
      </c>
      <c r="M2275" t="s">
        <v>81</v>
      </c>
      <c r="N2275" t="s">
        <v>196</v>
      </c>
      <c r="O2275" s="4">
        <v>7</v>
      </c>
      <c r="P2275" s="4">
        <v>15</v>
      </c>
      <c r="Q2275" t="s">
        <v>69</v>
      </c>
      <c r="R2275" s="2">
        <v>46191</v>
      </c>
      <c r="S2275" s="4">
        <v>12</v>
      </c>
      <c r="T2275" s="3">
        <v>489000000</v>
      </c>
      <c r="U2275" t="s">
        <v>196</v>
      </c>
      <c r="V2275" t="s">
        <v>70</v>
      </c>
      <c r="W2275" t="s">
        <v>243</v>
      </c>
      <c r="Y2275" t="s">
        <v>198</v>
      </c>
      <c r="Z2275" t="s">
        <v>3181</v>
      </c>
      <c r="AA2275" t="s">
        <v>118</v>
      </c>
      <c r="AB2275" t="s">
        <v>199</v>
      </c>
      <c r="AC2275" t="s">
        <v>118</v>
      </c>
    </row>
    <row r="2276" spans="1:29">
      <c r="A2276" t="s">
        <v>2693</v>
      </c>
      <c r="B2276" s="2">
        <v>46177</v>
      </c>
      <c r="C2276" t="s">
        <v>30</v>
      </c>
      <c r="D2276" t="s">
        <v>134</v>
      </c>
      <c r="E2276" t="s">
        <v>75</v>
      </c>
      <c r="F2276" t="s">
        <v>183</v>
      </c>
      <c r="G2276" t="s">
        <v>162</v>
      </c>
      <c r="H2276" t="s">
        <v>185</v>
      </c>
      <c r="I2276" t="s">
        <v>542</v>
      </c>
      <c r="J2276" t="s">
        <v>3115</v>
      </c>
      <c r="K2276" t="s">
        <v>56</v>
      </c>
      <c r="L2276" t="s">
        <v>80</v>
      </c>
      <c r="M2276" t="s">
        <v>93</v>
      </c>
      <c r="N2276" t="s">
        <v>94</v>
      </c>
      <c r="O2276" s="4">
        <v>4</v>
      </c>
      <c r="P2276" s="4">
        <v>6</v>
      </c>
      <c r="Q2276" t="s">
        <v>41</v>
      </c>
      <c r="R2276" s="2">
        <v>46173</v>
      </c>
      <c r="S2276" s="4">
        <v>30</v>
      </c>
      <c r="T2276" s="3">
        <v>433000000</v>
      </c>
      <c r="U2276" t="s">
        <v>260</v>
      </c>
      <c r="V2276" t="s">
        <v>143</v>
      </c>
      <c r="W2276" t="s">
        <v>170</v>
      </c>
      <c r="X2276" t="s">
        <v>422</v>
      </c>
      <c r="Y2276" t="s">
        <v>268</v>
      </c>
      <c r="Z2276" t="s">
        <v>3179</v>
      </c>
      <c r="AA2276" t="s">
        <v>86</v>
      </c>
      <c r="AB2276" t="s">
        <v>97</v>
      </c>
      <c r="AC2276" t="s">
        <v>86</v>
      </c>
    </row>
    <row r="2277" spans="1:29">
      <c r="A2277" t="s">
        <v>2694</v>
      </c>
      <c r="B2277" s="2">
        <v>46195</v>
      </c>
      <c r="C2277" t="s">
        <v>30</v>
      </c>
      <c r="D2277" t="s">
        <v>49</v>
      </c>
      <c r="E2277" t="s">
        <v>75</v>
      </c>
      <c r="F2277" t="s">
        <v>161</v>
      </c>
      <c r="G2277" t="s">
        <v>77</v>
      </c>
      <c r="H2277" t="s">
        <v>185</v>
      </c>
      <c r="I2277" t="s">
        <v>186</v>
      </c>
      <c r="J2277" t="s">
        <v>3024</v>
      </c>
      <c r="K2277" t="s">
        <v>92</v>
      </c>
      <c r="L2277" t="s">
        <v>80</v>
      </c>
      <c r="M2277" t="s">
        <v>56</v>
      </c>
      <c r="N2277" t="s">
        <v>196</v>
      </c>
      <c r="O2277" s="4">
        <v>7</v>
      </c>
      <c r="P2277" s="4">
        <v>14</v>
      </c>
      <c r="Q2277" t="s">
        <v>41</v>
      </c>
      <c r="R2277" s="2">
        <v>46187</v>
      </c>
      <c r="S2277" s="4">
        <v>16</v>
      </c>
      <c r="T2277" s="3">
        <v>177000000</v>
      </c>
      <c r="U2277" t="s">
        <v>196</v>
      </c>
      <c r="V2277" t="s">
        <v>70</v>
      </c>
      <c r="W2277" t="s">
        <v>243</v>
      </c>
      <c r="Y2277" t="s">
        <v>369</v>
      </c>
      <c r="Z2277" t="s">
        <v>3181</v>
      </c>
      <c r="AA2277" t="s">
        <v>86</v>
      </c>
      <c r="AB2277" t="s">
        <v>199</v>
      </c>
      <c r="AC2277" t="s">
        <v>86</v>
      </c>
    </row>
    <row r="2278" spans="1:29">
      <c r="A2278" t="s">
        <v>2695</v>
      </c>
      <c r="B2278" s="2">
        <v>46203</v>
      </c>
      <c r="C2278" t="s">
        <v>30</v>
      </c>
      <c r="D2278" t="s">
        <v>31</v>
      </c>
      <c r="E2278" t="s">
        <v>111</v>
      </c>
      <c r="F2278" t="s">
        <v>112</v>
      </c>
      <c r="G2278" t="s">
        <v>265</v>
      </c>
      <c r="H2278" t="s">
        <v>127</v>
      </c>
      <c r="I2278" t="s">
        <v>654</v>
      </c>
      <c r="J2278" t="s">
        <v>3142</v>
      </c>
      <c r="K2278" t="s">
        <v>92</v>
      </c>
      <c r="L2278" t="s">
        <v>187</v>
      </c>
      <c r="M2278" t="s">
        <v>39</v>
      </c>
      <c r="N2278" t="s">
        <v>196</v>
      </c>
      <c r="O2278" s="4">
        <v>7</v>
      </c>
      <c r="P2278" s="4">
        <v>12</v>
      </c>
      <c r="Q2278" t="s">
        <v>107</v>
      </c>
      <c r="R2278" s="2">
        <v>46201</v>
      </c>
      <c r="S2278" s="4">
        <v>2</v>
      </c>
      <c r="T2278" s="3">
        <v>130000000</v>
      </c>
      <c r="U2278" t="s">
        <v>196</v>
      </c>
      <c r="V2278" t="s">
        <v>70</v>
      </c>
      <c r="W2278" t="s">
        <v>675</v>
      </c>
      <c r="Y2278" t="s">
        <v>244</v>
      </c>
      <c r="Z2278" t="s">
        <v>3181</v>
      </c>
      <c r="AA2278" t="s">
        <v>118</v>
      </c>
      <c r="AB2278" t="s">
        <v>199</v>
      </c>
      <c r="AC2278" t="s">
        <v>118</v>
      </c>
    </row>
    <row r="2279" spans="1:29">
      <c r="A2279" t="s">
        <v>2696</v>
      </c>
      <c r="B2279" s="2">
        <v>46185</v>
      </c>
      <c r="C2279" t="s">
        <v>30</v>
      </c>
      <c r="D2279" t="s">
        <v>99</v>
      </c>
      <c r="E2279" t="s">
        <v>111</v>
      </c>
      <c r="F2279" t="s">
        <v>190</v>
      </c>
      <c r="G2279" t="s">
        <v>265</v>
      </c>
      <c r="H2279" t="s">
        <v>114</v>
      </c>
      <c r="I2279" t="s">
        <v>613</v>
      </c>
      <c r="J2279" t="s">
        <v>3133</v>
      </c>
      <c r="K2279" t="s">
        <v>37</v>
      </c>
      <c r="L2279" t="s">
        <v>187</v>
      </c>
      <c r="M2279" t="s">
        <v>129</v>
      </c>
      <c r="N2279" t="s">
        <v>213</v>
      </c>
      <c r="O2279" s="4">
        <v>6</v>
      </c>
      <c r="P2279" s="4">
        <v>13</v>
      </c>
      <c r="Q2279" t="s">
        <v>41</v>
      </c>
      <c r="R2279" s="2">
        <v>46178</v>
      </c>
      <c r="S2279" s="4">
        <v>25</v>
      </c>
      <c r="T2279" s="3">
        <v>283000000</v>
      </c>
      <c r="U2279" t="s">
        <v>260</v>
      </c>
      <c r="V2279" t="s">
        <v>143</v>
      </c>
      <c r="W2279" t="s">
        <v>390</v>
      </c>
      <c r="X2279" t="s">
        <v>422</v>
      </c>
      <c r="Y2279" t="s">
        <v>424</v>
      </c>
      <c r="Z2279" t="s">
        <v>3179</v>
      </c>
      <c r="AA2279" t="s">
        <v>118</v>
      </c>
      <c r="AB2279" t="s">
        <v>97</v>
      </c>
      <c r="AC2279" t="s">
        <v>118</v>
      </c>
    </row>
    <row r="2280" spans="1:29">
      <c r="A2280" t="s">
        <v>2697</v>
      </c>
      <c r="B2280" s="2">
        <v>46192</v>
      </c>
      <c r="C2280" t="s">
        <v>30</v>
      </c>
      <c r="D2280" t="s">
        <v>74</v>
      </c>
      <c r="E2280" t="s">
        <v>172</v>
      </c>
      <c r="F2280" t="s">
        <v>173</v>
      </c>
      <c r="G2280" t="s">
        <v>174</v>
      </c>
      <c r="H2280" t="s">
        <v>317</v>
      </c>
      <c r="I2280" t="s">
        <v>815</v>
      </c>
      <c r="J2280" t="s">
        <v>3158</v>
      </c>
      <c r="K2280" t="s">
        <v>105</v>
      </c>
      <c r="L2280" t="s">
        <v>80</v>
      </c>
      <c r="M2280" t="s">
        <v>81</v>
      </c>
      <c r="N2280" t="s">
        <v>82</v>
      </c>
      <c r="O2280" s="4">
        <v>1</v>
      </c>
      <c r="P2280" s="4">
        <v>9</v>
      </c>
      <c r="Q2280" t="s">
        <v>69</v>
      </c>
      <c r="R2280" s="2">
        <v>46185</v>
      </c>
      <c r="S2280" s="4">
        <v>18</v>
      </c>
      <c r="T2280" s="3">
        <v>132000000</v>
      </c>
      <c r="U2280" t="s">
        <v>42</v>
      </c>
      <c r="V2280" t="s">
        <v>43</v>
      </c>
      <c r="W2280" t="s">
        <v>404</v>
      </c>
      <c r="Y2280" t="s">
        <v>330</v>
      </c>
      <c r="Z2280" t="s">
        <v>3178</v>
      </c>
      <c r="AA2280" t="s">
        <v>181</v>
      </c>
      <c r="AB2280" t="s">
        <v>87</v>
      </c>
      <c r="AC2280" t="s">
        <v>181</v>
      </c>
    </row>
    <row r="2281" spans="1:29">
      <c r="A2281" t="s">
        <v>2698</v>
      </c>
      <c r="B2281" s="2">
        <v>46200</v>
      </c>
      <c r="C2281" t="s">
        <v>30</v>
      </c>
      <c r="D2281" t="s">
        <v>49</v>
      </c>
      <c r="E2281" t="s">
        <v>172</v>
      </c>
      <c r="F2281" t="s">
        <v>195</v>
      </c>
      <c r="G2281" t="s">
        <v>476</v>
      </c>
      <c r="H2281" t="s">
        <v>175</v>
      </c>
      <c r="I2281" t="s">
        <v>956</v>
      </c>
      <c r="J2281" t="s">
        <v>3166</v>
      </c>
      <c r="K2281" t="s">
        <v>56</v>
      </c>
      <c r="L2281" t="s">
        <v>68</v>
      </c>
      <c r="M2281" t="s">
        <v>164</v>
      </c>
      <c r="N2281" t="s">
        <v>94</v>
      </c>
      <c r="O2281" s="4">
        <v>4</v>
      </c>
      <c r="P2281" s="4">
        <v>9</v>
      </c>
      <c r="Q2281" t="s">
        <v>41</v>
      </c>
      <c r="R2281" s="2">
        <v>46190</v>
      </c>
      <c r="S2281" s="4">
        <v>13</v>
      </c>
      <c r="T2281" s="3">
        <v>124000000</v>
      </c>
      <c r="U2281" t="s">
        <v>42</v>
      </c>
      <c r="V2281" t="s">
        <v>59</v>
      </c>
      <c r="W2281" t="s">
        <v>267</v>
      </c>
      <c r="X2281" t="s">
        <v>117</v>
      </c>
      <c r="Y2281" t="s">
        <v>268</v>
      </c>
      <c r="Z2281" t="s">
        <v>3179</v>
      </c>
      <c r="AA2281" t="s">
        <v>181</v>
      </c>
      <c r="AB2281" t="s">
        <v>97</v>
      </c>
      <c r="AC2281" t="s">
        <v>181</v>
      </c>
    </row>
    <row r="2282" spans="1:29">
      <c r="A2282" t="s">
        <v>2699</v>
      </c>
      <c r="B2282" s="2">
        <v>46197</v>
      </c>
      <c r="C2282" t="s">
        <v>30</v>
      </c>
      <c r="D2282" t="s">
        <v>49</v>
      </c>
      <c r="E2282" t="s">
        <v>120</v>
      </c>
      <c r="F2282" t="s">
        <v>167</v>
      </c>
      <c r="G2282" t="s">
        <v>420</v>
      </c>
      <c r="H2282" t="s">
        <v>123</v>
      </c>
      <c r="I2282" t="s">
        <v>838</v>
      </c>
      <c r="J2282" t="s">
        <v>3160</v>
      </c>
      <c r="K2282" t="s">
        <v>92</v>
      </c>
      <c r="L2282" t="s">
        <v>55</v>
      </c>
      <c r="M2282" t="s">
        <v>93</v>
      </c>
      <c r="N2282" t="s">
        <v>213</v>
      </c>
      <c r="O2282" s="4">
        <v>6</v>
      </c>
      <c r="P2282" s="4">
        <v>10</v>
      </c>
      <c r="Q2282" t="s">
        <v>83</v>
      </c>
      <c r="R2282" s="2">
        <v>46194</v>
      </c>
      <c r="S2282" s="4">
        <v>9</v>
      </c>
      <c r="T2282" s="3">
        <v>135000000</v>
      </c>
      <c r="U2282" t="s">
        <v>42</v>
      </c>
      <c r="V2282" t="s">
        <v>70</v>
      </c>
      <c r="W2282" t="s">
        <v>438</v>
      </c>
      <c r="X2282" t="s">
        <v>117</v>
      </c>
      <c r="Y2282" t="s">
        <v>424</v>
      </c>
      <c r="Z2282" t="s">
        <v>3179</v>
      </c>
      <c r="AA2282" t="s">
        <v>97</v>
      </c>
      <c r="AB2282" t="s">
        <v>97</v>
      </c>
      <c r="AC2282" t="s">
        <v>97</v>
      </c>
    </row>
    <row r="2283" spans="1:29">
      <c r="A2283" t="s">
        <v>2700</v>
      </c>
      <c r="B2283" s="2">
        <v>46194</v>
      </c>
      <c r="C2283" t="s">
        <v>30</v>
      </c>
      <c r="D2283" t="s">
        <v>74</v>
      </c>
      <c r="E2283" t="s">
        <v>152</v>
      </c>
      <c r="F2283" t="s">
        <v>221</v>
      </c>
      <c r="G2283" t="s">
        <v>328</v>
      </c>
      <c r="H2283" t="s">
        <v>283</v>
      </c>
      <c r="I2283" t="s">
        <v>663</v>
      </c>
      <c r="J2283" t="s">
        <v>3145</v>
      </c>
      <c r="K2283" t="s">
        <v>116</v>
      </c>
      <c r="L2283" t="s">
        <v>68</v>
      </c>
      <c r="M2283" t="s">
        <v>81</v>
      </c>
      <c r="N2283" t="s">
        <v>94</v>
      </c>
      <c r="O2283" s="4">
        <v>4</v>
      </c>
      <c r="P2283" s="4">
        <v>9</v>
      </c>
      <c r="Q2283" t="s">
        <v>58</v>
      </c>
      <c r="R2283" s="2">
        <v>46185</v>
      </c>
      <c r="S2283" s="4">
        <v>18</v>
      </c>
      <c r="T2283" s="3">
        <v>62000000</v>
      </c>
      <c r="U2283" t="s">
        <v>42</v>
      </c>
      <c r="V2283" t="s">
        <v>59</v>
      </c>
      <c r="W2283" t="s">
        <v>95</v>
      </c>
      <c r="X2283" t="s">
        <v>117</v>
      </c>
      <c r="Y2283" t="s">
        <v>228</v>
      </c>
      <c r="Z2283" t="s">
        <v>3179</v>
      </c>
      <c r="AA2283" t="s">
        <v>159</v>
      </c>
      <c r="AB2283" t="s">
        <v>97</v>
      </c>
      <c r="AC2283" t="s">
        <v>159</v>
      </c>
    </row>
    <row r="2284" spans="1:29">
      <c r="A2284" t="s">
        <v>2701</v>
      </c>
      <c r="B2284" s="2">
        <v>46201</v>
      </c>
      <c r="C2284" t="s">
        <v>30</v>
      </c>
      <c r="D2284" t="s">
        <v>49</v>
      </c>
      <c r="E2284" t="s">
        <v>50</v>
      </c>
      <c r="F2284" t="s">
        <v>89</v>
      </c>
      <c r="G2284" t="s">
        <v>52</v>
      </c>
      <c r="H2284" t="s">
        <v>90</v>
      </c>
      <c r="I2284" t="s">
        <v>377</v>
      </c>
      <c r="J2284" t="s">
        <v>3068</v>
      </c>
      <c r="K2284" t="s">
        <v>37</v>
      </c>
      <c r="L2284" t="s">
        <v>187</v>
      </c>
      <c r="M2284" t="s">
        <v>81</v>
      </c>
      <c r="N2284" t="s">
        <v>57</v>
      </c>
      <c r="O2284" s="4">
        <v>3</v>
      </c>
      <c r="P2284" s="4">
        <v>11</v>
      </c>
      <c r="Q2284" t="s">
        <v>107</v>
      </c>
      <c r="R2284" s="2">
        <v>46197</v>
      </c>
      <c r="S2284" s="4">
        <v>6</v>
      </c>
      <c r="T2284" s="3">
        <v>238000000</v>
      </c>
      <c r="U2284" t="s">
        <v>177</v>
      </c>
      <c r="V2284" t="s">
        <v>43</v>
      </c>
      <c r="W2284" t="s">
        <v>71</v>
      </c>
      <c r="X2284" t="s">
        <v>520</v>
      </c>
      <c r="Y2284" t="s">
        <v>72</v>
      </c>
      <c r="Z2284" t="s">
        <v>3177</v>
      </c>
      <c r="AA2284" t="s">
        <v>62</v>
      </c>
      <c r="AB2284" t="s">
        <v>63</v>
      </c>
      <c r="AC2284" t="s">
        <v>62</v>
      </c>
    </row>
    <row r="2285" spans="1:29">
      <c r="A2285" t="s">
        <v>2702</v>
      </c>
      <c r="B2285" s="2">
        <v>46201</v>
      </c>
      <c r="C2285" t="s">
        <v>30</v>
      </c>
      <c r="D2285" t="s">
        <v>49</v>
      </c>
      <c r="E2285" t="s">
        <v>50</v>
      </c>
      <c r="F2285" t="s">
        <v>51</v>
      </c>
      <c r="G2285" t="s">
        <v>234</v>
      </c>
      <c r="H2285" t="s">
        <v>53</v>
      </c>
      <c r="I2285" t="s">
        <v>307</v>
      </c>
      <c r="J2285" t="s">
        <v>3047</v>
      </c>
      <c r="K2285" t="s">
        <v>92</v>
      </c>
      <c r="L2285" t="s">
        <v>38</v>
      </c>
      <c r="M2285" t="s">
        <v>164</v>
      </c>
      <c r="N2285" t="s">
        <v>40</v>
      </c>
      <c r="O2285" s="4">
        <v>2</v>
      </c>
      <c r="P2285" s="4">
        <v>12</v>
      </c>
      <c r="Q2285" t="s">
        <v>107</v>
      </c>
      <c r="R2285" s="2">
        <v>46198</v>
      </c>
      <c r="S2285" s="4">
        <v>5</v>
      </c>
      <c r="T2285" s="3">
        <v>164000000</v>
      </c>
      <c r="U2285" t="s">
        <v>42</v>
      </c>
      <c r="V2285" t="s">
        <v>59</v>
      </c>
      <c r="W2285" t="s">
        <v>178</v>
      </c>
      <c r="Y2285" t="s">
        <v>180</v>
      </c>
      <c r="Z2285" t="s">
        <v>3180</v>
      </c>
      <c r="AA2285" t="s">
        <v>62</v>
      </c>
      <c r="AB2285" t="s">
        <v>193</v>
      </c>
      <c r="AC2285" t="s">
        <v>62</v>
      </c>
    </row>
    <row r="2286" spans="1:29">
      <c r="A2286" t="s">
        <v>2703</v>
      </c>
      <c r="B2286" s="2">
        <v>46192</v>
      </c>
      <c r="C2286" t="s">
        <v>30</v>
      </c>
      <c r="D2286" t="s">
        <v>74</v>
      </c>
      <c r="E2286" t="s">
        <v>120</v>
      </c>
      <c r="F2286" t="s">
        <v>246</v>
      </c>
      <c r="G2286" t="s">
        <v>122</v>
      </c>
      <c r="H2286" t="s">
        <v>123</v>
      </c>
      <c r="I2286" t="s">
        <v>838</v>
      </c>
      <c r="J2286" t="s">
        <v>3160</v>
      </c>
      <c r="K2286" t="s">
        <v>105</v>
      </c>
      <c r="L2286" t="s">
        <v>68</v>
      </c>
      <c r="M2286" t="s">
        <v>129</v>
      </c>
      <c r="N2286" t="s">
        <v>40</v>
      </c>
      <c r="O2286" s="4">
        <v>2</v>
      </c>
      <c r="P2286" s="4">
        <v>6</v>
      </c>
      <c r="Q2286" t="s">
        <v>107</v>
      </c>
      <c r="R2286" s="2">
        <v>46186</v>
      </c>
      <c r="S2286" s="4">
        <v>17</v>
      </c>
      <c r="T2286" s="3">
        <v>220000000</v>
      </c>
      <c r="U2286" t="s">
        <v>42</v>
      </c>
      <c r="V2286" t="s">
        <v>59</v>
      </c>
      <c r="W2286" t="s">
        <v>298</v>
      </c>
      <c r="Y2286" t="s">
        <v>281</v>
      </c>
      <c r="Z2286" t="s">
        <v>3178</v>
      </c>
      <c r="AA2286" t="s">
        <v>97</v>
      </c>
      <c r="AB2286" t="s">
        <v>87</v>
      </c>
      <c r="AC2286" t="s">
        <v>97</v>
      </c>
    </row>
    <row r="2287" spans="1:29">
      <c r="A2287" t="s">
        <v>2704</v>
      </c>
      <c r="B2287" s="2">
        <v>46198</v>
      </c>
      <c r="C2287" t="s">
        <v>30</v>
      </c>
      <c r="D2287" t="s">
        <v>49</v>
      </c>
      <c r="E2287" t="s">
        <v>152</v>
      </c>
      <c r="F2287" t="s">
        <v>221</v>
      </c>
      <c r="G2287" t="s">
        <v>328</v>
      </c>
      <c r="H2287" t="s">
        <v>283</v>
      </c>
      <c r="I2287" t="s">
        <v>295</v>
      </c>
      <c r="J2287" t="s">
        <v>3043</v>
      </c>
      <c r="K2287" t="s">
        <v>37</v>
      </c>
      <c r="L2287" t="s">
        <v>187</v>
      </c>
      <c r="M2287" t="s">
        <v>93</v>
      </c>
      <c r="N2287" t="s">
        <v>94</v>
      </c>
      <c r="O2287" s="4">
        <v>4</v>
      </c>
      <c r="P2287" s="4">
        <v>13</v>
      </c>
      <c r="Q2287" t="s">
        <v>83</v>
      </c>
      <c r="R2287" s="2">
        <v>46190</v>
      </c>
      <c r="S2287" s="4">
        <v>13</v>
      </c>
      <c r="T2287" s="3">
        <v>276000000</v>
      </c>
      <c r="U2287" t="s">
        <v>260</v>
      </c>
      <c r="V2287" t="s">
        <v>59</v>
      </c>
      <c r="W2287" t="s">
        <v>267</v>
      </c>
      <c r="X2287" t="s">
        <v>381</v>
      </c>
      <c r="Y2287" t="s">
        <v>96</v>
      </c>
      <c r="Z2287" t="s">
        <v>3179</v>
      </c>
      <c r="AA2287" t="s">
        <v>159</v>
      </c>
      <c r="AB2287" t="s">
        <v>97</v>
      </c>
      <c r="AC2287" t="s">
        <v>159</v>
      </c>
    </row>
    <row r="2288" spans="1:29">
      <c r="A2288" t="s">
        <v>2705</v>
      </c>
      <c r="B2288" s="2">
        <v>46197</v>
      </c>
      <c r="C2288" t="s">
        <v>30</v>
      </c>
      <c r="D2288" t="s">
        <v>49</v>
      </c>
      <c r="E2288" t="s">
        <v>111</v>
      </c>
      <c r="F2288" t="s">
        <v>264</v>
      </c>
      <c r="G2288" t="s">
        <v>265</v>
      </c>
      <c r="H2288" t="s">
        <v>191</v>
      </c>
      <c r="I2288" t="s">
        <v>455</v>
      </c>
      <c r="J2288" t="s">
        <v>3091</v>
      </c>
      <c r="K2288" t="s">
        <v>56</v>
      </c>
      <c r="L2288" t="s">
        <v>80</v>
      </c>
      <c r="M2288" t="s">
        <v>56</v>
      </c>
      <c r="N2288" t="s">
        <v>94</v>
      </c>
      <c r="O2288" s="4">
        <v>4</v>
      </c>
      <c r="P2288" s="4">
        <v>13</v>
      </c>
      <c r="Q2288" t="s">
        <v>138</v>
      </c>
      <c r="R2288" s="2">
        <v>46190</v>
      </c>
      <c r="S2288" s="4">
        <v>13</v>
      </c>
      <c r="T2288" s="3">
        <v>252000000</v>
      </c>
      <c r="U2288" t="s">
        <v>42</v>
      </c>
      <c r="V2288" t="s">
        <v>59</v>
      </c>
      <c r="W2288" t="s">
        <v>95</v>
      </c>
      <c r="Y2288" t="s">
        <v>228</v>
      </c>
      <c r="Z2288" t="s">
        <v>3179</v>
      </c>
      <c r="AA2288" t="s">
        <v>118</v>
      </c>
      <c r="AB2288" t="s">
        <v>97</v>
      </c>
      <c r="AC2288" t="s">
        <v>118</v>
      </c>
    </row>
    <row r="2289" spans="1:29">
      <c r="A2289" t="s">
        <v>2706</v>
      </c>
      <c r="B2289" s="2">
        <v>46187</v>
      </c>
      <c r="C2289" t="s">
        <v>30</v>
      </c>
      <c r="D2289" t="s">
        <v>99</v>
      </c>
      <c r="E2289" t="s">
        <v>172</v>
      </c>
      <c r="F2289" t="s">
        <v>173</v>
      </c>
      <c r="G2289" t="s">
        <v>278</v>
      </c>
      <c r="H2289" t="s">
        <v>317</v>
      </c>
      <c r="I2289" t="s">
        <v>407</v>
      </c>
      <c r="J2289" t="s">
        <v>3075</v>
      </c>
      <c r="K2289" t="s">
        <v>37</v>
      </c>
      <c r="L2289" t="s">
        <v>187</v>
      </c>
      <c r="M2289" t="s">
        <v>106</v>
      </c>
      <c r="N2289" t="s">
        <v>40</v>
      </c>
      <c r="O2289" s="4">
        <v>2</v>
      </c>
      <c r="P2289" s="4">
        <v>7</v>
      </c>
      <c r="Q2289" t="s">
        <v>41</v>
      </c>
      <c r="R2289" s="2">
        <v>46181</v>
      </c>
      <c r="S2289" s="4">
        <v>22</v>
      </c>
      <c r="T2289" s="3">
        <v>252000000</v>
      </c>
      <c r="U2289" t="s">
        <v>42</v>
      </c>
      <c r="V2289" t="s">
        <v>43</v>
      </c>
      <c r="W2289" t="s">
        <v>298</v>
      </c>
      <c r="Y2289" t="s">
        <v>309</v>
      </c>
      <c r="Z2289" t="s">
        <v>3178</v>
      </c>
      <c r="AA2289" t="s">
        <v>181</v>
      </c>
      <c r="AB2289" t="s">
        <v>87</v>
      </c>
      <c r="AC2289" t="s">
        <v>181</v>
      </c>
    </row>
    <row r="2290" spans="1:29">
      <c r="A2290" t="s">
        <v>2707</v>
      </c>
      <c r="B2290" s="2">
        <v>46188</v>
      </c>
      <c r="C2290" t="s">
        <v>30</v>
      </c>
      <c r="D2290" t="s">
        <v>74</v>
      </c>
      <c r="E2290" t="s">
        <v>172</v>
      </c>
      <c r="F2290" t="s">
        <v>277</v>
      </c>
      <c r="G2290" t="s">
        <v>476</v>
      </c>
      <c r="H2290" t="s">
        <v>317</v>
      </c>
      <c r="I2290" t="s">
        <v>407</v>
      </c>
      <c r="J2290" t="s">
        <v>3075</v>
      </c>
      <c r="K2290" t="s">
        <v>37</v>
      </c>
      <c r="L2290" t="s">
        <v>169</v>
      </c>
      <c r="M2290" t="s">
        <v>106</v>
      </c>
      <c r="N2290" t="s">
        <v>130</v>
      </c>
      <c r="O2290" s="4">
        <v>5</v>
      </c>
      <c r="P2290" s="4">
        <v>5</v>
      </c>
      <c r="Q2290" t="s">
        <v>58</v>
      </c>
      <c r="R2290" s="2">
        <v>46182</v>
      </c>
      <c r="S2290" s="4">
        <v>21</v>
      </c>
      <c r="T2290" s="3">
        <v>230000000</v>
      </c>
      <c r="U2290" t="s">
        <v>42</v>
      </c>
      <c r="V2290" t="s">
        <v>59</v>
      </c>
      <c r="W2290" t="s">
        <v>355</v>
      </c>
      <c r="Y2290" t="s">
        <v>334</v>
      </c>
      <c r="Z2290" t="s">
        <v>3179</v>
      </c>
      <c r="AA2290" t="s">
        <v>181</v>
      </c>
      <c r="AB2290" t="s">
        <v>97</v>
      </c>
      <c r="AC2290" t="s">
        <v>181</v>
      </c>
    </row>
    <row r="2291" spans="1:29">
      <c r="A2291" t="s">
        <v>2708</v>
      </c>
      <c r="B2291" s="2">
        <v>46199</v>
      </c>
      <c r="C2291" t="s">
        <v>30</v>
      </c>
      <c r="D2291" t="s">
        <v>49</v>
      </c>
      <c r="E2291" t="s">
        <v>50</v>
      </c>
      <c r="F2291" t="s">
        <v>351</v>
      </c>
      <c r="G2291" t="s">
        <v>270</v>
      </c>
      <c r="H2291" t="s">
        <v>66</v>
      </c>
      <c r="I2291" t="s">
        <v>849</v>
      </c>
      <c r="J2291" t="s">
        <v>3162</v>
      </c>
      <c r="K2291" t="s">
        <v>92</v>
      </c>
      <c r="L2291" t="s">
        <v>150</v>
      </c>
      <c r="M2291" t="s">
        <v>164</v>
      </c>
      <c r="N2291" t="s">
        <v>57</v>
      </c>
      <c r="O2291" s="4">
        <v>3</v>
      </c>
      <c r="P2291" s="4">
        <v>8</v>
      </c>
      <c r="Q2291" t="s">
        <v>142</v>
      </c>
      <c r="R2291" s="2">
        <v>46189</v>
      </c>
      <c r="S2291" s="4">
        <v>14</v>
      </c>
      <c r="T2291" s="3">
        <v>215000000</v>
      </c>
      <c r="U2291" t="s">
        <v>42</v>
      </c>
      <c r="V2291" t="s">
        <v>43</v>
      </c>
      <c r="W2291" t="s">
        <v>60</v>
      </c>
      <c r="Y2291" t="s">
        <v>165</v>
      </c>
      <c r="Z2291" t="s">
        <v>3177</v>
      </c>
      <c r="AA2291" t="s">
        <v>62</v>
      </c>
      <c r="AB2291" t="s">
        <v>63</v>
      </c>
      <c r="AC2291" t="s">
        <v>62</v>
      </c>
    </row>
    <row r="2292" spans="1:29">
      <c r="A2292" t="s">
        <v>2709</v>
      </c>
      <c r="B2292" s="2">
        <v>46179</v>
      </c>
      <c r="C2292" t="s">
        <v>30</v>
      </c>
      <c r="D2292" t="s">
        <v>134</v>
      </c>
      <c r="E2292" t="s">
        <v>172</v>
      </c>
      <c r="F2292" t="s">
        <v>195</v>
      </c>
      <c r="G2292" t="s">
        <v>278</v>
      </c>
      <c r="H2292" t="s">
        <v>175</v>
      </c>
      <c r="I2292" t="s">
        <v>176</v>
      </c>
      <c r="J2292" t="s">
        <v>3023</v>
      </c>
      <c r="K2292" t="s">
        <v>56</v>
      </c>
      <c r="L2292" t="s">
        <v>68</v>
      </c>
      <c r="M2292" t="s">
        <v>129</v>
      </c>
      <c r="N2292" t="s">
        <v>213</v>
      </c>
      <c r="O2292" s="4">
        <v>6</v>
      </c>
      <c r="P2292" s="4">
        <v>9</v>
      </c>
      <c r="Q2292" t="s">
        <v>107</v>
      </c>
      <c r="R2292" s="2">
        <v>46177</v>
      </c>
      <c r="S2292" s="4">
        <v>26</v>
      </c>
      <c r="T2292" s="3">
        <v>387000000</v>
      </c>
      <c r="U2292" t="s">
        <v>42</v>
      </c>
      <c r="V2292" t="s">
        <v>70</v>
      </c>
      <c r="W2292" t="s">
        <v>215</v>
      </c>
      <c r="Y2292" t="s">
        <v>432</v>
      </c>
      <c r="Z2292" t="s">
        <v>3179</v>
      </c>
      <c r="AA2292" t="s">
        <v>181</v>
      </c>
      <c r="AB2292" t="s">
        <v>97</v>
      </c>
      <c r="AC2292" t="s">
        <v>181</v>
      </c>
    </row>
    <row r="2293" spans="1:29">
      <c r="A2293" t="s">
        <v>2710</v>
      </c>
      <c r="B2293" s="2">
        <v>46179</v>
      </c>
      <c r="C2293" t="s">
        <v>30</v>
      </c>
      <c r="D2293" t="s">
        <v>134</v>
      </c>
      <c r="E2293" t="s">
        <v>111</v>
      </c>
      <c r="F2293" t="s">
        <v>264</v>
      </c>
      <c r="G2293" t="s">
        <v>265</v>
      </c>
      <c r="H2293" t="s">
        <v>191</v>
      </c>
      <c r="I2293" t="s">
        <v>455</v>
      </c>
      <c r="J2293" t="s">
        <v>3091</v>
      </c>
      <c r="K2293" t="s">
        <v>116</v>
      </c>
      <c r="L2293" t="s">
        <v>38</v>
      </c>
      <c r="M2293" t="s">
        <v>56</v>
      </c>
      <c r="N2293" t="s">
        <v>196</v>
      </c>
      <c r="O2293" s="4">
        <v>7</v>
      </c>
      <c r="P2293" s="4">
        <v>13</v>
      </c>
      <c r="Q2293" t="s">
        <v>58</v>
      </c>
      <c r="R2293" s="2">
        <v>46170</v>
      </c>
      <c r="S2293" s="4">
        <v>33</v>
      </c>
      <c r="T2293" s="3">
        <v>156000000</v>
      </c>
      <c r="U2293" t="s">
        <v>196</v>
      </c>
      <c r="V2293" t="s">
        <v>70</v>
      </c>
      <c r="W2293" t="s">
        <v>209</v>
      </c>
      <c r="Y2293" t="s">
        <v>244</v>
      </c>
      <c r="Z2293" t="s">
        <v>3181</v>
      </c>
      <c r="AA2293" t="s">
        <v>118</v>
      </c>
      <c r="AB2293" t="s">
        <v>199</v>
      </c>
      <c r="AC2293" t="s">
        <v>118</v>
      </c>
    </row>
    <row r="2294" spans="1:29">
      <c r="A2294" t="s">
        <v>2711</v>
      </c>
      <c r="B2294" s="2">
        <v>46199</v>
      </c>
      <c r="C2294" t="s">
        <v>30</v>
      </c>
      <c r="D2294" t="s">
        <v>49</v>
      </c>
      <c r="E2294" t="s">
        <v>50</v>
      </c>
      <c r="F2294" t="s">
        <v>351</v>
      </c>
      <c r="G2294" t="s">
        <v>234</v>
      </c>
      <c r="H2294" t="s">
        <v>90</v>
      </c>
      <c r="I2294" t="s">
        <v>740</v>
      </c>
      <c r="J2294" t="s">
        <v>3151</v>
      </c>
      <c r="K2294" t="s">
        <v>116</v>
      </c>
      <c r="L2294" t="s">
        <v>80</v>
      </c>
      <c r="M2294" t="s">
        <v>56</v>
      </c>
      <c r="N2294" t="s">
        <v>94</v>
      </c>
      <c r="O2294" s="4">
        <v>4</v>
      </c>
      <c r="P2294" s="4">
        <v>12</v>
      </c>
      <c r="Q2294" t="s">
        <v>83</v>
      </c>
      <c r="R2294" s="2">
        <v>46191</v>
      </c>
      <c r="S2294" s="4">
        <v>12</v>
      </c>
      <c r="T2294" s="3">
        <v>98000000</v>
      </c>
      <c r="U2294" t="s">
        <v>42</v>
      </c>
      <c r="V2294" t="s">
        <v>59</v>
      </c>
      <c r="W2294" t="s">
        <v>188</v>
      </c>
      <c r="X2294" t="s">
        <v>253</v>
      </c>
      <c r="Y2294" t="s">
        <v>96</v>
      </c>
      <c r="Z2294" t="s">
        <v>3179</v>
      </c>
      <c r="AA2294" t="s">
        <v>62</v>
      </c>
      <c r="AB2294" t="s">
        <v>97</v>
      </c>
      <c r="AC2294" t="s">
        <v>62</v>
      </c>
    </row>
    <row r="2295" spans="1:29">
      <c r="A2295" t="s">
        <v>2712</v>
      </c>
      <c r="B2295" s="2">
        <v>46186</v>
      </c>
      <c r="C2295" t="s">
        <v>30</v>
      </c>
      <c r="D2295" t="s">
        <v>99</v>
      </c>
      <c r="E2295" t="s">
        <v>75</v>
      </c>
      <c r="F2295" t="s">
        <v>161</v>
      </c>
      <c r="G2295" t="s">
        <v>162</v>
      </c>
      <c r="H2295" t="s">
        <v>388</v>
      </c>
      <c r="I2295" t="s">
        <v>556</v>
      </c>
      <c r="J2295" t="s">
        <v>3118</v>
      </c>
      <c r="K2295" t="s">
        <v>37</v>
      </c>
      <c r="L2295" t="s">
        <v>187</v>
      </c>
      <c r="M2295" t="s">
        <v>56</v>
      </c>
      <c r="N2295" t="s">
        <v>40</v>
      </c>
      <c r="O2295" s="4">
        <v>2</v>
      </c>
      <c r="P2295" s="4">
        <v>4</v>
      </c>
      <c r="Q2295" t="s">
        <v>69</v>
      </c>
      <c r="R2295" s="2">
        <v>46185</v>
      </c>
      <c r="S2295" s="4">
        <v>18</v>
      </c>
      <c r="T2295" s="3">
        <v>128000000</v>
      </c>
      <c r="U2295" t="s">
        <v>42</v>
      </c>
      <c r="V2295" t="s">
        <v>43</v>
      </c>
      <c r="W2295" t="s">
        <v>178</v>
      </c>
      <c r="Y2295" t="s">
        <v>180</v>
      </c>
      <c r="Z2295" t="s">
        <v>3176</v>
      </c>
      <c r="AA2295" t="s">
        <v>86</v>
      </c>
      <c r="AB2295" t="s">
        <v>47</v>
      </c>
      <c r="AC2295" t="s">
        <v>86</v>
      </c>
    </row>
    <row r="2296" spans="1:29">
      <c r="A2296" t="s">
        <v>2713</v>
      </c>
      <c r="B2296" s="2">
        <v>46179</v>
      </c>
      <c r="C2296" t="s">
        <v>30</v>
      </c>
      <c r="D2296" t="s">
        <v>134</v>
      </c>
      <c r="E2296" t="s">
        <v>172</v>
      </c>
      <c r="F2296" t="s">
        <v>173</v>
      </c>
      <c r="G2296" t="s">
        <v>476</v>
      </c>
      <c r="H2296" t="s">
        <v>317</v>
      </c>
      <c r="I2296" t="s">
        <v>1124</v>
      </c>
      <c r="J2296" t="s">
        <v>3173</v>
      </c>
      <c r="K2296" t="s">
        <v>116</v>
      </c>
      <c r="L2296" t="s">
        <v>80</v>
      </c>
      <c r="M2296" t="s">
        <v>164</v>
      </c>
      <c r="N2296" t="s">
        <v>196</v>
      </c>
      <c r="O2296" s="4">
        <v>7</v>
      </c>
      <c r="P2296" s="4">
        <v>14</v>
      </c>
      <c r="Q2296" t="s">
        <v>69</v>
      </c>
      <c r="R2296" s="2">
        <v>46175</v>
      </c>
      <c r="S2296" s="4">
        <v>28</v>
      </c>
      <c r="T2296" s="3">
        <v>97000000</v>
      </c>
      <c r="U2296" t="s">
        <v>196</v>
      </c>
      <c r="V2296" t="s">
        <v>70</v>
      </c>
      <c r="W2296" t="s">
        <v>243</v>
      </c>
      <c r="Y2296" t="s">
        <v>244</v>
      </c>
      <c r="Z2296" t="s">
        <v>3181</v>
      </c>
      <c r="AA2296" t="s">
        <v>181</v>
      </c>
      <c r="AB2296" t="s">
        <v>199</v>
      </c>
      <c r="AC2296" t="s">
        <v>181</v>
      </c>
    </row>
    <row r="2297" spans="1:29">
      <c r="A2297" t="s">
        <v>2714</v>
      </c>
      <c r="B2297" s="2">
        <v>46195</v>
      </c>
      <c r="C2297" t="s">
        <v>30</v>
      </c>
      <c r="D2297" t="s">
        <v>49</v>
      </c>
      <c r="E2297" t="s">
        <v>75</v>
      </c>
      <c r="F2297" t="s">
        <v>76</v>
      </c>
      <c r="G2297" t="s">
        <v>184</v>
      </c>
      <c r="H2297" t="s">
        <v>185</v>
      </c>
      <c r="I2297" t="s">
        <v>795</v>
      </c>
      <c r="J2297" t="s">
        <v>3155</v>
      </c>
      <c r="K2297" t="s">
        <v>105</v>
      </c>
      <c r="L2297" t="s">
        <v>55</v>
      </c>
      <c r="M2297" t="s">
        <v>129</v>
      </c>
      <c r="N2297" t="s">
        <v>57</v>
      </c>
      <c r="O2297" s="4">
        <v>3</v>
      </c>
      <c r="P2297" s="4">
        <v>7</v>
      </c>
      <c r="Q2297" t="s">
        <v>58</v>
      </c>
      <c r="R2297" s="2">
        <v>46191</v>
      </c>
      <c r="S2297" s="4">
        <v>12</v>
      </c>
      <c r="T2297" s="3">
        <v>253000000</v>
      </c>
      <c r="U2297" t="s">
        <v>42</v>
      </c>
      <c r="V2297" t="s">
        <v>59</v>
      </c>
      <c r="W2297" t="s">
        <v>157</v>
      </c>
      <c r="Y2297" t="s">
        <v>158</v>
      </c>
      <c r="Z2297" t="s">
        <v>3177</v>
      </c>
      <c r="AA2297" t="s">
        <v>86</v>
      </c>
      <c r="AB2297" t="s">
        <v>63</v>
      </c>
      <c r="AC2297" t="s">
        <v>86</v>
      </c>
    </row>
    <row r="2298" spans="1:29">
      <c r="A2298" t="s">
        <v>2715</v>
      </c>
      <c r="B2298" s="2">
        <v>46188</v>
      </c>
      <c r="C2298" t="s">
        <v>30</v>
      </c>
      <c r="D2298" t="s">
        <v>74</v>
      </c>
      <c r="E2298" t="s">
        <v>75</v>
      </c>
      <c r="F2298" t="s">
        <v>183</v>
      </c>
      <c r="G2298" t="s">
        <v>387</v>
      </c>
      <c r="H2298" t="s">
        <v>388</v>
      </c>
      <c r="I2298" t="s">
        <v>556</v>
      </c>
      <c r="J2298" t="s">
        <v>3118</v>
      </c>
      <c r="K2298" t="s">
        <v>56</v>
      </c>
      <c r="L2298" t="s">
        <v>80</v>
      </c>
      <c r="M2298" t="s">
        <v>164</v>
      </c>
      <c r="N2298" t="s">
        <v>82</v>
      </c>
      <c r="O2298" s="4">
        <v>1</v>
      </c>
      <c r="P2298" s="4">
        <v>9</v>
      </c>
      <c r="Q2298" t="s">
        <v>58</v>
      </c>
      <c r="R2298" s="2">
        <v>46185</v>
      </c>
      <c r="S2298" s="4">
        <v>18</v>
      </c>
      <c r="T2298" s="3">
        <v>342000000</v>
      </c>
      <c r="U2298" t="s">
        <v>42</v>
      </c>
      <c r="V2298" t="s">
        <v>43</v>
      </c>
      <c r="W2298" t="s">
        <v>359</v>
      </c>
      <c r="Y2298" t="s">
        <v>305</v>
      </c>
      <c r="Z2298" t="s">
        <v>3178</v>
      </c>
      <c r="AA2298" t="s">
        <v>86</v>
      </c>
      <c r="AB2298" t="s">
        <v>87</v>
      </c>
      <c r="AC2298" t="s">
        <v>86</v>
      </c>
    </row>
    <row r="2299" spans="1:29">
      <c r="A2299" t="s">
        <v>2716</v>
      </c>
      <c r="B2299" s="2">
        <v>46178</v>
      </c>
      <c r="C2299" t="s">
        <v>30</v>
      </c>
      <c r="D2299" t="s">
        <v>134</v>
      </c>
      <c r="E2299" t="s">
        <v>75</v>
      </c>
      <c r="F2299" t="s">
        <v>161</v>
      </c>
      <c r="G2299" t="s">
        <v>162</v>
      </c>
      <c r="H2299" t="s">
        <v>185</v>
      </c>
      <c r="I2299" t="s">
        <v>428</v>
      </c>
      <c r="J2299" t="s">
        <v>3081</v>
      </c>
      <c r="K2299" t="s">
        <v>37</v>
      </c>
      <c r="L2299" t="s">
        <v>55</v>
      </c>
      <c r="M2299" t="s">
        <v>81</v>
      </c>
      <c r="N2299" t="s">
        <v>57</v>
      </c>
      <c r="O2299" s="4">
        <v>3</v>
      </c>
      <c r="P2299" s="4">
        <v>8</v>
      </c>
      <c r="Q2299" t="s">
        <v>107</v>
      </c>
      <c r="R2299" s="2">
        <v>46172</v>
      </c>
      <c r="S2299" s="4">
        <v>31</v>
      </c>
      <c r="T2299" s="3">
        <v>170000000</v>
      </c>
      <c r="U2299" t="s">
        <v>42</v>
      </c>
      <c r="V2299" t="s">
        <v>59</v>
      </c>
      <c r="W2299" t="s">
        <v>203</v>
      </c>
      <c r="Y2299" t="s">
        <v>165</v>
      </c>
      <c r="Z2299" t="s">
        <v>3177</v>
      </c>
      <c r="AA2299" t="s">
        <v>86</v>
      </c>
      <c r="AB2299" t="s">
        <v>63</v>
      </c>
      <c r="AC2299" t="s">
        <v>86</v>
      </c>
    </row>
    <row r="2300" spans="1:29">
      <c r="A2300" t="s">
        <v>2717</v>
      </c>
      <c r="B2300" s="2">
        <v>46187</v>
      </c>
      <c r="C2300" t="s">
        <v>30</v>
      </c>
      <c r="D2300" t="s">
        <v>99</v>
      </c>
      <c r="E2300" t="s">
        <v>120</v>
      </c>
      <c r="F2300" t="s">
        <v>167</v>
      </c>
      <c r="G2300" t="s">
        <v>224</v>
      </c>
      <c r="H2300" t="s">
        <v>123</v>
      </c>
      <c r="I2300" t="s">
        <v>225</v>
      </c>
      <c r="J2300" t="s">
        <v>3030</v>
      </c>
      <c r="K2300" t="s">
        <v>92</v>
      </c>
      <c r="L2300" t="s">
        <v>55</v>
      </c>
      <c r="M2300" t="s">
        <v>39</v>
      </c>
      <c r="N2300" t="s">
        <v>94</v>
      </c>
      <c r="O2300" s="4">
        <v>4</v>
      </c>
      <c r="P2300" s="4">
        <v>8</v>
      </c>
      <c r="Q2300" t="s">
        <v>83</v>
      </c>
      <c r="R2300" s="2">
        <v>46178</v>
      </c>
      <c r="S2300" s="4">
        <v>25</v>
      </c>
      <c r="T2300" s="3">
        <v>54000000</v>
      </c>
      <c r="U2300" t="s">
        <v>260</v>
      </c>
      <c r="V2300" t="s">
        <v>59</v>
      </c>
      <c r="W2300" t="s">
        <v>95</v>
      </c>
      <c r="X2300" t="s">
        <v>179</v>
      </c>
      <c r="Y2300" t="s">
        <v>228</v>
      </c>
      <c r="Z2300" t="s">
        <v>3179</v>
      </c>
      <c r="AA2300" t="s">
        <v>97</v>
      </c>
      <c r="AB2300" t="s">
        <v>97</v>
      </c>
      <c r="AC2300" t="s">
        <v>97</v>
      </c>
    </row>
    <row r="2301" spans="1:29">
      <c r="A2301" t="s">
        <v>2718</v>
      </c>
      <c r="B2301" s="2">
        <v>46193</v>
      </c>
      <c r="C2301" t="s">
        <v>30</v>
      </c>
      <c r="D2301" t="s">
        <v>74</v>
      </c>
      <c r="E2301" t="s">
        <v>152</v>
      </c>
      <c r="F2301" t="s">
        <v>205</v>
      </c>
      <c r="G2301" t="s">
        <v>286</v>
      </c>
      <c r="H2301" t="s">
        <v>155</v>
      </c>
      <c r="I2301" t="s">
        <v>156</v>
      </c>
      <c r="J2301" t="s">
        <v>3020</v>
      </c>
      <c r="K2301" t="s">
        <v>92</v>
      </c>
      <c r="L2301" t="s">
        <v>187</v>
      </c>
      <c r="M2301" t="s">
        <v>56</v>
      </c>
      <c r="N2301" t="s">
        <v>94</v>
      </c>
      <c r="O2301" s="4">
        <v>4</v>
      </c>
      <c r="P2301" s="4">
        <v>8</v>
      </c>
      <c r="Q2301" t="s">
        <v>107</v>
      </c>
      <c r="R2301" s="2">
        <v>46183</v>
      </c>
      <c r="S2301" s="4">
        <v>20</v>
      </c>
      <c r="T2301" s="3">
        <v>149000000</v>
      </c>
      <c r="U2301" t="s">
        <v>42</v>
      </c>
      <c r="V2301" t="s">
        <v>59</v>
      </c>
      <c r="W2301" t="s">
        <v>188</v>
      </c>
      <c r="Y2301" t="s">
        <v>268</v>
      </c>
      <c r="Z2301" t="s">
        <v>3179</v>
      </c>
      <c r="AA2301" t="s">
        <v>159</v>
      </c>
      <c r="AB2301" t="s">
        <v>97</v>
      </c>
      <c r="AC2301" t="s">
        <v>159</v>
      </c>
    </row>
    <row r="2302" spans="1:29">
      <c r="A2302" t="s">
        <v>2719</v>
      </c>
      <c r="B2302" s="2">
        <v>46198</v>
      </c>
      <c r="C2302" t="s">
        <v>30</v>
      </c>
      <c r="D2302" t="s">
        <v>49</v>
      </c>
      <c r="E2302" t="s">
        <v>172</v>
      </c>
      <c r="F2302" t="s">
        <v>195</v>
      </c>
      <c r="G2302" t="s">
        <v>338</v>
      </c>
      <c r="H2302" t="s">
        <v>241</v>
      </c>
      <c r="I2302" t="s">
        <v>457</v>
      </c>
      <c r="J2302" t="s">
        <v>3092</v>
      </c>
      <c r="K2302" t="s">
        <v>56</v>
      </c>
      <c r="L2302" t="s">
        <v>169</v>
      </c>
      <c r="M2302" t="s">
        <v>56</v>
      </c>
      <c r="N2302" t="s">
        <v>196</v>
      </c>
      <c r="O2302" s="4">
        <v>7</v>
      </c>
      <c r="P2302" s="4">
        <v>10</v>
      </c>
      <c r="Q2302" t="s">
        <v>107</v>
      </c>
      <c r="R2302" s="2">
        <v>46197</v>
      </c>
      <c r="S2302" s="4">
        <v>6</v>
      </c>
      <c r="T2302" s="3">
        <v>445000000</v>
      </c>
      <c r="U2302" t="s">
        <v>196</v>
      </c>
      <c r="V2302" t="s">
        <v>70</v>
      </c>
      <c r="W2302" t="s">
        <v>675</v>
      </c>
      <c r="Y2302" t="s">
        <v>244</v>
      </c>
      <c r="Z2302" t="s">
        <v>3181</v>
      </c>
      <c r="AA2302" t="s">
        <v>181</v>
      </c>
      <c r="AB2302" t="s">
        <v>199</v>
      </c>
      <c r="AC2302" t="s">
        <v>181</v>
      </c>
    </row>
    <row r="2303" spans="1:29">
      <c r="A2303" t="s">
        <v>2720</v>
      </c>
      <c r="B2303" s="2">
        <v>46192</v>
      </c>
      <c r="C2303" t="s">
        <v>30</v>
      </c>
      <c r="D2303" t="s">
        <v>74</v>
      </c>
      <c r="E2303" t="s">
        <v>172</v>
      </c>
      <c r="F2303" t="s">
        <v>195</v>
      </c>
      <c r="G2303" t="s">
        <v>278</v>
      </c>
      <c r="H2303" t="s">
        <v>241</v>
      </c>
      <c r="I2303" t="s">
        <v>559</v>
      </c>
      <c r="J2303" t="s">
        <v>3119</v>
      </c>
      <c r="K2303" t="s">
        <v>105</v>
      </c>
      <c r="L2303" t="s">
        <v>55</v>
      </c>
      <c r="M2303" t="s">
        <v>129</v>
      </c>
      <c r="N2303" t="s">
        <v>40</v>
      </c>
      <c r="O2303" s="4">
        <v>2</v>
      </c>
      <c r="P2303" s="4">
        <v>18</v>
      </c>
      <c r="Q2303" t="s">
        <v>138</v>
      </c>
      <c r="R2303" s="2">
        <v>46192</v>
      </c>
      <c r="S2303" s="4">
        <v>11</v>
      </c>
      <c r="T2303" s="3">
        <v>291000000</v>
      </c>
      <c r="U2303" t="s">
        <v>42</v>
      </c>
      <c r="V2303" t="s">
        <v>43</v>
      </c>
      <c r="W2303" t="s">
        <v>178</v>
      </c>
      <c r="Y2303" t="s">
        <v>309</v>
      </c>
      <c r="Z2303" t="s">
        <v>3180</v>
      </c>
      <c r="AA2303" t="s">
        <v>181</v>
      </c>
      <c r="AB2303" t="s">
        <v>193</v>
      </c>
      <c r="AC2303" t="s">
        <v>181</v>
      </c>
    </row>
    <row r="2304" spans="1:29">
      <c r="A2304" t="s">
        <v>2721</v>
      </c>
      <c r="B2304" s="2">
        <v>46174</v>
      </c>
      <c r="C2304" t="s">
        <v>30</v>
      </c>
      <c r="D2304" t="s">
        <v>134</v>
      </c>
      <c r="E2304" t="s">
        <v>120</v>
      </c>
      <c r="F2304" t="s">
        <v>246</v>
      </c>
      <c r="G2304" t="s">
        <v>122</v>
      </c>
      <c r="H2304" t="s">
        <v>300</v>
      </c>
      <c r="I2304" t="s">
        <v>301</v>
      </c>
      <c r="J2304" t="s">
        <v>3045</v>
      </c>
      <c r="K2304" t="s">
        <v>37</v>
      </c>
      <c r="L2304" t="s">
        <v>55</v>
      </c>
      <c r="M2304" t="s">
        <v>56</v>
      </c>
      <c r="N2304" t="s">
        <v>94</v>
      </c>
      <c r="O2304" s="4">
        <v>4</v>
      </c>
      <c r="P2304" s="4">
        <v>11</v>
      </c>
      <c r="Q2304" t="s">
        <v>41</v>
      </c>
      <c r="R2304" s="2">
        <v>46164</v>
      </c>
      <c r="S2304" s="4">
        <v>39</v>
      </c>
      <c r="T2304" s="3">
        <v>238000000</v>
      </c>
      <c r="U2304" t="s">
        <v>42</v>
      </c>
      <c r="V2304" t="s">
        <v>59</v>
      </c>
      <c r="W2304" t="s">
        <v>95</v>
      </c>
      <c r="Y2304" t="s">
        <v>96</v>
      </c>
      <c r="Z2304" t="s">
        <v>3179</v>
      </c>
      <c r="AA2304" t="s">
        <v>97</v>
      </c>
      <c r="AB2304" t="s">
        <v>97</v>
      </c>
      <c r="AC2304" t="s">
        <v>97</v>
      </c>
    </row>
    <row r="2305" spans="1:29">
      <c r="A2305" t="s">
        <v>2722</v>
      </c>
      <c r="B2305" s="2">
        <v>46186</v>
      </c>
      <c r="C2305" t="s">
        <v>30</v>
      </c>
      <c r="D2305" t="s">
        <v>99</v>
      </c>
      <c r="E2305" t="s">
        <v>50</v>
      </c>
      <c r="F2305" t="s">
        <v>89</v>
      </c>
      <c r="G2305" t="s">
        <v>65</v>
      </c>
      <c r="H2305" t="s">
        <v>90</v>
      </c>
      <c r="I2305" t="s">
        <v>352</v>
      </c>
      <c r="J2305" t="s">
        <v>3060</v>
      </c>
      <c r="K2305" t="s">
        <v>37</v>
      </c>
      <c r="L2305" t="s">
        <v>68</v>
      </c>
      <c r="M2305" t="s">
        <v>129</v>
      </c>
      <c r="N2305" t="s">
        <v>94</v>
      </c>
      <c r="O2305" s="4">
        <v>4</v>
      </c>
      <c r="P2305" s="4">
        <v>14</v>
      </c>
      <c r="Q2305" t="s">
        <v>138</v>
      </c>
      <c r="R2305" s="2">
        <v>46186</v>
      </c>
      <c r="S2305" s="4">
        <v>17</v>
      </c>
      <c r="T2305" s="3">
        <v>279000000</v>
      </c>
      <c r="U2305" t="s">
        <v>42</v>
      </c>
      <c r="V2305" t="s">
        <v>70</v>
      </c>
      <c r="W2305" t="s">
        <v>95</v>
      </c>
      <c r="Y2305" t="s">
        <v>228</v>
      </c>
      <c r="Z2305" t="s">
        <v>3179</v>
      </c>
      <c r="AA2305" t="s">
        <v>62</v>
      </c>
      <c r="AB2305" t="s">
        <v>97</v>
      </c>
      <c r="AC2305" t="s">
        <v>62</v>
      </c>
    </row>
    <row r="2306" spans="1:29">
      <c r="A2306" t="s">
        <v>2723</v>
      </c>
      <c r="B2306" s="2">
        <v>46185</v>
      </c>
      <c r="C2306" t="s">
        <v>30</v>
      </c>
      <c r="D2306" t="s">
        <v>99</v>
      </c>
      <c r="E2306" t="s">
        <v>111</v>
      </c>
      <c r="F2306" t="s">
        <v>264</v>
      </c>
      <c r="G2306" t="s">
        <v>251</v>
      </c>
      <c r="H2306" t="s">
        <v>191</v>
      </c>
      <c r="I2306" t="s">
        <v>606</v>
      </c>
      <c r="J2306" t="s">
        <v>3131</v>
      </c>
      <c r="K2306" t="s">
        <v>92</v>
      </c>
      <c r="L2306" t="s">
        <v>150</v>
      </c>
      <c r="M2306" t="s">
        <v>129</v>
      </c>
      <c r="N2306" t="s">
        <v>196</v>
      </c>
      <c r="O2306" s="4">
        <v>7</v>
      </c>
      <c r="P2306" s="4">
        <v>15</v>
      </c>
      <c r="Q2306" t="s">
        <v>142</v>
      </c>
      <c r="R2306" s="2">
        <v>46181</v>
      </c>
      <c r="S2306" s="4">
        <v>22</v>
      </c>
      <c r="T2306" s="3">
        <v>104000000</v>
      </c>
      <c r="U2306" t="s">
        <v>564</v>
      </c>
      <c r="V2306" t="s">
        <v>70</v>
      </c>
      <c r="W2306" t="s">
        <v>675</v>
      </c>
      <c r="Y2306" t="s">
        <v>198</v>
      </c>
      <c r="Z2306" t="s">
        <v>3181</v>
      </c>
      <c r="AA2306" t="s">
        <v>118</v>
      </c>
      <c r="AB2306" t="s">
        <v>199</v>
      </c>
      <c r="AC2306" t="s">
        <v>118</v>
      </c>
    </row>
    <row r="2307" spans="1:29">
      <c r="A2307" t="s">
        <v>2724</v>
      </c>
      <c r="B2307" s="2">
        <v>46199</v>
      </c>
      <c r="C2307" t="s">
        <v>30</v>
      </c>
      <c r="D2307" t="s">
        <v>49</v>
      </c>
      <c r="E2307" t="s">
        <v>50</v>
      </c>
      <c r="F2307" t="s">
        <v>351</v>
      </c>
      <c r="G2307" t="s">
        <v>234</v>
      </c>
      <c r="H2307" t="s">
        <v>90</v>
      </c>
      <c r="I2307" t="s">
        <v>352</v>
      </c>
      <c r="J2307" t="s">
        <v>3060</v>
      </c>
      <c r="K2307" t="s">
        <v>37</v>
      </c>
      <c r="L2307" t="s">
        <v>187</v>
      </c>
      <c r="M2307" t="s">
        <v>81</v>
      </c>
      <c r="N2307" t="s">
        <v>40</v>
      </c>
      <c r="O2307" s="4">
        <v>2</v>
      </c>
      <c r="P2307" s="4">
        <v>10</v>
      </c>
      <c r="Q2307" t="s">
        <v>41</v>
      </c>
      <c r="R2307" s="2">
        <v>46199</v>
      </c>
      <c r="S2307" s="4">
        <v>4</v>
      </c>
      <c r="T2307" s="3">
        <v>63000000</v>
      </c>
      <c r="U2307" t="s">
        <v>42</v>
      </c>
      <c r="V2307" t="s">
        <v>43</v>
      </c>
      <c r="W2307" t="s">
        <v>44</v>
      </c>
      <c r="Y2307" t="s">
        <v>45</v>
      </c>
      <c r="Z2307" t="s">
        <v>3178</v>
      </c>
      <c r="AA2307" t="s">
        <v>62</v>
      </c>
      <c r="AB2307" t="s">
        <v>87</v>
      </c>
      <c r="AC2307" t="s">
        <v>62</v>
      </c>
    </row>
    <row r="2308" spans="1:29">
      <c r="A2308" t="s">
        <v>2725</v>
      </c>
      <c r="B2308" s="2">
        <v>46174</v>
      </c>
      <c r="C2308" t="s">
        <v>30</v>
      </c>
      <c r="D2308" t="s">
        <v>134</v>
      </c>
      <c r="E2308" t="s">
        <v>32</v>
      </c>
      <c r="F2308" t="s">
        <v>256</v>
      </c>
      <c r="G2308" t="s">
        <v>463</v>
      </c>
      <c r="H2308" t="s">
        <v>258</v>
      </c>
      <c r="I2308" t="s">
        <v>568</v>
      </c>
      <c r="J2308" t="s">
        <v>3121</v>
      </c>
      <c r="K2308" t="s">
        <v>56</v>
      </c>
      <c r="L2308" t="s">
        <v>187</v>
      </c>
      <c r="M2308" t="s">
        <v>164</v>
      </c>
      <c r="N2308" t="s">
        <v>82</v>
      </c>
      <c r="O2308" s="4">
        <v>1</v>
      </c>
      <c r="P2308" s="4">
        <v>3</v>
      </c>
      <c r="Q2308" t="s">
        <v>107</v>
      </c>
      <c r="R2308" s="2">
        <v>46166</v>
      </c>
      <c r="S2308" s="4">
        <v>37</v>
      </c>
      <c r="T2308" s="3">
        <v>326000000</v>
      </c>
      <c r="U2308" t="s">
        <v>42</v>
      </c>
      <c r="V2308" t="s">
        <v>43</v>
      </c>
      <c r="W2308" t="s">
        <v>84</v>
      </c>
      <c r="Y2308" t="s">
        <v>291</v>
      </c>
      <c r="Z2308" t="s">
        <v>3176</v>
      </c>
      <c r="AA2308" t="s">
        <v>46</v>
      </c>
      <c r="AB2308" t="s">
        <v>47</v>
      </c>
      <c r="AC2308" t="s">
        <v>46</v>
      </c>
    </row>
    <row r="2309" spans="1:29">
      <c r="A2309" t="s">
        <v>2726</v>
      </c>
      <c r="B2309" s="2">
        <v>46178</v>
      </c>
      <c r="C2309" t="s">
        <v>30</v>
      </c>
      <c r="D2309" t="s">
        <v>134</v>
      </c>
      <c r="E2309" t="s">
        <v>172</v>
      </c>
      <c r="F2309" t="s">
        <v>195</v>
      </c>
      <c r="G2309" t="s">
        <v>278</v>
      </c>
      <c r="H2309" t="s">
        <v>175</v>
      </c>
      <c r="I2309" t="s">
        <v>358</v>
      </c>
      <c r="J2309" t="s">
        <v>3062</v>
      </c>
      <c r="K2309" t="s">
        <v>56</v>
      </c>
      <c r="L2309" t="s">
        <v>80</v>
      </c>
      <c r="M2309" t="s">
        <v>39</v>
      </c>
      <c r="N2309" t="s">
        <v>94</v>
      </c>
      <c r="O2309" s="4">
        <v>4</v>
      </c>
      <c r="P2309" s="4">
        <v>10</v>
      </c>
      <c r="Q2309" t="s">
        <v>83</v>
      </c>
      <c r="R2309" s="2">
        <v>46177</v>
      </c>
      <c r="S2309" s="4">
        <v>26</v>
      </c>
      <c r="T2309" s="3">
        <v>97000000</v>
      </c>
      <c r="U2309" t="s">
        <v>42</v>
      </c>
      <c r="V2309" t="s">
        <v>59</v>
      </c>
      <c r="W2309" t="s">
        <v>188</v>
      </c>
      <c r="Y2309" t="s">
        <v>96</v>
      </c>
      <c r="Z2309" t="s">
        <v>3179</v>
      </c>
      <c r="AA2309" t="s">
        <v>181</v>
      </c>
      <c r="AB2309" t="s">
        <v>97</v>
      </c>
      <c r="AC2309" t="s">
        <v>181</v>
      </c>
    </row>
    <row r="2310" spans="1:29">
      <c r="A2310" t="s">
        <v>2727</v>
      </c>
      <c r="B2310" s="2">
        <v>46178</v>
      </c>
      <c r="C2310" t="s">
        <v>30</v>
      </c>
      <c r="D2310" t="s">
        <v>134</v>
      </c>
      <c r="E2310" t="s">
        <v>100</v>
      </c>
      <c r="F2310" t="s">
        <v>101</v>
      </c>
      <c r="G2310" t="s">
        <v>147</v>
      </c>
      <c r="H2310" t="s">
        <v>148</v>
      </c>
      <c r="I2310" t="s">
        <v>800</v>
      </c>
      <c r="J2310" t="s">
        <v>3156</v>
      </c>
      <c r="K2310" t="s">
        <v>92</v>
      </c>
      <c r="L2310" t="s">
        <v>68</v>
      </c>
      <c r="M2310" t="s">
        <v>56</v>
      </c>
      <c r="N2310" t="s">
        <v>130</v>
      </c>
      <c r="O2310" s="4">
        <v>5</v>
      </c>
      <c r="P2310" s="4">
        <v>19</v>
      </c>
      <c r="Q2310" t="s">
        <v>142</v>
      </c>
      <c r="R2310" s="2">
        <v>46175</v>
      </c>
      <c r="S2310" s="4">
        <v>28</v>
      </c>
      <c r="T2310" s="3">
        <v>231000000</v>
      </c>
      <c r="U2310" t="s">
        <v>260</v>
      </c>
      <c r="V2310" t="s">
        <v>70</v>
      </c>
      <c r="W2310" t="s">
        <v>144</v>
      </c>
      <c r="X2310" t="s">
        <v>381</v>
      </c>
      <c r="Y2310" t="s">
        <v>254</v>
      </c>
      <c r="Z2310" t="s">
        <v>3179</v>
      </c>
      <c r="AA2310" t="s">
        <v>109</v>
      </c>
      <c r="AB2310" t="s">
        <v>97</v>
      </c>
      <c r="AC2310" t="s">
        <v>109</v>
      </c>
    </row>
    <row r="2311" spans="1:29">
      <c r="A2311" t="s">
        <v>2728</v>
      </c>
      <c r="B2311" s="2">
        <v>46202</v>
      </c>
      <c r="C2311" t="s">
        <v>30</v>
      </c>
      <c r="D2311" t="s">
        <v>31</v>
      </c>
      <c r="E2311" t="s">
        <v>152</v>
      </c>
      <c r="F2311" t="s">
        <v>153</v>
      </c>
      <c r="G2311" t="s">
        <v>286</v>
      </c>
      <c r="H2311" t="s">
        <v>155</v>
      </c>
      <c r="I2311" t="s">
        <v>434</v>
      </c>
      <c r="J2311" t="s">
        <v>3083</v>
      </c>
      <c r="K2311" t="s">
        <v>37</v>
      </c>
      <c r="L2311" t="s">
        <v>80</v>
      </c>
      <c r="M2311" t="s">
        <v>39</v>
      </c>
      <c r="N2311" t="s">
        <v>40</v>
      </c>
      <c r="O2311" s="4">
        <v>2</v>
      </c>
      <c r="P2311" s="4">
        <v>14</v>
      </c>
      <c r="Q2311" t="s">
        <v>138</v>
      </c>
      <c r="R2311" s="2">
        <v>46200</v>
      </c>
      <c r="S2311" s="4">
        <v>3</v>
      </c>
      <c r="T2311" s="3">
        <v>236000000</v>
      </c>
      <c r="U2311" t="s">
        <v>42</v>
      </c>
      <c r="V2311" t="s">
        <v>43</v>
      </c>
      <c r="W2311" t="s">
        <v>178</v>
      </c>
      <c r="Y2311" t="s">
        <v>45</v>
      </c>
      <c r="Z2311" t="s">
        <v>3180</v>
      </c>
      <c r="AA2311" t="s">
        <v>159</v>
      </c>
      <c r="AB2311" t="s">
        <v>193</v>
      </c>
      <c r="AC2311" t="s">
        <v>159</v>
      </c>
    </row>
    <row r="2312" spans="1:29">
      <c r="A2312" t="s">
        <v>2729</v>
      </c>
      <c r="B2312" s="2">
        <v>46180</v>
      </c>
      <c r="C2312" t="s">
        <v>30</v>
      </c>
      <c r="D2312" t="s">
        <v>134</v>
      </c>
      <c r="E2312" t="s">
        <v>75</v>
      </c>
      <c r="F2312" t="s">
        <v>161</v>
      </c>
      <c r="G2312" t="s">
        <v>230</v>
      </c>
      <c r="H2312" t="s">
        <v>185</v>
      </c>
      <c r="I2312" t="s">
        <v>428</v>
      </c>
      <c r="J2312" t="s">
        <v>3081</v>
      </c>
      <c r="K2312" t="s">
        <v>105</v>
      </c>
      <c r="L2312" t="s">
        <v>187</v>
      </c>
      <c r="M2312" t="s">
        <v>56</v>
      </c>
      <c r="N2312" t="s">
        <v>196</v>
      </c>
      <c r="O2312" s="4">
        <v>7</v>
      </c>
      <c r="P2312" s="4">
        <v>9</v>
      </c>
      <c r="Q2312" t="s">
        <v>69</v>
      </c>
      <c r="R2312" s="2">
        <v>46172</v>
      </c>
      <c r="S2312" s="4">
        <v>31</v>
      </c>
      <c r="T2312" s="3">
        <v>287000000</v>
      </c>
      <c r="U2312" t="s">
        <v>564</v>
      </c>
      <c r="V2312" t="s">
        <v>70</v>
      </c>
      <c r="W2312" t="s">
        <v>675</v>
      </c>
      <c r="Y2312" t="s">
        <v>210</v>
      </c>
      <c r="Z2312" t="s">
        <v>3181</v>
      </c>
      <c r="AA2312" t="s">
        <v>86</v>
      </c>
      <c r="AB2312" t="s">
        <v>199</v>
      </c>
      <c r="AC2312" t="s">
        <v>86</v>
      </c>
    </row>
    <row r="2313" spans="1:29">
      <c r="A2313" t="s">
        <v>2730</v>
      </c>
      <c r="B2313" s="2">
        <v>46175</v>
      </c>
      <c r="C2313" t="s">
        <v>30</v>
      </c>
      <c r="D2313" t="s">
        <v>134</v>
      </c>
      <c r="E2313" t="s">
        <v>75</v>
      </c>
      <c r="F2313" t="s">
        <v>183</v>
      </c>
      <c r="G2313" t="s">
        <v>162</v>
      </c>
      <c r="H2313" t="s">
        <v>185</v>
      </c>
      <c r="I2313" t="s">
        <v>542</v>
      </c>
      <c r="J2313" t="s">
        <v>3115</v>
      </c>
      <c r="K2313" t="s">
        <v>105</v>
      </c>
      <c r="L2313" t="s">
        <v>187</v>
      </c>
      <c r="M2313" t="s">
        <v>164</v>
      </c>
      <c r="N2313" t="s">
        <v>94</v>
      </c>
      <c r="O2313" s="4">
        <v>4</v>
      </c>
      <c r="P2313" s="4">
        <v>12</v>
      </c>
      <c r="Q2313" t="s">
        <v>142</v>
      </c>
      <c r="R2313" s="2">
        <v>46168</v>
      </c>
      <c r="S2313" s="4">
        <v>35</v>
      </c>
      <c r="T2313" s="3">
        <v>212000000</v>
      </c>
      <c r="U2313" t="s">
        <v>42</v>
      </c>
      <c r="V2313" t="s">
        <v>59</v>
      </c>
      <c r="W2313" t="s">
        <v>188</v>
      </c>
      <c r="Y2313" t="s">
        <v>228</v>
      </c>
      <c r="Z2313" t="s">
        <v>3179</v>
      </c>
      <c r="AA2313" t="s">
        <v>86</v>
      </c>
      <c r="AB2313" t="s">
        <v>97</v>
      </c>
      <c r="AC2313" t="s">
        <v>86</v>
      </c>
    </row>
    <row r="2314" spans="1:29">
      <c r="A2314" t="s">
        <v>2731</v>
      </c>
      <c r="B2314" s="2">
        <v>46175</v>
      </c>
      <c r="C2314" t="s">
        <v>30</v>
      </c>
      <c r="D2314" t="s">
        <v>134</v>
      </c>
      <c r="E2314" t="s">
        <v>120</v>
      </c>
      <c r="F2314" t="s">
        <v>121</v>
      </c>
      <c r="G2314" t="s">
        <v>227</v>
      </c>
      <c r="H2314" t="s">
        <v>300</v>
      </c>
      <c r="I2314" t="s">
        <v>301</v>
      </c>
      <c r="J2314" t="s">
        <v>3045</v>
      </c>
      <c r="K2314" t="s">
        <v>56</v>
      </c>
      <c r="L2314" t="s">
        <v>55</v>
      </c>
      <c r="M2314" t="s">
        <v>81</v>
      </c>
      <c r="N2314" t="s">
        <v>57</v>
      </c>
      <c r="O2314" s="4">
        <v>3</v>
      </c>
      <c r="P2314" s="4">
        <v>10</v>
      </c>
      <c r="Q2314" t="s">
        <v>69</v>
      </c>
      <c r="R2314" s="2">
        <v>46175</v>
      </c>
      <c r="S2314" s="4">
        <v>28</v>
      </c>
      <c r="T2314" s="3">
        <v>318000000</v>
      </c>
      <c r="U2314" t="s">
        <v>42</v>
      </c>
      <c r="V2314" t="s">
        <v>59</v>
      </c>
      <c r="W2314" t="s">
        <v>71</v>
      </c>
      <c r="Y2314" t="s">
        <v>165</v>
      </c>
      <c r="Z2314" t="s">
        <v>3177</v>
      </c>
      <c r="AA2314" t="s">
        <v>97</v>
      </c>
      <c r="AB2314" t="s">
        <v>63</v>
      </c>
      <c r="AC2314" t="s">
        <v>97</v>
      </c>
    </row>
    <row r="2315" spans="1:29">
      <c r="A2315" t="s">
        <v>2732</v>
      </c>
      <c r="B2315" s="2">
        <v>46202</v>
      </c>
      <c r="C2315" t="s">
        <v>30</v>
      </c>
      <c r="D2315" t="s">
        <v>31</v>
      </c>
      <c r="E2315" t="s">
        <v>152</v>
      </c>
      <c r="F2315" t="s">
        <v>153</v>
      </c>
      <c r="G2315" t="s">
        <v>286</v>
      </c>
      <c r="H2315" t="s">
        <v>283</v>
      </c>
      <c r="I2315" t="s">
        <v>295</v>
      </c>
      <c r="J2315" t="s">
        <v>3043</v>
      </c>
      <c r="K2315" t="s">
        <v>105</v>
      </c>
      <c r="L2315" t="s">
        <v>187</v>
      </c>
      <c r="M2315" t="s">
        <v>129</v>
      </c>
      <c r="N2315" t="s">
        <v>57</v>
      </c>
      <c r="O2315" s="4">
        <v>3</v>
      </c>
      <c r="P2315" s="4">
        <v>15</v>
      </c>
      <c r="Q2315" t="s">
        <v>83</v>
      </c>
      <c r="R2315" s="2">
        <v>46197</v>
      </c>
      <c r="S2315" s="4">
        <v>6</v>
      </c>
      <c r="T2315" s="3">
        <v>148000000</v>
      </c>
      <c r="U2315" t="s">
        <v>42</v>
      </c>
      <c r="V2315" t="s">
        <v>59</v>
      </c>
      <c r="W2315" t="s">
        <v>60</v>
      </c>
      <c r="Y2315" t="s">
        <v>165</v>
      </c>
      <c r="Z2315" t="s">
        <v>3180</v>
      </c>
      <c r="AA2315" t="s">
        <v>159</v>
      </c>
      <c r="AB2315" t="s">
        <v>193</v>
      </c>
      <c r="AC2315" t="s">
        <v>159</v>
      </c>
    </row>
    <row r="2316" spans="1:29">
      <c r="A2316" t="s">
        <v>2733</v>
      </c>
      <c r="B2316" s="2">
        <v>46183</v>
      </c>
      <c r="C2316" t="s">
        <v>30</v>
      </c>
      <c r="D2316" t="s">
        <v>99</v>
      </c>
      <c r="E2316" t="s">
        <v>50</v>
      </c>
      <c r="F2316" t="s">
        <v>51</v>
      </c>
      <c r="G2316" t="s">
        <v>65</v>
      </c>
      <c r="H2316" t="s">
        <v>66</v>
      </c>
      <c r="I2316" t="s">
        <v>849</v>
      </c>
      <c r="J2316" t="s">
        <v>3162</v>
      </c>
      <c r="K2316" t="s">
        <v>56</v>
      </c>
      <c r="L2316" t="s">
        <v>38</v>
      </c>
      <c r="M2316" t="s">
        <v>56</v>
      </c>
      <c r="N2316" t="s">
        <v>94</v>
      </c>
      <c r="O2316" s="4">
        <v>4</v>
      </c>
      <c r="P2316" s="4">
        <v>8</v>
      </c>
      <c r="Q2316" t="s">
        <v>41</v>
      </c>
      <c r="R2316" s="2">
        <v>46177</v>
      </c>
      <c r="S2316" s="4">
        <v>26</v>
      </c>
      <c r="T2316" s="3">
        <v>221000000</v>
      </c>
      <c r="U2316" t="s">
        <v>42</v>
      </c>
      <c r="V2316" t="s">
        <v>59</v>
      </c>
      <c r="W2316" t="s">
        <v>188</v>
      </c>
      <c r="Y2316" t="s">
        <v>96</v>
      </c>
      <c r="Z2316" t="s">
        <v>3179</v>
      </c>
      <c r="AA2316" t="s">
        <v>62</v>
      </c>
      <c r="AB2316" t="s">
        <v>97</v>
      </c>
      <c r="AC2316" t="s">
        <v>62</v>
      </c>
    </row>
    <row r="2317" spans="1:29">
      <c r="A2317" t="s">
        <v>2734</v>
      </c>
      <c r="B2317" s="2">
        <v>46190</v>
      </c>
      <c r="C2317" t="s">
        <v>30</v>
      </c>
      <c r="D2317" t="s">
        <v>74</v>
      </c>
      <c r="E2317" t="s">
        <v>32</v>
      </c>
      <c r="F2317" t="s">
        <v>256</v>
      </c>
      <c r="G2317" t="s">
        <v>218</v>
      </c>
      <c r="H2317" t="s">
        <v>303</v>
      </c>
      <c r="I2317" t="s">
        <v>964</v>
      </c>
      <c r="J2317" t="s">
        <v>3167</v>
      </c>
      <c r="K2317" t="s">
        <v>37</v>
      </c>
      <c r="L2317" t="s">
        <v>169</v>
      </c>
      <c r="M2317" t="s">
        <v>93</v>
      </c>
      <c r="N2317" t="s">
        <v>130</v>
      </c>
      <c r="O2317" s="4">
        <v>5</v>
      </c>
      <c r="P2317" s="4">
        <v>6</v>
      </c>
      <c r="Q2317" t="s">
        <v>41</v>
      </c>
      <c r="R2317" s="2">
        <v>46186</v>
      </c>
      <c r="S2317" s="4">
        <v>17</v>
      </c>
      <c r="T2317" s="3">
        <v>157000000</v>
      </c>
      <c r="U2317" t="s">
        <v>42</v>
      </c>
      <c r="V2317" t="s">
        <v>59</v>
      </c>
      <c r="W2317" t="s">
        <v>252</v>
      </c>
      <c r="Y2317" t="s">
        <v>334</v>
      </c>
      <c r="Z2317" t="s">
        <v>3179</v>
      </c>
      <c r="AA2317" t="s">
        <v>46</v>
      </c>
      <c r="AB2317" t="s">
        <v>97</v>
      </c>
      <c r="AC2317" t="s">
        <v>46</v>
      </c>
    </row>
    <row r="2318" spans="1:29">
      <c r="A2318" t="s">
        <v>2735</v>
      </c>
      <c r="B2318" s="2">
        <v>46190</v>
      </c>
      <c r="C2318" t="s">
        <v>30</v>
      </c>
      <c r="D2318" t="s">
        <v>74</v>
      </c>
      <c r="E2318" t="s">
        <v>152</v>
      </c>
      <c r="F2318" t="s">
        <v>153</v>
      </c>
      <c r="G2318" t="s">
        <v>294</v>
      </c>
      <c r="H2318" t="s">
        <v>155</v>
      </c>
      <c r="I2318" t="s">
        <v>434</v>
      </c>
      <c r="J2318" t="s">
        <v>3083</v>
      </c>
      <c r="K2318" t="s">
        <v>105</v>
      </c>
      <c r="L2318" t="s">
        <v>150</v>
      </c>
      <c r="M2318" t="s">
        <v>106</v>
      </c>
      <c r="N2318" t="s">
        <v>57</v>
      </c>
      <c r="O2318" s="4">
        <v>3</v>
      </c>
      <c r="P2318" s="4">
        <v>16</v>
      </c>
      <c r="Q2318" t="s">
        <v>69</v>
      </c>
      <c r="R2318" s="2">
        <v>46186</v>
      </c>
      <c r="S2318" s="4">
        <v>17</v>
      </c>
      <c r="T2318" s="3">
        <v>174000000</v>
      </c>
      <c r="U2318" t="s">
        <v>42</v>
      </c>
      <c r="V2318" t="s">
        <v>59</v>
      </c>
      <c r="W2318" t="s">
        <v>71</v>
      </c>
      <c r="Y2318" t="s">
        <v>72</v>
      </c>
      <c r="Z2318" t="s">
        <v>3180</v>
      </c>
      <c r="AA2318" t="s">
        <v>159</v>
      </c>
      <c r="AB2318" t="s">
        <v>193</v>
      </c>
      <c r="AC2318" t="s">
        <v>159</v>
      </c>
    </row>
    <row r="2319" spans="1:29">
      <c r="A2319" t="s">
        <v>2736</v>
      </c>
      <c r="B2319" s="2">
        <v>46184</v>
      </c>
      <c r="C2319" t="s">
        <v>30</v>
      </c>
      <c r="D2319" t="s">
        <v>99</v>
      </c>
      <c r="E2319" t="s">
        <v>152</v>
      </c>
      <c r="F2319" t="s">
        <v>153</v>
      </c>
      <c r="G2319" t="s">
        <v>206</v>
      </c>
      <c r="H2319" t="s">
        <v>207</v>
      </c>
      <c r="I2319" t="s">
        <v>773</v>
      </c>
      <c r="J2319" t="s">
        <v>3153</v>
      </c>
      <c r="K2319" t="s">
        <v>56</v>
      </c>
      <c r="L2319" t="s">
        <v>169</v>
      </c>
      <c r="M2319" t="s">
        <v>81</v>
      </c>
      <c r="N2319" t="s">
        <v>94</v>
      </c>
      <c r="O2319" s="4">
        <v>4</v>
      </c>
      <c r="P2319" s="4">
        <v>14</v>
      </c>
      <c r="Q2319" t="s">
        <v>41</v>
      </c>
      <c r="R2319" s="2">
        <v>46177</v>
      </c>
      <c r="S2319" s="4">
        <v>26</v>
      </c>
      <c r="T2319" s="3">
        <v>118000000</v>
      </c>
      <c r="U2319" t="s">
        <v>42</v>
      </c>
      <c r="V2319" t="s">
        <v>59</v>
      </c>
      <c r="W2319" t="s">
        <v>188</v>
      </c>
      <c r="Y2319" t="s">
        <v>268</v>
      </c>
      <c r="Z2319" t="s">
        <v>3179</v>
      </c>
      <c r="AA2319" t="s">
        <v>159</v>
      </c>
      <c r="AB2319" t="s">
        <v>97</v>
      </c>
      <c r="AC2319" t="s">
        <v>159</v>
      </c>
    </row>
    <row r="2320" spans="1:29">
      <c r="A2320" t="s">
        <v>2737</v>
      </c>
      <c r="B2320" s="2">
        <v>46191</v>
      </c>
      <c r="C2320" t="s">
        <v>30</v>
      </c>
      <c r="D2320" t="s">
        <v>74</v>
      </c>
      <c r="E2320" t="s">
        <v>172</v>
      </c>
      <c r="F2320" t="s">
        <v>277</v>
      </c>
      <c r="G2320" t="s">
        <v>338</v>
      </c>
      <c r="H2320" t="s">
        <v>241</v>
      </c>
      <c r="I2320" t="s">
        <v>457</v>
      </c>
      <c r="J2320" t="s">
        <v>3092</v>
      </c>
      <c r="K2320" t="s">
        <v>37</v>
      </c>
      <c r="L2320" t="s">
        <v>68</v>
      </c>
      <c r="M2320" t="s">
        <v>81</v>
      </c>
      <c r="N2320" t="s">
        <v>196</v>
      </c>
      <c r="O2320" s="4">
        <v>7</v>
      </c>
      <c r="P2320" s="4">
        <v>7</v>
      </c>
      <c r="Q2320" t="s">
        <v>41</v>
      </c>
      <c r="R2320" s="2">
        <v>46187</v>
      </c>
      <c r="S2320" s="4">
        <v>16</v>
      </c>
      <c r="T2320" s="3">
        <v>200000000</v>
      </c>
      <c r="U2320" t="s">
        <v>564</v>
      </c>
      <c r="V2320" t="s">
        <v>70</v>
      </c>
      <c r="W2320" t="s">
        <v>675</v>
      </c>
      <c r="Y2320" t="s">
        <v>244</v>
      </c>
      <c r="Z2320" t="s">
        <v>3181</v>
      </c>
      <c r="AA2320" t="s">
        <v>181</v>
      </c>
      <c r="AB2320" t="s">
        <v>199</v>
      </c>
      <c r="AC2320" t="s">
        <v>181</v>
      </c>
    </row>
    <row r="2321" spans="1:29">
      <c r="A2321" t="s">
        <v>2738</v>
      </c>
      <c r="B2321" s="2">
        <v>46181</v>
      </c>
      <c r="C2321" t="s">
        <v>30</v>
      </c>
      <c r="D2321" t="s">
        <v>99</v>
      </c>
      <c r="E2321" t="s">
        <v>75</v>
      </c>
      <c r="F2321" t="s">
        <v>76</v>
      </c>
      <c r="G2321" t="s">
        <v>230</v>
      </c>
      <c r="H2321" t="s">
        <v>388</v>
      </c>
      <c r="I2321" t="s">
        <v>389</v>
      </c>
      <c r="J2321" t="s">
        <v>3071</v>
      </c>
      <c r="K2321" t="s">
        <v>37</v>
      </c>
      <c r="L2321" t="s">
        <v>68</v>
      </c>
      <c r="M2321" t="s">
        <v>56</v>
      </c>
      <c r="N2321" t="s">
        <v>57</v>
      </c>
      <c r="O2321" s="4">
        <v>3</v>
      </c>
      <c r="P2321" s="4">
        <v>9</v>
      </c>
      <c r="Q2321" t="s">
        <v>142</v>
      </c>
      <c r="R2321" s="2">
        <v>46174</v>
      </c>
      <c r="S2321" s="4">
        <v>29</v>
      </c>
      <c r="T2321" s="3">
        <v>69000000</v>
      </c>
      <c r="U2321" t="s">
        <v>42</v>
      </c>
      <c r="V2321" t="s">
        <v>43</v>
      </c>
      <c r="W2321" t="s">
        <v>71</v>
      </c>
      <c r="Y2321" t="s">
        <v>72</v>
      </c>
      <c r="Z2321" t="s">
        <v>3177</v>
      </c>
      <c r="AA2321" t="s">
        <v>86</v>
      </c>
      <c r="AB2321" t="s">
        <v>63</v>
      </c>
      <c r="AC2321" t="s">
        <v>86</v>
      </c>
    </row>
    <row r="2322" spans="1:29">
      <c r="A2322" t="s">
        <v>2739</v>
      </c>
      <c r="B2322" s="2">
        <v>46182</v>
      </c>
      <c r="C2322" t="s">
        <v>30</v>
      </c>
      <c r="D2322" t="s">
        <v>99</v>
      </c>
      <c r="E2322" t="s">
        <v>172</v>
      </c>
      <c r="F2322" t="s">
        <v>173</v>
      </c>
      <c r="G2322" t="s">
        <v>278</v>
      </c>
      <c r="H2322" t="s">
        <v>317</v>
      </c>
      <c r="I2322" t="s">
        <v>815</v>
      </c>
      <c r="J2322" t="s">
        <v>3158</v>
      </c>
      <c r="K2322" t="s">
        <v>37</v>
      </c>
      <c r="L2322" t="s">
        <v>187</v>
      </c>
      <c r="M2322" t="s">
        <v>93</v>
      </c>
      <c r="N2322" t="s">
        <v>94</v>
      </c>
      <c r="O2322" s="4">
        <v>4</v>
      </c>
      <c r="P2322" s="4">
        <v>11</v>
      </c>
      <c r="Q2322" t="s">
        <v>41</v>
      </c>
      <c r="R2322" s="2">
        <v>46181</v>
      </c>
      <c r="S2322" s="4">
        <v>22</v>
      </c>
      <c r="T2322" s="3">
        <v>69000000</v>
      </c>
      <c r="U2322" t="s">
        <v>42</v>
      </c>
      <c r="V2322" t="s">
        <v>59</v>
      </c>
      <c r="W2322" t="s">
        <v>267</v>
      </c>
      <c r="Y2322" t="s">
        <v>268</v>
      </c>
      <c r="Z2322" t="s">
        <v>3179</v>
      </c>
      <c r="AA2322" t="s">
        <v>181</v>
      </c>
      <c r="AB2322" t="s">
        <v>97</v>
      </c>
      <c r="AC2322" t="s">
        <v>181</v>
      </c>
    </row>
    <row r="2323" spans="1:29">
      <c r="A2323" t="s">
        <v>2740</v>
      </c>
      <c r="B2323" s="2">
        <v>46186</v>
      </c>
      <c r="C2323" t="s">
        <v>30</v>
      </c>
      <c r="D2323" t="s">
        <v>99</v>
      </c>
      <c r="E2323" t="s">
        <v>75</v>
      </c>
      <c r="F2323" t="s">
        <v>161</v>
      </c>
      <c r="G2323" t="s">
        <v>77</v>
      </c>
      <c r="H2323" t="s">
        <v>388</v>
      </c>
      <c r="I2323" t="s">
        <v>540</v>
      </c>
      <c r="J2323" t="s">
        <v>3114</v>
      </c>
      <c r="K2323" t="s">
        <v>92</v>
      </c>
      <c r="L2323" t="s">
        <v>80</v>
      </c>
      <c r="M2323" t="s">
        <v>164</v>
      </c>
      <c r="N2323" t="s">
        <v>94</v>
      </c>
      <c r="O2323" s="4">
        <v>4</v>
      </c>
      <c r="P2323" s="4">
        <v>5</v>
      </c>
      <c r="Q2323" t="s">
        <v>138</v>
      </c>
      <c r="R2323" s="2">
        <v>46178</v>
      </c>
      <c r="S2323" s="4">
        <v>25</v>
      </c>
      <c r="T2323" s="3">
        <v>178000000</v>
      </c>
      <c r="U2323" t="s">
        <v>42</v>
      </c>
      <c r="V2323" t="s">
        <v>59</v>
      </c>
      <c r="W2323" t="s">
        <v>267</v>
      </c>
      <c r="Y2323" t="s">
        <v>268</v>
      </c>
      <c r="Z2323" t="s">
        <v>3179</v>
      </c>
      <c r="AA2323" t="s">
        <v>86</v>
      </c>
      <c r="AB2323" t="s">
        <v>97</v>
      </c>
      <c r="AC2323" t="s">
        <v>86</v>
      </c>
    </row>
    <row r="2324" spans="1:29">
      <c r="A2324" t="s">
        <v>2741</v>
      </c>
      <c r="B2324" s="2">
        <v>46174</v>
      </c>
      <c r="C2324" t="s">
        <v>30</v>
      </c>
      <c r="D2324" t="s">
        <v>134</v>
      </c>
      <c r="E2324" t="s">
        <v>75</v>
      </c>
      <c r="F2324" t="s">
        <v>76</v>
      </c>
      <c r="G2324" t="s">
        <v>387</v>
      </c>
      <c r="H2324" t="s">
        <v>78</v>
      </c>
      <c r="I2324" t="s">
        <v>501</v>
      </c>
      <c r="J2324" t="s">
        <v>3106</v>
      </c>
      <c r="K2324" t="s">
        <v>56</v>
      </c>
      <c r="L2324" t="s">
        <v>80</v>
      </c>
      <c r="M2324" t="s">
        <v>39</v>
      </c>
      <c r="N2324" t="s">
        <v>94</v>
      </c>
      <c r="O2324" s="4">
        <v>4</v>
      </c>
      <c r="P2324" s="4">
        <v>11</v>
      </c>
      <c r="Q2324" t="s">
        <v>83</v>
      </c>
      <c r="R2324" s="2">
        <v>46170</v>
      </c>
      <c r="S2324" s="4">
        <v>33</v>
      </c>
      <c r="T2324" s="3">
        <v>282000000</v>
      </c>
      <c r="U2324" t="s">
        <v>42</v>
      </c>
      <c r="V2324" t="s">
        <v>59</v>
      </c>
      <c r="W2324" t="s">
        <v>267</v>
      </c>
      <c r="Y2324" t="s">
        <v>108</v>
      </c>
      <c r="Z2324" t="s">
        <v>3179</v>
      </c>
      <c r="AA2324" t="s">
        <v>86</v>
      </c>
      <c r="AB2324" t="s">
        <v>97</v>
      </c>
      <c r="AC2324" t="s">
        <v>86</v>
      </c>
    </row>
    <row r="2325" spans="1:29">
      <c r="A2325" t="s">
        <v>2742</v>
      </c>
      <c r="B2325" s="2">
        <v>46188</v>
      </c>
      <c r="C2325" t="s">
        <v>30</v>
      </c>
      <c r="D2325" t="s">
        <v>74</v>
      </c>
      <c r="E2325" t="s">
        <v>172</v>
      </c>
      <c r="F2325" t="s">
        <v>173</v>
      </c>
      <c r="G2325" t="s">
        <v>476</v>
      </c>
      <c r="H2325" t="s">
        <v>175</v>
      </c>
      <c r="I2325" t="s">
        <v>358</v>
      </c>
      <c r="J2325" t="s">
        <v>3062</v>
      </c>
      <c r="K2325" t="s">
        <v>37</v>
      </c>
      <c r="L2325" t="s">
        <v>150</v>
      </c>
      <c r="M2325" t="s">
        <v>129</v>
      </c>
      <c r="N2325" t="s">
        <v>94</v>
      </c>
      <c r="O2325" s="4">
        <v>4</v>
      </c>
      <c r="P2325" s="4">
        <v>6</v>
      </c>
      <c r="Q2325" t="s">
        <v>142</v>
      </c>
      <c r="R2325" s="2">
        <v>46186</v>
      </c>
      <c r="S2325" s="4">
        <v>17</v>
      </c>
      <c r="T2325" s="3">
        <v>208000000</v>
      </c>
      <c r="U2325" t="s">
        <v>42</v>
      </c>
      <c r="V2325" t="s">
        <v>70</v>
      </c>
      <c r="W2325" t="s">
        <v>267</v>
      </c>
      <c r="Y2325" t="s">
        <v>228</v>
      </c>
      <c r="Z2325" t="s">
        <v>3179</v>
      </c>
      <c r="AA2325" t="s">
        <v>181</v>
      </c>
      <c r="AB2325" t="s">
        <v>97</v>
      </c>
      <c r="AC2325" t="s">
        <v>181</v>
      </c>
    </row>
    <row r="2326" spans="1:29">
      <c r="A2326" t="s">
        <v>2743</v>
      </c>
      <c r="B2326" s="2">
        <v>46199</v>
      </c>
      <c r="C2326" t="s">
        <v>30</v>
      </c>
      <c r="D2326" t="s">
        <v>49</v>
      </c>
      <c r="E2326" t="s">
        <v>172</v>
      </c>
      <c r="F2326" t="s">
        <v>173</v>
      </c>
      <c r="G2326" t="s">
        <v>289</v>
      </c>
      <c r="H2326" t="s">
        <v>241</v>
      </c>
      <c r="I2326" t="s">
        <v>559</v>
      </c>
      <c r="J2326" t="s">
        <v>3119</v>
      </c>
      <c r="K2326" t="s">
        <v>37</v>
      </c>
      <c r="L2326" t="s">
        <v>150</v>
      </c>
      <c r="M2326" t="s">
        <v>81</v>
      </c>
      <c r="N2326" t="s">
        <v>40</v>
      </c>
      <c r="O2326" s="4">
        <v>2</v>
      </c>
      <c r="P2326" s="4">
        <v>6</v>
      </c>
      <c r="Q2326" t="s">
        <v>83</v>
      </c>
      <c r="R2326" s="2">
        <v>46194</v>
      </c>
      <c r="S2326" s="4">
        <v>9</v>
      </c>
      <c r="T2326" s="3">
        <v>216000000</v>
      </c>
      <c r="U2326" t="s">
        <v>42</v>
      </c>
      <c r="V2326" t="s">
        <v>43</v>
      </c>
      <c r="W2326" t="s">
        <v>298</v>
      </c>
      <c r="Y2326" t="s">
        <v>45</v>
      </c>
      <c r="Z2326" t="s">
        <v>3178</v>
      </c>
      <c r="AA2326" t="s">
        <v>181</v>
      </c>
      <c r="AB2326" t="s">
        <v>87</v>
      </c>
      <c r="AC2326" t="s">
        <v>181</v>
      </c>
    </row>
    <row r="2327" spans="1:29">
      <c r="A2327" t="s">
        <v>2744</v>
      </c>
      <c r="B2327" s="2">
        <v>46179</v>
      </c>
      <c r="C2327" t="s">
        <v>30</v>
      </c>
      <c r="D2327" t="s">
        <v>134</v>
      </c>
      <c r="E2327" t="s">
        <v>152</v>
      </c>
      <c r="F2327" t="s">
        <v>205</v>
      </c>
      <c r="G2327" t="s">
        <v>294</v>
      </c>
      <c r="H2327" t="s">
        <v>155</v>
      </c>
      <c r="I2327" t="s">
        <v>443</v>
      </c>
      <c r="J2327" t="s">
        <v>3086</v>
      </c>
      <c r="K2327" t="s">
        <v>105</v>
      </c>
      <c r="L2327" t="s">
        <v>187</v>
      </c>
      <c r="M2327" t="s">
        <v>129</v>
      </c>
      <c r="N2327" t="s">
        <v>57</v>
      </c>
      <c r="O2327" s="4">
        <v>3</v>
      </c>
      <c r="P2327" s="4">
        <v>10</v>
      </c>
      <c r="Q2327" t="s">
        <v>107</v>
      </c>
      <c r="R2327" s="2">
        <v>46172</v>
      </c>
      <c r="S2327" s="4">
        <v>31</v>
      </c>
      <c r="T2327" s="3">
        <v>230000000</v>
      </c>
      <c r="U2327" t="s">
        <v>42</v>
      </c>
      <c r="V2327" t="s">
        <v>59</v>
      </c>
      <c r="W2327" t="s">
        <v>203</v>
      </c>
      <c r="Y2327" t="s">
        <v>165</v>
      </c>
      <c r="Z2327" t="s">
        <v>3177</v>
      </c>
      <c r="AA2327" t="s">
        <v>159</v>
      </c>
      <c r="AB2327" t="s">
        <v>63</v>
      </c>
      <c r="AC2327" t="s">
        <v>159</v>
      </c>
    </row>
    <row r="2328" spans="1:29">
      <c r="A2328" t="s">
        <v>2745</v>
      </c>
      <c r="B2328" s="2">
        <v>46179</v>
      </c>
      <c r="C2328" t="s">
        <v>30</v>
      </c>
      <c r="D2328" t="s">
        <v>134</v>
      </c>
      <c r="E2328" t="s">
        <v>75</v>
      </c>
      <c r="F2328" t="s">
        <v>76</v>
      </c>
      <c r="G2328" t="s">
        <v>230</v>
      </c>
      <c r="H2328" t="s">
        <v>185</v>
      </c>
      <c r="I2328" t="s">
        <v>186</v>
      </c>
      <c r="J2328" t="s">
        <v>3024</v>
      </c>
      <c r="K2328" t="s">
        <v>92</v>
      </c>
      <c r="L2328" t="s">
        <v>150</v>
      </c>
      <c r="M2328" t="s">
        <v>56</v>
      </c>
      <c r="N2328" t="s">
        <v>196</v>
      </c>
      <c r="O2328" s="4">
        <v>7</v>
      </c>
      <c r="P2328" s="4">
        <v>12</v>
      </c>
      <c r="Q2328" t="s">
        <v>83</v>
      </c>
      <c r="R2328" s="2">
        <v>46173</v>
      </c>
      <c r="S2328" s="4">
        <v>30</v>
      </c>
      <c r="T2328" s="3">
        <v>213000000</v>
      </c>
      <c r="U2328" t="s">
        <v>196</v>
      </c>
      <c r="V2328" t="s">
        <v>70</v>
      </c>
      <c r="W2328" t="s">
        <v>209</v>
      </c>
      <c r="Y2328" t="s">
        <v>369</v>
      </c>
      <c r="Z2328" t="s">
        <v>3181</v>
      </c>
      <c r="AA2328" t="s">
        <v>86</v>
      </c>
      <c r="AB2328" t="s">
        <v>199</v>
      </c>
      <c r="AC2328" t="s">
        <v>86</v>
      </c>
    </row>
    <row r="2329" spans="1:29">
      <c r="A2329" t="s">
        <v>2746</v>
      </c>
      <c r="B2329" s="2">
        <v>46203</v>
      </c>
      <c r="C2329" t="s">
        <v>30</v>
      </c>
      <c r="D2329" t="s">
        <v>31</v>
      </c>
      <c r="E2329" t="s">
        <v>32</v>
      </c>
      <c r="F2329" t="s">
        <v>33</v>
      </c>
      <c r="G2329" t="s">
        <v>361</v>
      </c>
      <c r="H2329" t="s">
        <v>258</v>
      </c>
      <c r="I2329" t="s">
        <v>297</v>
      </c>
      <c r="J2329" t="s">
        <v>3044</v>
      </c>
      <c r="K2329" t="s">
        <v>105</v>
      </c>
      <c r="L2329" t="s">
        <v>187</v>
      </c>
      <c r="M2329" t="s">
        <v>39</v>
      </c>
      <c r="N2329" t="s">
        <v>40</v>
      </c>
      <c r="O2329" s="4">
        <v>2</v>
      </c>
      <c r="P2329" s="4">
        <v>3</v>
      </c>
      <c r="Q2329" t="s">
        <v>107</v>
      </c>
      <c r="R2329" s="2">
        <v>46194</v>
      </c>
      <c r="S2329" s="4">
        <v>9</v>
      </c>
      <c r="T2329" s="3">
        <v>143000000</v>
      </c>
      <c r="U2329" t="s">
        <v>42</v>
      </c>
      <c r="V2329" t="s">
        <v>43</v>
      </c>
      <c r="W2329" t="s">
        <v>298</v>
      </c>
      <c r="Y2329" t="s">
        <v>45</v>
      </c>
      <c r="Z2329" t="s">
        <v>3176</v>
      </c>
      <c r="AA2329" t="s">
        <v>46</v>
      </c>
      <c r="AB2329" t="s">
        <v>47</v>
      </c>
      <c r="AC2329" t="s">
        <v>46</v>
      </c>
    </row>
    <row r="2330" spans="1:29">
      <c r="A2330" t="s">
        <v>2747</v>
      </c>
      <c r="B2330" s="2">
        <v>46180</v>
      </c>
      <c r="C2330" t="s">
        <v>30</v>
      </c>
      <c r="D2330" t="s">
        <v>134</v>
      </c>
      <c r="E2330" t="s">
        <v>172</v>
      </c>
      <c r="F2330" t="s">
        <v>195</v>
      </c>
      <c r="G2330" t="s">
        <v>289</v>
      </c>
      <c r="H2330" t="s">
        <v>175</v>
      </c>
      <c r="I2330" t="s">
        <v>333</v>
      </c>
      <c r="J2330" t="s">
        <v>3054</v>
      </c>
      <c r="K2330" t="s">
        <v>37</v>
      </c>
      <c r="L2330" t="s">
        <v>38</v>
      </c>
      <c r="M2330" t="s">
        <v>39</v>
      </c>
      <c r="N2330" t="s">
        <v>196</v>
      </c>
      <c r="O2330" s="4">
        <v>7</v>
      </c>
      <c r="P2330" s="4">
        <v>14</v>
      </c>
      <c r="Q2330" t="s">
        <v>41</v>
      </c>
      <c r="R2330" s="2">
        <v>46174</v>
      </c>
      <c r="S2330" s="4">
        <v>29</v>
      </c>
      <c r="T2330" s="3">
        <v>176000000</v>
      </c>
      <c r="U2330" t="s">
        <v>196</v>
      </c>
      <c r="V2330" t="s">
        <v>70</v>
      </c>
      <c r="W2330" t="s">
        <v>675</v>
      </c>
      <c r="Y2330" t="s">
        <v>369</v>
      </c>
      <c r="Z2330" t="s">
        <v>3181</v>
      </c>
      <c r="AA2330" t="s">
        <v>181</v>
      </c>
      <c r="AB2330" t="s">
        <v>199</v>
      </c>
      <c r="AC2330" t="s">
        <v>181</v>
      </c>
    </row>
    <row r="2331" spans="1:29">
      <c r="A2331" t="s">
        <v>2748</v>
      </c>
      <c r="B2331" s="2">
        <v>46190</v>
      </c>
      <c r="C2331" t="s">
        <v>30</v>
      </c>
      <c r="D2331" t="s">
        <v>74</v>
      </c>
      <c r="E2331" t="s">
        <v>172</v>
      </c>
      <c r="F2331" t="s">
        <v>277</v>
      </c>
      <c r="G2331" t="s">
        <v>476</v>
      </c>
      <c r="H2331" t="s">
        <v>175</v>
      </c>
      <c r="I2331" t="s">
        <v>485</v>
      </c>
      <c r="J2331" t="s">
        <v>3101</v>
      </c>
      <c r="K2331" t="s">
        <v>116</v>
      </c>
      <c r="L2331" t="s">
        <v>169</v>
      </c>
      <c r="M2331" t="s">
        <v>106</v>
      </c>
      <c r="N2331" t="s">
        <v>94</v>
      </c>
      <c r="O2331" s="4">
        <v>4</v>
      </c>
      <c r="P2331" s="4">
        <v>9</v>
      </c>
      <c r="Q2331" t="s">
        <v>142</v>
      </c>
      <c r="R2331" s="2">
        <v>46183</v>
      </c>
      <c r="S2331" s="4">
        <v>20</v>
      </c>
      <c r="T2331" s="3">
        <v>108000000</v>
      </c>
      <c r="U2331" t="s">
        <v>42</v>
      </c>
      <c r="V2331" t="s">
        <v>70</v>
      </c>
      <c r="W2331" t="s">
        <v>188</v>
      </c>
      <c r="X2331" t="s">
        <v>117</v>
      </c>
      <c r="Y2331" t="s">
        <v>108</v>
      </c>
      <c r="Z2331" t="s">
        <v>3179</v>
      </c>
      <c r="AA2331" t="s">
        <v>181</v>
      </c>
      <c r="AB2331" t="s">
        <v>97</v>
      </c>
      <c r="AC2331" t="s">
        <v>181</v>
      </c>
    </row>
    <row r="2332" spans="1:29">
      <c r="A2332" t="s">
        <v>2749</v>
      </c>
      <c r="B2332" s="2">
        <v>46178</v>
      </c>
      <c r="C2332" t="s">
        <v>30</v>
      </c>
      <c r="D2332" t="s">
        <v>134</v>
      </c>
      <c r="E2332" t="s">
        <v>75</v>
      </c>
      <c r="F2332" t="s">
        <v>183</v>
      </c>
      <c r="G2332" t="s">
        <v>387</v>
      </c>
      <c r="H2332" t="s">
        <v>78</v>
      </c>
      <c r="I2332" t="s">
        <v>1145</v>
      </c>
      <c r="J2332" t="s">
        <v>3174</v>
      </c>
      <c r="K2332" t="s">
        <v>105</v>
      </c>
      <c r="L2332" t="s">
        <v>187</v>
      </c>
      <c r="M2332" t="s">
        <v>93</v>
      </c>
      <c r="N2332" t="s">
        <v>196</v>
      </c>
      <c r="O2332" s="4">
        <v>7</v>
      </c>
      <c r="P2332" s="4">
        <v>10</v>
      </c>
      <c r="Q2332" t="s">
        <v>58</v>
      </c>
      <c r="R2332" s="2">
        <v>46173</v>
      </c>
      <c r="S2332" s="4">
        <v>30</v>
      </c>
      <c r="T2332" s="3">
        <v>234000000</v>
      </c>
      <c r="U2332" t="s">
        <v>196</v>
      </c>
      <c r="V2332" t="s">
        <v>70</v>
      </c>
      <c r="W2332" t="s">
        <v>209</v>
      </c>
      <c r="Y2332" t="s">
        <v>198</v>
      </c>
      <c r="Z2332" t="s">
        <v>3181</v>
      </c>
      <c r="AA2332" t="s">
        <v>86</v>
      </c>
      <c r="AB2332" t="s">
        <v>199</v>
      </c>
      <c r="AC2332" t="s">
        <v>86</v>
      </c>
    </row>
    <row r="2333" spans="1:29">
      <c r="A2333" t="s">
        <v>2750</v>
      </c>
      <c r="B2333" s="2">
        <v>46199</v>
      </c>
      <c r="C2333" t="s">
        <v>30</v>
      </c>
      <c r="D2333" t="s">
        <v>49</v>
      </c>
      <c r="E2333" t="s">
        <v>32</v>
      </c>
      <c r="F2333" t="s">
        <v>256</v>
      </c>
      <c r="G2333" t="s">
        <v>218</v>
      </c>
      <c r="H2333" t="s">
        <v>303</v>
      </c>
      <c r="I2333" t="s">
        <v>1021</v>
      </c>
      <c r="J2333" t="s">
        <v>3171</v>
      </c>
      <c r="K2333" t="s">
        <v>116</v>
      </c>
      <c r="L2333" t="s">
        <v>55</v>
      </c>
      <c r="M2333" t="s">
        <v>164</v>
      </c>
      <c r="N2333" t="s">
        <v>82</v>
      </c>
      <c r="O2333" s="4">
        <v>1</v>
      </c>
      <c r="P2333" s="4">
        <v>4</v>
      </c>
      <c r="Q2333" t="s">
        <v>107</v>
      </c>
      <c r="R2333" s="2">
        <v>46193</v>
      </c>
      <c r="S2333" s="4">
        <v>10</v>
      </c>
      <c r="T2333" s="3">
        <v>36000000</v>
      </c>
      <c r="U2333" t="s">
        <v>177</v>
      </c>
      <c r="V2333" t="s">
        <v>43</v>
      </c>
      <c r="W2333" t="s">
        <v>404</v>
      </c>
      <c r="X2333" t="s">
        <v>179</v>
      </c>
      <c r="Y2333" t="s">
        <v>291</v>
      </c>
      <c r="Z2333" t="s">
        <v>3176</v>
      </c>
      <c r="AA2333" t="s">
        <v>46</v>
      </c>
      <c r="AB2333" t="s">
        <v>47</v>
      </c>
      <c r="AC2333" t="s">
        <v>46</v>
      </c>
    </row>
    <row r="2334" spans="1:29">
      <c r="A2334" t="s">
        <v>2751</v>
      </c>
      <c r="B2334" s="2">
        <v>46174</v>
      </c>
      <c r="C2334" t="s">
        <v>30</v>
      </c>
      <c r="D2334" t="s">
        <v>134</v>
      </c>
      <c r="E2334" t="s">
        <v>111</v>
      </c>
      <c r="F2334" t="s">
        <v>264</v>
      </c>
      <c r="G2334" t="s">
        <v>126</v>
      </c>
      <c r="H2334" t="s">
        <v>114</v>
      </c>
      <c r="I2334" t="s">
        <v>383</v>
      </c>
      <c r="J2334" t="s">
        <v>3070</v>
      </c>
      <c r="K2334" t="s">
        <v>37</v>
      </c>
      <c r="L2334" t="s">
        <v>80</v>
      </c>
      <c r="M2334" t="s">
        <v>129</v>
      </c>
      <c r="N2334" t="s">
        <v>82</v>
      </c>
      <c r="O2334" s="4">
        <v>1</v>
      </c>
      <c r="P2334" s="4">
        <v>6</v>
      </c>
      <c r="Q2334" t="s">
        <v>83</v>
      </c>
      <c r="R2334" s="2">
        <v>46172</v>
      </c>
      <c r="S2334" s="4">
        <v>31</v>
      </c>
      <c r="T2334" s="3">
        <v>252000000</v>
      </c>
      <c r="U2334" t="s">
        <v>42</v>
      </c>
      <c r="V2334" t="s">
        <v>43</v>
      </c>
      <c r="W2334" t="s">
        <v>290</v>
      </c>
      <c r="Y2334" t="s">
        <v>330</v>
      </c>
      <c r="Z2334" t="s">
        <v>3178</v>
      </c>
      <c r="AA2334" t="s">
        <v>118</v>
      </c>
      <c r="AB2334" t="s">
        <v>87</v>
      </c>
      <c r="AC2334" t="s">
        <v>118</v>
      </c>
    </row>
    <row r="2335" spans="1:29">
      <c r="A2335" t="s">
        <v>2752</v>
      </c>
      <c r="B2335" s="2">
        <v>46178</v>
      </c>
      <c r="C2335" t="s">
        <v>30</v>
      </c>
      <c r="D2335" t="s">
        <v>134</v>
      </c>
      <c r="E2335" t="s">
        <v>111</v>
      </c>
      <c r="F2335" t="s">
        <v>264</v>
      </c>
      <c r="G2335" t="s">
        <v>265</v>
      </c>
      <c r="H2335" t="s">
        <v>114</v>
      </c>
      <c r="I2335" t="s">
        <v>266</v>
      </c>
      <c r="J2335" t="s">
        <v>3037</v>
      </c>
      <c r="K2335" t="s">
        <v>37</v>
      </c>
      <c r="L2335" t="s">
        <v>169</v>
      </c>
      <c r="M2335" t="s">
        <v>93</v>
      </c>
      <c r="N2335" t="s">
        <v>94</v>
      </c>
      <c r="O2335" s="4">
        <v>4</v>
      </c>
      <c r="P2335" s="4">
        <v>7</v>
      </c>
      <c r="Q2335" t="s">
        <v>107</v>
      </c>
      <c r="R2335" s="2">
        <v>46172</v>
      </c>
      <c r="S2335" s="4">
        <v>31</v>
      </c>
      <c r="T2335" s="3">
        <v>141000000</v>
      </c>
      <c r="U2335" t="s">
        <v>42</v>
      </c>
      <c r="V2335" t="s">
        <v>59</v>
      </c>
      <c r="W2335" t="s">
        <v>95</v>
      </c>
      <c r="Y2335" t="s">
        <v>108</v>
      </c>
      <c r="Z2335" t="s">
        <v>3179</v>
      </c>
      <c r="AA2335" t="s">
        <v>118</v>
      </c>
      <c r="AB2335" t="s">
        <v>97</v>
      </c>
      <c r="AC2335" t="s">
        <v>118</v>
      </c>
    </row>
    <row r="2336" spans="1:29">
      <c r="A2336" t="s">
        <v>2753</v>
      </c>
      <c r="B2336" s="2">
        <v>46179</v>
      </c>
      <c r="C2336" t="s">
        <v>30</v>
      </c>
      <c r="D2336" t="s">
        <v>134</v>
      </c>
      <c r="E2336" t="s">
        <v>120</v>
      </c>
      <c r="F2336" t="s">
        <v>246</v>
      </c>
      <c r="G2336" t="s">
        <v>227</v>
      </c>
      <c r="H2336" t="s">
        <v>136</v>
      </c>
      <c r="I2336" t="s">
        <v>581</v>
      </c>
      <c r="J2336" t="s">
        <v>3125</v>
      </c>
      <c r="K2336" t="s">
        <v>37</v>
      </c>
      <c r="L2336" t="s">
        <v>38</v>
      </c>
      <c r="M2336" t="s">
        <v>81</v>
      </c>
      <c r="N2336" t="s">
        <v>130</v>
      </c>
      <c r="O2336" s="4">
        <v>5</v>
      </c>
      <c r="P2336" s="4">
        <v>14</v>
      </c>
      <c r="Q2336" t="s">
        <v>69</v>
      </c>
      <c r="R2336" s="2">
        <v>46173</v>
      </c>
      <c r="S2336" s="4">
        <v>30</v>
      </c>
      <c r="T2336" s="3">
        <v>124000000</v>
      </c>
      <c r="U2336" t="s">
        <v>260</v>
      </c>
      <c r="V2336" t="s">
        <v>70</v>
      </c>
      <c r="W2336" t="s">
        <v>144</v>
      </c>
      <c r="X2336" t="s">
        <v>381</v>
      </c>
      <c r="Y2336" t="s">
        <v>334</v>
      </c>
      <c r="Z2336" t="s">
        <v>3179</v>
      </c>
      <c r="AA2336" t="s">
        <v>97</v>
      </c>
      <c r="AB2336" t="s">
        <v>97</v>
      </c>
      <c r="AC2336" t="s">
        <v>97</v>
      </c>
    </row>
    <row r="2337" spans="1:29">
      <c r="A2337" t="s">
        <v>2754</v>
      </c>
      <c r="B2337" s="2">
        <v>46179</v>
      </c>
      <c r="C2337" t="s">
        <v>30</v>
      </c>
      <c r="D2337" t="s">
        <v>134</v>
      </c>
      <c r="E2337" t="s">
        <v>172</v>
      </c>
      <c r="F2337" t="s">
        <v>173</v>
      </c>
      <c r="G2337" t="s">
        <v>174</v>
      </c>
      <c r="H2337" t="s">
        <v>241</v>
      </c>
      <c r="I2337" t="s">
        <v>242</v>
      </c>
      <c r="J2337" t="s">
        <v>3034</v>
      </c>
      <c r="K2337" t="s">
        <v>56</v>
      </c>
      <c r="L2337" t="s">
        <v>55</v>
      </c>
      <c r="M2337" t="s">
        <v>129</v>
      </c>
      <c r="N2337" t="s">
        <v>82</v>
      </c>
      <c r="O2337" s="4">
        <v>1</v>
      </c>
      <c r="P2337" s="4">
        <v>4</v>
      </c>
      <c r="Q2337" t="s">
        <v>83</v>
      </c>
      <c r="R2337" s="2">
        <v>46176</v>
      </c>
      <c r="S2337" s="4">
        <v>27</v>
      </c>
      <c r="T2337" s="3">
        <v>263000000</v>
      </c>
      <c r="U2337" t="s">
        <v>42</v>
      </c>
      <c r="V2337" t="s">
        <v>43</v>
      </c>
      <c r="W2337" t="s">
        <v>359</v>
      </c>
      <c r="Y2337" t="s">
        <v>305</v>
      </c>
      <c r="Z2337" t="s">
        <v>3176</v>
      </c>
      <c r="AA2337" t="s">
        <v>181</v>
      </c>
      <c r="AB2337" t="s">
        <v>47</v>
      </c>
      <c r="AC2337" t="s">
        <v>181</v>
      </c>
    </row>
    <row r="2338" spans="1:29">
      <c r="A2338" t="s">
        <v>2755</v>
      </c>
      <c r="B2338" s="2">
        <v>46193</v>
      </c>
      <c r="C2338" t="s">
        <v>30</v>
      </c>
      <c r="D2338" t="s">
        <v>74</v>
      </c>
      <c r="E2338" t="s">
        <v>152</v>
      </c>
      <c r="F2338" t="s">
        <v>221</v>
      </c>
      <c r="G2338" t="s">
        <v>154</v>
      </c>
      <c r="H2338" t="s">
        <v>155</v>
      </c>
      <c r="I2338" t="s">
        <v>443</v>
      </c>
      <c r="J2338" t="s">
        <v>3086</v>
      </c>
      <c r="K2338" t="s">
        <v>105</v>
      </c>
      <c r="L2338" t="s">
        <v>68</v>
      </c>
      <c r="M2338" t="s">
        <v>39</v>
      </c>
      <c r="N2338" t="s">
        <v>82</v>
      </c>
      <c r="O2338" s="4">
        <v>1</v>
      </c>
      <c r="P2338" s="4">
        <v>12</v>
      </c>
      <c r="Q2338" t="s">
        <v>138</v>
      </c>
      <c r="R2338" s="2">
        <v>46185</v>
      </c>
      <c r="S2338" s="4">
        <v>18</v>
      </c>
      <c r="T2338" s="3">
        <v>92000000</v>
      </c>
      <c r="U2338" t="s">
        <v>42</v>
      </c>
      <c r="V2338" t="s">
        <v>43</v>
      </c>
      <c r="W2338" t="s">
        <v>290</v>
      </c>
      <c r="Y2338" t="s">
        <v>305</v>
      </c>
      <c r="Z2338" t="s">
        <v>3180</v>
      </c>
      <c r="AA2338" t="s">
        <v>159</v>
      </c>
      <c r="AB2338" t="s">
        <v>193</v>
      </c>
      <c r="AC2338" t="s">
        <v>159</v>
      </c>
    </row>
    <row r="2339" spans="1:29">
      <c r="A2339" t="s">
        <v>2756</v>
      </c>
      <c r="B2339" s="2">
        <v>46188</v>
      </c>
      <c r="C2339" t="s">
        <v>30</v>
      </c>
      <c r="D2339" t="s">
        <v>74</v>
      </c>
      <c r="E2339" t="s">
        <v>111</v>
      </c>
      <c r="F2339" t="s">
        <v>190</v>
      </c>
      <c r="G2339" t="s">
        <v>251</v>
      </c>
      <c r="H2339" t="s">
        <v>191</v>
      </c>
      <c r="I2339" t="s">
        <v>192</v>
      </c>
      <c r="J2339" t="s">
        <v>3025</v>
      </c>
      <c r="K2339" t="s">
        <v>92</v>
      </c>
      <c r="L2339" t="s">
        <v>80</v>
      </c>
      <c r="M2339" t="s">
        <v>39</v>
      </c>
      <c r="N2339" t="s">
        <v>196</v>
      </c>
      <c r="O2339" s="4">
        <v>7</v>
      </c>
      <c r="P2339" s="4">
        <v>14</v>
      </c>
      <c r="Q2339" t="s">
        <v>41</v>
      </c>
      <c r="R2339" s="2">
        <v>46184</v>
      </c>
      <c r="S2339" s="4">
        <v>19</v>
      </c>
      <c r="T2339" s="3">
        <v>118000000</v>
      </c>
      <c r="U2339" t="s">
        <v>232</v>
      </c>
      <c r="V2339" t="s">
        <v>70</v>
      </c>
      <c r="W2339" t="s">
        <v>675</v>
      </c>
      <c r="Y2339" t="s">
        <v>210</v>
      </c>
      <c r="Z2339" t="s">
        <v>3181</v>
      </c>
      <c r="AA2339" t="s">
        <v>118</v>
      </c>
      <c r="AB2339" t="s">
        <v>199</v>
      </c>
      <c r="AC2339" t="s">
        <v>118</v>
      </c>
    </row>
    <row r="2340" spans="1:29">
      <c r="A2340" t="s">
        <v>2757</v>
      </c>
      <c r="B2340" s="2">
        <v>46202</v>
      </c>
      <c r="C2340" t="s">
        <v>30</v>
      </c>
      <c r="D2340" t="s">
        <v>31</v>
      </c>
      <c r="E2340" t="s">
        <v>32</v>
      </c>
      <c r="F2340" t="s">
        <v>273</v>
      </c>
      <c r="G2340" t="s">
        <v>34</v>
      </c>
      <c r="H2340" t="s">
        <v>303</v>
      </c>
      <c r="I2340" t="s">
        <v>464</v>
      </c>
      <c r="J2340" t="s">
        <v>3095</v>
      </c>
      <c r="K2340" t="s">
        <v>92</v>
      </c>
      <c r="L2340" t="s">
        <v>150</v>
      </c>
      <c r="M2340" t="s">
        <v>81</v>
      </c>
      <c r="N2340" t="s">
        <v>57</v>
      </c>
      <c r="O2340" s="4">
        <v>3</v>
      </c>
      <c r="P2340" s="4">
        <v>2</v>
      </c>
      <c r="Q2340" t="s">
        <v>69</v>
      </c>
      <c r="R2340" s="2">
        <v>46195</v>
      </c>
      <c r="S2340" s="4">
        <v>8</v>
      </c>
      <c r="T2340" s="3">
        <v>99000000</v>
      </c>
      <c r="U2340" t="s">
        <v>42</v>
      </c>
      <c r="V2340" t="s">
        <v>59</v>
      </c>
      <c r="W2340" t="s">
        <v>60</v>
      </c>
      <c r="Y2340" t="s">
        <v>158</v>
      </c>
      <c r="Z2340" t="s">
        <v>3177</v>
      </c>
      <c r="AA2340" t="s">
        <v>46</v>
      </c>
      <c r="AB2340" t="s">
        <v>63</v>
      </c>
      <c r="AC2340" t="s">
        <v>46</v>
      </c>
    </row>
    <row r="2341" spans="1:29">
      <c r="A2341" t="s">
        <v>2758</v>
      </c>
      <c r="B2341" s="2">
        <v>46195</v>
      </c>
      <c r="C2341" t="s">
        <v>30</v>
      </c>
      <c r="D2341" t="s">
        <v>49</v>
      </c>
      <c r="E2341" t="s">
        <v>32</v>
      </c>
      <c r="F2341" t="s">
        <v>273</v>
      </c>
      <c r="G2341" t="s">
        <v>361</v>
      </c>
      <c r="H2341" t="s">
        <v>303</v>
      </c>
      <c r="I2341" t="s">
        <v>483</v>
      </c>
      <c r="J2341" t="s">
        <v>3100</v>
      </c>
      <c r="K2341" t="s">
        <v>37</v>
      </c>
      <c r="L2341" t="s">
        <v>187</v>
      </c>
      <c r="M2341" t="s">
        <v>164</v>
      </c>
      <c r="N2341" t="s">
        <v>130</v>
      </c>
      <c r="O2341" s="4">
        <v>5</v>
      </c>
      <c r="P2341" s="4">
        <v>5</v>
      </c>
      <c r="Q2341" t="s">
        <v>41</v>
      </c>
      <c r="R2341" s="2">
        <v>46189</v>
      </c>
      <c r="S2341" s="4">
        <v>14</v>
      </c>
      <c r="T2341" s="3">
        <v>91000000</v>
      </c>
      <c r="U2341" t="s">
        <v>42</v>
      </c>
      <c r="V2341" t="s">
        <v>70</v>
      </c>
      <c r="W2341" t="s">
        <v>131</v>
      </c>
      <c r="X2341" t="s">
        <v>117</v>
      </c>
      <c r="Y2341" t="s">
        <v>132</v>
      </c>
      <c r="Z2341" t="s">
        <v>3179</v>
      </c>
      <c r="AA2341" t="s">
        <v>46</v>
      </c>
      <c r="AB2341" t="s">
        <v>97</v>
      </c>
      <c r="AC2341" t="s">
        <v>46</v>
      </c>
    </row>
    <row r="2342" spans="1:29">
      <c r="A2342" t="s">
        <v>2759</v>
      </c>
      <c r="B2342" s="2">
        <v>46188</v>
      </c>
      <c r="C2342" t="s">
        <v>30</v>
      </c>
      <c r="D2342" t="s">
        <v>74</v>
      </c>
      <c r="E2342" t="s">
        <v>152</v>
      </c>
      <c r="F2342" t="s">
        <v>205</v>
      </c>
      <c r="G2342" t="s">
        <v>206</v>
      </c>
      <c r="H2342" t="s">
        <v>207</v>
      </c>
      <c r="I2342" t="s">
        <v>637</v>
      </c>
      <c r="J2342" t="s">
        <v>3137</v>
      </c>
      <c r="K2342" t="s">
        <v>92</v>
      </c>
      <c r="L2342" t="s">
        <v>150</v>
      </c>
      <c r="M2342" t="s">
        <v>56</v>
      </c>
      <c r="N2342" t="s">
        <v>196</v>
      </c>
      <c r="O2342" s="4">
        <v>7</v>
      </c>
      <c r="P2342" s="4">
        <v>19</v>
      </c>
      <c r="Q2342" t="s">
        <v>138</v>
      </c>
      <c r="R2342" s="2">
        <v>46183</v>
      </c>
      <c r="S2342" s="4">
        <v>20</v>
      </c>
      <c r="T2342" s="3">
        <v>218000000</v>
      </c>
      <c r="U2342" t="s">
        <v>564</v>
      </c>
      <c r="V2342" t="s">
        <v>70</v>
      </c>
      <c r="W2342" t="s">
        <v>243</v>
      </c>
      <c r="Y2342" t="s">
        <v>244</v>
      </c>
      <c r="Z2342" t="s">
        <v>3181</v>
      </c>
      <c r="AA2342" t="s">
        <v>159</v>
      </c>
      <c r="AB2342" t="s">
        <v>199</v>
      </c>
      <c r="AC2342" t="s">
        <v>159</v>
      </c>
    </row>
    <row r="2343" spans="1:29">
      <c r="A2343" t="s">
        <v>2760</v>
      </c>
      <c r="B2343" s="2">
        <v>46182</v>
      </c>
      <c r="C2343" t="s">
        <v>30</v>
      </c>
      <c r="D2343" t="s">
        <v>99</v>
      </c>
      <c r="E2343" t="s">
        <v>111</v>
      </c>
      <c r="F2343" t="s">
        <v>264</v>
      </c>
      <c r="G2343" t="s">
        <v>348</v>
      </c>
      <c r="H2343" t="s">
        <v>191</v>
      </c>
      <c r="I2343" t="s">
        <v>578</v>
      </c>
      <c r="J2343" t="s">
        <v>3124</v>
      </c>
      <c r="K2343" t="s">
        <v>37</v>
      </c>
      <c r="L2343" t="s">
        <v>55</v>
      </c>
      <c r="M2343" t="s">
        <v>106</v>
      </c>
      <c r="N2343" t="s">
        <v>196</v>
      </c>
      <c r="O2343" s="4">
        <v>7</v>
      </c>
      <c r="P2343" s="4">
        <v>12</v>
      </c>
      <c r="Q2343" t="s">
        <v>58</v>
      </c>
      <c r="R2343" s="2">
        <v>46173</v>
      </c>
      <c r="S2343" s="4">
        <v>30</v>
      </c>
      <c r="T2343" s="3">
        <v>121000000</v>
      </c>
      <c r="U2343" t="s">
        <v>196</v>
      </c>
      <c r="V2343" t="s">
        <v>70</v>
      </c>
      <c r="W2343" t="s">
        <v>209</v>
      </c>
      <c r="Y2343" t="s">
        <v>198</v>
      </c>
      <c r="Z2343" t="s">
        <v>3181</v>
      </c>
      <c r="AA2343" t="s">
        <v>118</v>
      </c>
      <c r="AB2343" t="s">
        <v>199</v>
      </c>
      <c r="AC2343" t="s">
        <v>118</v>
      </c>
    </row>
    <row r="2344" spans="1:29">
      <c r="A2344" t="s">
        <v>2761</v>
      </c>
      <c r="B2344" s="2">
        <v>46177</v>
      </c>
      <c r="C2344" t="s">
        <v>30</v>
      </c>
      <c r="D2344" t="s">
        <v>134</v>
      </c>
      <c r="E2344" t="s">
        <v>152</v>
      </c>
      <c r="F2344" t="s">
        <v>221</v>
      </c>
      <c r="G2344" t="s">
        <v>206</v>
      </c>
      <c r="H2344" t="s">
        <v>283</v>
      </c>
      <c r="I2344" t="s">
        <v>287</v>
      </c>
      <c r="J2344" t="s">
        <v>3042</v>
      </c>
      <c r="K2344" t="s">
        <v>92</v>
      </c>
      <c r="L2344" t="s">
        <v>187</v>
      </c>
      <c r="M2344" t="s">
        <v>39</v>
      </c>
      <c r="N2344" t="s">
        <v>94</v>
      </c>
      <c r="O2344" s="4">
        <v>4</v>
      </c>
      <c r="P2344" s="4">
        <v>7</v>
      </c>
      <c r="Q2344" t="s">
        <v>41</v>
      </c>
      <c r="R2344" s="2">
        <v>46169</v>
      </c>
      <c r="S2344" s="4">
        <v>34</v>
      </c>
      <c r="T2344" s="3">
        <v>57000000</v>
      </c>
      <c r="U2344" t="s">
        <v>42</v>
      </c>
      <c r="V2344" t="s">
        <v>59</v>
      </c>
      <c r="W2344" t="s">
        <v>188</v>
      </c>
      <c r="X2344" t="s">
        <v>117</v>
      </c>
      <c r="Y2344" t="s">
        <v>268</v>
      </c>
      <c r="Z2344" t="s">
        <v>3179</v>
      </c>
      <c r="AA2344" t="s">
        <v>159</v>
      </c>
      <c r="AB2344" t="s">
        <v>97</v>
      </c>
      <c r="AC2344" t="s">
        <v>159</v>
      </c>
    </row>
    <row r="2345" spans="1:29">
      <c r="A2345" t="s">
        <v>2762</v>
      </c>
      <c r="B2345" s="2">
        <v>46182</v>
      </c>
      <c r="C2345" t="s">
        <v>30</v>
      </c>
      <c r="D2345" t="s">
        <v>99</v>
      </c>
      <c r="E2345" t="s">
        <v>50</v>
      </c>
      <c r="F2345" t="s">
        <v>89</v>
      </c>
      <c r="G2345" t="s">
        <v>52</v>
      </c>
      <c r="H2345" t="s">
        <v>90</v>
      </c>
      <c r="I2345" t="s">
        <v>585</v>
      </c>
      <c r="J2345" t="s">
        <v>3126</v>
      </c>
      <c r="K2345" t="s">
        <v>56</v>
      </c>
      <c r="L2345" t="s">
        <v>187</v>
      </c>
      <c r="M2345" t="s">
        <v>106</v>
      </c>
      <c r="N2345" t="s">
        <v>130</v>
      </c>
      <c r="O2345" s="4">
        <v>5</v>
      </c>
      <c r="P2345" s="4">
        <v>13</v>
      </c>
      <c r="Q2345" t="s">
        <v>142</v>
      </c>
      <c r="R2345" s="2">
        <v>46180</v>
      </c>
      <c r="S2345" s="4">
        <v>23</v>
      </c>
      <c r="T2345" s="3">
        <v>333000000</v>
      </c>
      <c r="U2345" t="s">
        <v>42</v>
      </c>
      <c r="V2345" t="s">
        <v>70</v>
      </c>
      <c r="W2345" t="s">
        <v>144</v>
      </c>
      <c r="Y2345" t="s">
        <v>262</v>
      </c>
      <c r="Z2345" t="s">
        <v>3179</v>
      </c>
      <c r="AA2345" t="s">
        <v>62</v>
      </c>
      <c r="AB2345" t="s">
        <v>97</v>
      </c>
      <c r="AC2345" t="s">
        <v>62</v>
      </c>
    </row>
    <row r="2346" spans="1:29">
      <c r="A2346" t="s">
        <v>2763</v>
      </c>
      <c r="B2346" s="2">
        <v>46176</v>
      </c>
      <c r="C2346" t="s">
        <v>30</v>
      </c>
      <c r="D2346" t="s">
        <v>134</v>
      </c>
      <c r="E2346" t="s">
        <v>111</v>
      </c>
      <c r="F2346" t="s">
        <v>190</v>
      </c>
      <c r="G2346" t="s">
        <v>265</v>
      </c>
      <c r="H2346" t="s">
        <v>127</v>
      </c>
      <c r="I2346" t="s">
        <v>654</v>
      </c>
      <c r="J2346" t="s">
        <v>3142</v>
      </c>
      <c r="K2346" t="s">
        <v>105</v>
      </c>
      <c r="L2346" t="s">
        <v>55</v>
      </c>
      <c r="M2346" t="s">
        <v>164</v>
      </c>
      <c r="N2346" t="s">
        <v>57</v>
      </c>
      <c r="O2346" s="4">
        <v>3</v>
      </c>
      <c r="P2346" s="4">
        <v>8</v>
      </c>
      <c r="Q2346" t="s">
        <v>107</v>
      </c>
      <c r="R2346" s="2">
        <v>46169</v>
      </c>
      <c r="S2346" s="4">
        <v>34</v>
      </c>
      <c r="T2346" s="3">
        <v>208000000</v>
      </c>
      <c r="U2346" t="s">
        <v>42</v>
      </c>
      <c r="V2346" t="s">
        <v>59</v>
      </c>
      <c r="W2346" t="s">
        <v>71</v>
      </c>
      <c r="Y2346" t="s">
        <v>165</v>
      </c>
      <c r="Z2346" t="s">
        <v>3177</v>
      </c>
      <c r="AA2346" t="s">
        <v>118</v>
      </c>
      <c r="AB2346" t="s">
        <v>63</v>
      </c>
      <c r="AC2346" t="s">
        <v>118</v>
      </c>
    </row>
    <row r="2347" spans="1:29">
      <c r="A2347" t="s">
        <v>2764</v>
      </c>
      <c r="B2347" s="2">
        <v>46179</v>
      </c>
      <c r="C2347" t="s">
        <v>30</v>
      </c>
      <c r="D2347" t="s">
        <v>134</v>
      </c>
      <c r="E2347" t="s">
        <v>50</v>
      </c>
      <c r="F2347" t="s">
        <v>51</v>
      </c>
      <c r="G2347" t="s">
        <v>65</v>
      </c>
      <c r="H2347" t="s">
        <v>90</v>
      </c>
      <c r="I2347" t="s">
        <v>377</v>
      </c>
      <c r="J2347" t="s">
        <v>3068</v>
      </c>
      <c r="K2347" t="s">
        <v>105</v>
      </c>
      <c r="L2347" t="s">
        <v>38</v>
      </c>
      <c r="M2347" t="s">
        <v>106</v>
      </c>
      <c r="N2347" t="s">
        <v>94</v>
      </c>
      <c r="O2347" s="4">
        <v>4</v>
      </c>
      <c r="P2347" s="4">
        <v>10</v>
      </c>
      <c r="Q2347" t="s">
        <v>138</v>
      </c>
      <c r="R2347" s="2">
        <v>46177</v>
      </c>
      <c r="S2347" s="4">
        <v>26</v>
      </c>
      <c r="T2347" s="3">
        <v>275000000</v>
      </c>
      <c r="U2347" t="s">
        <v>42</v>
      </c>
      <c r="V2347" t="s">
        <v>59</v>
      </c>
      <c r="W2347" t="s">
        <v>170</v>
      </c>
      <c r="Y2347" t="s">
        <v>108</v>
      </c>
      <c r="Z2347" t="s">
        <v>3179</v>
      </c>
      <c r="AA2347" t="s">
        <v>62</v>
      </c>
      <c r="AB2347" t="s">
        <v>97</v>
      </c>
      <c r="AC2347" t="s">
        <v>62</v>
      </c>
    </row>
    <row r="2348" spans="1:29">
      <c r="A2348" t="s">
        <v>2765</v>
      </c>
      <c r="B2348" s="2">
        <v>46184</v>
      </c>
      <c r="C2348" t="s">
        <v>30</v>
      </c>
      <c r="D2348" t="s">
        <v>99</v>
      </c>
      <c r="E2348" t="s">
        <v>152</v>
      </c>
      <c r="F2348" t="s">
        <v>205</v>
      </c>
      <c r="G2348" t="s">
        <v>328</v>
      </c>
      <c r="H2348" t="s">
        <v>155</v>
      </c>
      <c r="I2348" t="s">
        <v>375</v>
      </c>
      <c r="J2348" t="s">
        <v>3067</v>
      </c>
      <c r="K2348" t="s">
        <v>37</v>
      </c>
      <c r="L2348" t="s">
        <v>55</v>
      </c>
      <c r="M2348" t="s">
        <v>129</v>
      </c>
      <c r="N2348" t="s">
        <v>94</v>
      </c>
      <c r="O2348" s="4">
        <v>4</v>
      </c>
      <c r="P2348" s="4">
        <v>10</v>
      </c>
      <c r="Q2348" t="s">
        <v>107</v>
      </c>
      <c r="R2348" s="2">
        <v>46174</v>
      </c>
      <c r="S2348" s="4">
        <v>29</v>
      </c>
      <c r="T2348" s="3">
        <v>191000000</v>
      </c>
      <c r="U2348" t="s">
        <v>42</v>
      </c>
      <c r="V2348" t="s">
        <v>59</v>
      </c>
      <c r="W2348" t="s">
        <v>267</v>
      </c>
      <c r="Y2348" t="s">
        <v>96</v>
      </c>
      <c r="Z2348" t="s">
        <v>3179</v>
      </c>
      <c r="AA2348" t="s">
        <v>159</v>
      </c>
      <c r="AB2348" t="s">
        <v>97</v>
      </c>
      <c r="AC2348" t="s">
        <v>159</v>
      </c>
    </row>
    <row r="2349" spans="1:29">
      <c r="A2349" t="s">
        <v>2766</v>
      </c>
      <c r="B2349" s="2">
        <v>46175</v>
      </c>
      <c r="C2349" t="s">
        <v>30</v>
      </c>
      <c r="D2349" t="s">
        <v>134</v>
      </c>
      <c r="E2349" t="s">
        <v>50</v>
      </c>
      <c r="F2349" t="s">
        <v>351</v>
      </c>
      <c r="G2349" t="s">
        <v>52</v>
      </c>
      <c r="H2349" t="s">
        <v>90</v>
      </c>
      <c r="I2349" t="s">
        <v>497</v>
      </c>
      <c r="J2349" t="s">
        <v>3105</v>
      </c>
      <c r="K2349" t="s">
        <v>56</v>
      </c>
      <c r="L2349" t="s">
        <v>80</v>
      </c>
      <c r="M2349" t="s">
        <v>56</v>
      </c>
      <c r="N2349" t="s">
        <v>94</v>
      </c>
      <c r="O2349" s="4">
        <v>4</v>
      </c>
      <c r="P2349" s="4">
        <v>7</v>
      </c>
      <c r="Q2349" t="s">
        <v>41</v>
      </c>
      <c r="R2349" s="2">
        <v>46165</v>
      </c>
      <c r="S2349" s="4">
        <v>38</v>
      </c>
      <c r="T2349" s="3">
        <v>225000000</v>
      </c>
      <c r="U2349" t="s">
        <v>42</v>
      </c>
      <c r="V2349" t="s">
        <v>143</v>
      </c>
      <c r="W2349" t="s">
        <v>188</v>
      </c>
      <c r="Y2349" t="s">
        <v>268</v>
      </c>
      <c r="Z2349" t="s">
        <v>3179</v>
      </c>
      <c r="AA2349" t="s">
        <v>62</v>
      </c>
      <c r="AB2349" t="s">
        <v>97</v>
      </c>
      <c r="AC2349" t="s">
        <v>62</v>
      </c>
    </row>
    <row r="2350" spans="1:29">
      <c r="A2350" t="s">
        <v>2767</v>
      </c>
      <c r="B2350" s="2">
        <v>46183</v>
      </c>
      <c r="C2350" t="s">
        <v>30</v>
      </c>
      <c r="D2350" t="s">
        <v>99</v>
      </c>
      <c r="E2350" t="s">
        <v>120</v>
      </c>
      <c r="F2350" t="s">
        <v>246</v>
      </c>
      <c r="G2350" t="s">
        <v>224</v>
      </c>
      <c r="H2350" t="s">
        <v>136</v>
      </c>
      <c r="I2350" t="s">
        <v>137</v>
      </c>
      <c r="J2350" t="s">
        <v>3017</v>
      </c>
      <c r="K2350" t="s">
        <v>37</v>
      </c>
      <c r="L2350" t="s">
        <v>169</v>
      </c>
      <c r="M2350" t="s">
        <v>56</v>
      </c>
      <c r="N2350" t="s">
        <v>57</v>
      </c>
      <c r="O2350" s="4">
        <v>3</v>
      </c>
      <c r="P2350" s="4">
        <v>8</v>
      </c>
      <c r="Q2350" t="s">
        <v>58</v>
      </c>
      <c r="R2350" s="2">
        <v>46175</v>
      </c>
      <c r="S2350" s="4">
        <v>28</v>
      </c>
      <c r="T2350" s="3">
        <v>179000000</v>
      </c>
      <c r="U2350" t="s">
        <v>42</v>
      </c>
      <c r="V2350" t="s">
        <v>59</v>
      </c>
      <c r="W2350" t="s">
        <v>157</v>
      </c>
      <c r="Y2350" t="s">
        <v>158</v>
      </c>
      <c r="Z2350" t="s">
        <v>3177</v>
      </c>
      <c r="AA2350" t="s">
        <v>97</v>
      </c>
      <c r="AB2350" t="s">
        <v>63</v>
      </c>
      <c r="AC2350" t="s">
        <v>97</v>
      </c>
    </row>
    <row r="2351" spans="1:29">
      <c r="A2351" t="s">
        <v>2768</v>
      </c>
      <c r="B2351" s="2">
        <v>46187</v>
      </c>
      <c r="C2351" t="s">
        <v>30</v>
      </c>
      <c r="D2351" t="s">
        <v>99</v>
      </c>
      <c r="E2351" t="s">
        <v>120</v>
      </c>
      <c r="F2351" t="s">
        <v>167</v>
      </c>
      <c r="G2351" t="s">
        <v>420</v>
      </c>
      <c r="H2351" t="s">
        <v>123</v>
      </c>
      <c r="I2351" t="s">
        <v>838</v>
      </c>
      <c r="J2351" t="s">
        <v>3160</v>
      </c>
      <c r="K2351" t="s">
        <v>105</v>
      </c>
      <c r="L2351" t="s">
        <v>80</v>
      </c>
      <c r="M2351" t="s">
        <v>129</v>
      </c>
      <c r="N2351" t="s">
        <v>130</v>
      </c>
      <c r="O2351" s="4">
        <v>5</v>
      </c>
      <c r="P2351" s="4">
        <v>7</v>
      </c>
      <c r="Q2351" t="s">
        <v>58</v>
      </c>
      <c r="R2351" s="2">
        <v>46180</v>
      </c>
      <c r="S2351" s="4">
        <v>23</v>
      </c>
      <c r="T2351" s="3">
        <v>236000000</v>
      </c>
      <c r="U2351" t="s">
        <v>42</v>
      </c>
      <c r="V2351" t="s">
        <v>70</v>
      </c>
      <c r="W2351" t="s">
        <v>144</v>
      </c>
      <c r="Y2351" t="s">
        <v>254</v>
      </c>
      <c r="Z2351" t="s">
        <v>3179</v>
      </c>
      <c r="AA2351" t="s">
        <v>97</v>
      </c>
      <c r="AB2351" t="s">
        <v>97</v>
      </c>
      <c r="AC2351" t="s">
        <v>97</v>
      </c>
    </row>
    <row r="2352" spans="1:29">
      <c r="A2352" t="s">
        <v>2769</v>
      </c>
      <c r="B2352" s="2">
        <v>46180</v>
      </c>
      <c r="C2352" t="s">
        <v>30</v>
      </c>
      <c r="D2352" t="s">
        <v>134</v>
      </c>
      <c r="E2352" t="s">
        <v>50</v>
      </c>
      <c r="F2352" t="s">
        <v>89</v>
      </c>
      <c r="G2352" t="s">
        <v>270</v>
      </c>
      <c r="H2352" t="s">
        <v>66</v>
      </c>
      <c r="I2352" t="s">
        <v>344</v>
      </c>
      <c r="J2352" t="s">
        <v>3057</v>
      </c>
      <c r="K2352" t="s">
        <v>105</v>
      </c>
      <c r="L2352" t="s">
        <v>80</v>
      </c>
      <c r="M2352" t="s">
        <v>56</v>
      </c>
      <c r="N2352" t="s">
        <v>94</v>
      </c>
      <c r="O2352" s="4">
        <v>4</v>
      </c>
      <c r="P2352" s="4">
        <v>12</v>
      </c>
      <c r="Q2352" t="s">
        <v>142</v>
      </c>
      <c r="R2352" s="2">
        <v>46176</v>
      </c>
      <c r="S2352" s="4">
        <v>27</v>
      </c>
      <c r="T2352" s="3">
        <v>307000000</v>
      </c>
      <c r="U2352" t="s">
        <v>42</v>
      </c>
      <c r="V2352" t="s">
        <v>59</v>
      </c>
      <c r="W2352" t="s">
        <v>95</v>
      </c>
      <c r="Y2352" t="s">
        <v>108</v>
      </c>
      <c r="Z2352" t="s">
        <v>3179</v>
      </c>
      <c r="AA2352" t="s">
        <v>62</v>
      </c>
      <c r="AB2352" t="s">
        <v>97</v>
      </c>
      <c r="AC2352" t="s">
        <v>62</v>
      </c>
    </row>
    <row r="2353" spans="1:29">
      <c r="A2353" t="s">
        <v>2770</v>
      </c>
      <c r="B2353" s="2">
        <v>46182</v>
      </c>
      <c r="C2353" t="s">
        <v>30</v>
      </c>
      <c r="D2353" t="s">
        <v>99</v>
      </c>
      <c r="E2353" t="s">
        <v>111</v>
      </c>
      <c r="F2353" t="s">
        <v>264</v>
      </c>
      <c r="G2353" t="s">
        <v>348</v>
      </c>
      <c r="H2353" t="s">
        <v>191</v>
      </c>
      <c r="I2353" t="s">
        <v>643</v>
      </c>
      <c r="J2353" t="s">
        <v>3138</v>
      </c>
      <c r="K2353" t="s">
        <v>37</v>
      </c>
      <c r="L2353" t="s">
        <v>55</v>
      </c>
      <c r="M2353" t="s">
        <v>81</v>
      </c>
      <c r="N2353" t="s">
        <v>57</v>
      </c>
      <c r="O2353" s="4">
        <v>3</v>
      </c>
      <c r="P2353" s="4">
        <v>12</v>
      </c>
      <c r="Q2353" t="s">
        <v>41</v>
      </c>
      <c r="R2353" s="2">
        <v>46175</v>
      </c>
      <c r="S2353" s="4">
        <v>28</v>
      </c>
      <c r="T2353" s="3">
        <v>191000000</v>
      </c>
      <c r="U2353" t="s">
        <v>42</v>
      </c>
      <c r="V2353" t="s">
        <v>43</v>
      </c>
      <c r="W2353" t="s">
        <v>203</v>
      </c>
      <c r="Y2353" t="s">
        <v>158</v>
      </c>
      <c r="Z2353" t="s">
        <v>3180</v>
      </c>
      <c r="AA2353" t="s">
        <v>118</v>
      </c>
      <c r="AB2353" t="s">
        <v>193</v>
      </c>
      <c r="AC2353" t="s">
        <v>118</v>
      </c>
    </row>
    <row r="2354" spans="1:29">
      <c r="A2354" t="s">
        <v>2771</v>
      </c>
      <c r="B2354" s="2">
        <v>46203</v>
      </c>
      <c r="C2354" t="s">
        <v>30</v>
      </c>
      <c r="D2354" t="s">
        <v>31</v>
      </c>
      <c r="E2354" t="s">
        <v>32</v>
      </c>
      <c r="F2354" t="s">
        <v>33</v>
      </c>
      <c r="G2354" t="s">
        <v>218</v>
      </c>
      <c r="H2354" t="s">
        <v>258</v>
      </c>
      <c r="I2354" t="s">
        <v>297</v>
      </c>
      <c r="J2354" t="s">
        <v>3044</v>
      </c>
      <c r="K2354" t="s">
        <v>116</v>
      </c>
      <c r="L2354" t="s">
        <v>150</v>
      </c>
      <c r="M2354" t="s">
        <v>93</v>
      </c>
      <c r="N2354" t="s">
        <v>82</v>
      </c>
      <c r="O2354" s="4">
        <v>1</v>
      </c>
      <c r="P2354" s="4">
        <v>2</v>
      </c>
      <c r="Q2354" t="s">
        <v>107</v>
      </c>
      <c r="R2354" s="2">
        <v>46199</v>
      </c>
      <c r="S2354" s="4">
        <v>4</v>
      </c>
      <c r="T2354" s="3">
        <v>71000000</v>
      </c>
      <c r="U2354" t="s">
        <v>42</v>
      </c>
      <c r="V2354" t="s">
        <v>43</v>
      </c>
      <c r="W2354" t="s">
        <v>359</v>
      </c>
      <c r="Y2354" t="s">
        <v>85</v>
      </c>
      <c r="Z2354" t="s">
        <v>3176</v>
      </c>
      <c r="AA2354" t="s">
        <v>46</v>
      </c>
      <c r="AB2354" t="s">
        <v>47</v>
      </c>
      <c r="AC2354" t="s">
        <v>46</v>
      </c>
    </row>
    <row r="2355" spans="1:29">
      <c r="A2355" t="s">
        <v>2772</v>
      </c>
      <c r="B2355" s="2">
        <v>46203</v>
      </c>
      <c r="C2355" t="s">
        <v>30</v>
      </c>
      <c r="D2355" t="s">
        <v>31</v>
      </c>
      <c r="E2355" t="s">
        <v>152</v>
      </c>
      <c r="F2355" t="s">
        <v>221</v>
      </c>
      <c r="G2355" t="s">
        <v>328</v>
      </c>
      <c r="H2355" t="s">
        <v>283</v>
      </c>
      <c r="I2355" t="s">
        <v>284</v>
      </c>
      <c r="J2355" t="s">
        <v>3041</v>
      </c>
      <c r="K2355" t="s">
        <v>105</v>
      </c>
      <c r="L2355" t="s">
        <v>150</v>
      </c>
      <c r="M2355" t="s">
        <v>56</v>
      </c>
      <c r="N2355" t="s">
        <v>57</v>
      </c>
      <c r="O2355" s="4">
        <v>3</v>
      </c>
      <c r="P2355" s="4">
        <v>12</v>
      </c>
      <c r="Q2355" t="s">
        <v>69</v>
      </c>
      <c r="R2355" s="2">
        <v>46201</v>
      </c>
      <c r="S2355" s="4">
        <v>2</v>
      </c>
      <c r="T2355" s="3">
        <v>283000000</v>
      </c>
      <c r="U2355" t="s">
        <v>42</v>
      </c>
      <c r="V2355" t="s">
        <v>59</v>
      </c>
      <c r="W2355" t="s">
        <v>157</v>
      </c>
      <c r="Y2355" t="s">
        <v>72</v>
      </c>
      <c r="Z2355" t="s">
        <v>3180</v>
      </c>
      <c r="AA2355" t="s">
        <v>159</v>
      </c>
      <c r="AB2355" t="s">
        <v>193</v>
      </c>
      <c r="AC2355" t="s">
        <v>159</v>
      </c>
    </row>
    <row r="2356" spans="1:29">
      <c r="A2356" t="s">
        <v>2773</v>
      </c>
      <c r="B2356" s="2">
        <v>46183</v>
      </c>
      <c r="C2356" t="s">
        <v>30</v>
      </c>
      <c r="D2356" t="s">
        <v>99</v>
      </c>
      <c r="E2356" t="s">
        <v>75</v>
      </c>
      <c r="F2356" t="s">
        <v>183</v>
      </c>
      <c r="G2356" t="s">
        <v>184</v>
      </c>
      <c r="H2356" t="s">
        <v>388</v>
      </c>
      <c r="I2356" t="s">
        <v>661</v>
      </c>
      <c r="J2356" t="s">
        <v>3144</v>
      </c>
      <c r="K2356" t="s">
        <v>56</v>
      </c>
      <c r="L2356" t="s">
        <v>80</v>
      </c>
      <c r="M2356" t="s">
        <v>39</v>
      </c>
      <c r="N2356" t="s">
        <v>94</v>
      </c>
      <c r="O2356" s="4">
        <v>4</v>
      </c>
      <c r="P2356" s="4">
        <v>9</v>
      </c>
      <c r="Q2356" t="s">
        <v>58</v>
      </c>
      <c r="R2356" s="2">
        <v>46174</v>
      </c>
      <c r="S2356" s="4">
        <v>29</v>
      </c>
      <c r="T2356" s="3">
        <v>398000000</v>
      </c>
      <c r="U2356" t="s">
        <v>42</v>
      </c>
      <c r="V2356" t="s">
        <v>59</v>
      </c>
      <c r="W2356" t="s">
        <v>170</v>
      </c>
      <c r="Y2356" t="s">
        <v>268</v>
      </c>
      <c r="Z2356" t="s">
        <v>3179</v>
      </c>
      <c r="AA2356" t="s">
        <v>86</v>
      </c>
      <c r="AB2356" t="s">
        <v>97</v>
      </c>
      <c r="AC2356" t="s">
        <v>86</v>
      </c>
    </row>
    <row r="2357" spans="1:29">
      <c r="A2357" t="s">
        <v>2774</v>
      </c>
      <c r="B2357" s="2">
        <v>46186</v>
      </c>
      <c r="C2357" t="s">
        <v>30</v>
      </c>
      <c r="D2357" t="s">
        <v>99</v>
      </c>
      <c r="E2357" t="s">
        <v>100</v>
      </c>
      <c r="F2357" t="s">
        <v>101</v>
      </c>
      <c r="G2357" t="s">
        <v>212</v>
      </c>
      <c r="H2357" t="s">
        <v>148</v>
      </c>
      <c r="I2357" t="s">
        <v>490</v>
      </c>
      <c r="J2357" t="s">
        <v>3103</v>
      </c>
      <c r="K2357" t="s">
        <v>56</v>
      </c>
      <c r="L2357" t="s">
        <v>169</v>
      </c>
      <c r="M2357" t="s">
        <v>106</v>
      </c>
      <c r="N2357" t="s">
        <v>94</v>
      </c>
      <c r="O2357" s="4">
        <v>4</v>
      </c>
      <c r="P2357" s="4">
        <v>12</v>
      </c>
      <c r="Q2357" t="s">
        <v>138</v>
      </c>
      <c r="R2357" s="2">
        <v>46185</v>
      </c>
      <c r="S2357" s="4">
        <v>18</v>
      </c>
      <c r="T2357" s="3">
        <v>412000000</v>
      </c>
      <c r="U2357" t="s">
        <v>426</v>
      </c>
      <c r="V2357" t="s">
        <v>59</v>
      </c>
      <c r="W2357" t="s">
        <v>188</v>
      </c>
      <c r="X2357" t="s">
        <v>308</v>
      </c>
      <c r="Y2357" t="s">
        <v>108</v>
      </c>
      <c r="Z2357" t="s">
        <v>3179</v>
      </c>
      <c r="AA2357" t="s">
        <v>109</v>
      </c>
      <c r="AB2357" t="s">
        <v>97</v>
      </c>
      <c r="AC2357" t="s">
        <v>109</v>
      </c>
    </row>
    <row r="2358" spans="1:29">
      <c r="A2358" t="s">
        <v>2775</v>
      </c>
      <c r="B2358" s="2">
        <v>46202</v>
      </c>
      <c r="C2358" t="s">
        <v>30</v>
      </c>
      <c r="D2358" t="s">
        <v>31</v>
      </c>
      <c r="E2358" t="s">
        <v>50</v>
      </c>
      <c r="F2358" t="s">
        <v>51</v>
      </c>
      <c r="G2358" t="s">
        <v>65</v>
      </c>
      <c r="H2358" t="s">
        <v>90</v>
      </c>
      <c r="I2358" t="s">
        <v>740</v>
      </c>
      <c r="J2358" t="s">
        <v>3151</v>
      </c>
      <c r="K2358" t="s">
        <v>92</v>
      </c>
      <c r="L2358" t="s">
        <v>55</v>
      </c>
      <c r="M2358" t="s">
        <v>81</v>
      </c>
      <c r="N2358" t="s">
        <v>40</v>
      </c>
      <c r="O2358" s="4">
        <v>2</v>
      </c>
      <c r="P2358" s="4">
        <v>9</v>
      </c>
      <c r="Q2358" t="s">
        <v>83</v>
      </c>
      <c r="R2358" s="2">
        <v>46199</v>
      </c>
      <c r="S2358" s="4">
        <v>4</v>
      </c>
      <c r="T2358" s="3">
        <v>174000000</v>
      </c>
      <c r="U2358" t="s">
        <v>42</v>
      </c>
      <c r="V2358" t="s">
        <v>59</v>
      </c>
      <c r="W2358" t="s">
        <v>178</v>
      </c>
      <c r="Y2358" t="s">
        <v>309</v>
      </c>
      <c r="Z2358" t="s">
        <v>3178</v>
      </c>
      <c r="AA2358" t="s">
        <v>62</v>
      </c>
      <c r="AB2358" t="s">
        <v>87</v>
      </c>
      <c r="AC2358" t="s">
        <v>62</v>
      </c>
    </row>
    <row r="2359" spans="1:29">
      <c r="A2359" t="s">
        <v>2776</v>
      </c>
      <c r="B2359" s="2">
        <v>46196</v>
      </c>
      <c r="C2359" t="s">
        <v>30</v>
      </c>
      <c r="D2359" t="s">
        <v>49</v>
      </c>
      <c r="E2359" t="s">
        <v>100</v>
      </c>
      <c r="F2359" t="s">
        <v>146</v>
      </c>
      <c r="G2359" t="s">
        <v>102</v>
      </c>
      <c r="H2359" t="s">
        <v>103</v>
      </c>
      <c r="I2359" t="s">
        <v>104</v>
      </c>
      <c r="J2359" t="s">
        <v>3013</v>
      </c>
      <c r="K2359" t="s">
        <v>92</v>
      </c>
      <c r="L2359" t="s">
        <v>38</v>
      </c>
      <c r="M2359" t="s">
        <v>56</v>
      </c>
      <c r="N2359" t="s">
        <v>213</v>
      </c>
      <c r="O2359" s="4">
        <v>6</v>
      </c>
      <c r="P2359" s="4">
        <v>13</v>
      </c>
      <c r="Q2359" t="s">
        <v>41</v>
      </c>
      <c r="R2359" s="2">
        <v>46186</v>
      </c>
      <c r="S2359" s="4">
        <v>17</v>
      </c>
      <c r="T2359" s="3">
        <v>56000000</v>
      </c>
      <c r="U2359" t="s">
        <v>214</v>
      </c>
      <c r="V2359" t="s">
        <v>70</v>
      </c>
      <c r="W2359" t="s">
        <v>215</v>
      </c>
      <c r="Y2359" t="s">
        <v>432</v>
      </c>
      <c r="Z2359" t="s">
        <v>3179</v>
      </c>
      <c r="AA2359" t="s">
        <v>109</v>
      </c>
      <c r="AB2359" t="s">
        <v>97</v>
      </c>
      <c r="AC2359" t="s">
        <v>109</v>
      </c>
    </row>
    <row r="2360" spans="1:29">
      <c r="A2360" t="s">
        <v>2777</v>
      </c>
      <c r="B2360" s="2">
        <v>46200</v>
      </c>
      <c r="C2360" t="s">
        <v>30</v>
      </c>
      <c r="D2360" t="s">
        <v>49</v>
      </c>
      <c r="E2360" t="s">
        <v>75</v>
      </c>
      <c r="F2360" t="s">
        <v>183</v>
      </c>
      <c r="G2360" t="s">
        <v>162</v>
      </c>
      <c r="H2360" t="s">
        <v>185</v>
      </c>
      <c r="I2360" t="s">
        <v>428</v>
      </c>
      <c r="J2360" t="s">
        <v>3081</v>
      </c>
      <c r="K2360" t="s">
        <v>37</v>
      </c>
      <c r="L2360" t="s">
        <v>169</v>
      </c>
      <c r="M2360" t="s">
        <v>164</v>
      </c>
      <c r="N2360" t="s">
        <v>213</v>
      </c>
      <c r="O2360" s="4">
        <v>6</v>
      </c>
      <c r="P2360" s="4">
        <v>14</v>
      </c>
      <c r="Q2360" t="s">
        <v>83</v>
      </c>
      <c r="R2360" s="2">
        <v>46190</v>
      </c>
      <c r="S2360" s="4">
        <v>13</v>
      </c>
      <c r="T2360" s="3">
        <v>200000000</v>
      </c>
      <c r="U2360" t="s">
        <v>214</v>
      </c>
      <c r="V2360" t="s">
        <v>70</v>
      </c>
      <c r="W2360" t="s">
        <v>215</v>
      </c>
      <c r="Y2360" t="s">
        <v>249</v>
      </c>
      <c r="Z2360" t="s">
        <v>3179</v>
      </c>
      <c r="AA2360" t="s">
        <v>86</v>
      </c>
      <c r="AB2360" t="s">
        <v>97</v>
      </c>
      <c r="AC2360" t="s">
        <v>86</v>
      </c>
    </row>
    <row r="2361" spans="1:29">
      <c r="A2361" t="s">
        <v>2778</v>
      </c>
      <c r="B2361" s="2">
        <v>46190</v>
      </c>
      <c r="C2361" t="s">
        <v>30</v>
      </c>
      <c r="D2361" t="s">
        <v>74</v>
      </c>
      <c r="E2361" t="s">
        <v>100</v>
      </c>
      <c r="F2361" t="s">
        <v>101</v>
      </c>
      <c r="G2361" t="s">
        <v>102</v>
      </c>
      <c r="H2361" t="s">
        <v>103</v>
      </c>
      <c r="I2361" t="s">
        <v>436</v>
      </c>
      <c r="J2361" t="s">
        <v>3084</v>
      </c>
      <c r="K2361" t="s">
        <v>37</v>
      </c>
      <c r="L2361" t="s">
        <v>150</v>
      </c>
      <c r="M2361" t="s">
        <v>164</v>
      </c>
      <c r="N2361" t="s">
        <v>57</v>
      </c>
      <c r="O2361" s="4">
        <v>3</v>
      </c>
      <c r="P2361" s="4">
        <v>11</v>
      </c>
      <c r="Q2361" t="s">
        <v>138</v>
      </c>
      <c r="R2361" s="2">
        <v>46184</v>
      </c>
      <c r="S2361" s="4">
        <v>19</v>
      </c>
      <c r="T2361" s="3">
        <v>119000000</v>
      </c>
      <c r="U2361" t="s">
        <v>42</v>
      </c>
      <c r="V2361" t="s">
        <v>59</v>
      </c>
      <c r="W2361" t="s">
        <v>71</v>
      </c>
      <c r="Y2361" t="s">
        <v>72</v>
      </c>
      <c r="Z2361" t="s">
        <v>3177</v>
      </c>
      <c r="AA2361" t="s">
        <v>109</v>
      </c>
      <c r="AB2361" t="s">
        <v>63</v>
      </c>
      <c r="AC2361" t="s">
        <v>109</v>
      </c>
    </row>
    <row r="2362" spans="1:29">
      <c r="A2362" t="s">
        <v>2779</v>
      </c>
      <c r="B2362" s="2">
        <v>46198</v>
      </c>
      <c r="C2362" t="s">
        <v>30</v>
      </c>
      <c r="D2362" t="s">
        <v>49</v>
      </c>
      <c r="E2362" t="s">
        <v>172</v>
      </c>
      <c r="F2362" t="s">
        <v>195</v>
      </c>
      <c r="G2362" t="s">
        <v>338</v>
      </c>
      <c r="H2362" t="s">
        <v>241</v>
      </c>
      <c r="I2362" t="s">
        <v>242</v>
      </c>
      <c r="J2362" t="s">
        <v>3034</v>
      </c>
      <c r="K2362" t="s">
        <v>37</v>
      </c>
      <c r="L2362" t="s">
        <v>68</v>
      </c>
      <c r="M2362" t="s">
        <v>39</v>
      </c>
      <c r="N2362" t="s">
        <v>82</v>
      </c>
      <c r="O2362" s="4">
        <v>1</v>
      </c>
      <c r="P2362" s="4">
        <v>7</v>
      </c>
      <c r="Q2362" t="s">
        <v>83</v>
      </c>
      <c r="R2362" s="2">
        <v>46198</v>
      </c>
      <c r="S2362" s="4">
        <v>5</v>
      </c>
      <c r="T2362" s="3">
        <v>234000000</v>
      </c>
      <c r="U2362" t="s">
        <v>42</v>
      </c>
      <c r="V2362" t="s">
        <v>43</v>
      </c>
      <c r="W2362" t="s">
        <v>359</v>
      </c>
      <c r="Y2362" t="s">
        <v>85</v>
      </c>
      <c r="Z2362" t="s">
        <v>3178</v>
      </c>
      <c r="AA2362" t="s">
        <v>181</v>
      </c>
      <c r="AB2362" t="s">
        <v>87</v>
      </c>
      <c r="AC2362" t="s">
        <v>181</v>
      </c>
    </row>
    <row r="2363" spans="1:29">
      <c r="A2363" t="s">
        <v>2780</v>
      </c>
      <c r="B2363" s="2">
        <v>46183</v>
      </c>
      <c r="C2363" t="s">
        <v>30</v>
      </c>
      <c r="D2363" t="s">
        <v>99</v>
      </c>
      <c r="E2363" t="s">
        <v>75</v>
      </c>
      <c r="F2363" t="s">
        <v>183</v>
      </c>
      <c r="G2363" t="s">
        <v>387</v>
      </c>
      <c r="H2363" t="s">
        <v>78</v>
      </c>
      <c r="I2363" t="s">
        <v>494</v>
      </c>
      <c r="J2363" t="s">
        <v>3104</v>
      </c>
      <c r="K2363" t="s">
        <v>37</v>
      </c>
      <c r="L2363" t="s">
        <v>38</v>
      </c>
      <c r="M2363" t="s">
        <v>129</v>
      </c>
      <c r="N2363" t="s">
        <v>196</v>
      </c>
      <c r="O2363" s="4">
        <v>7</v>
      </c>
      <c r="P2363" s="4">
        <v>11</v>
      </c>
      <c r="Q2363" t="s">
        <v>83</v>
      </c>
      <c r="R2363" s="2">
        <v>46179</v>
      </c>
      <c r="S2363" s="4">
        <v>24</v>
      </c>
      <c r="T2363" s="3">
        <v>122000000</v>
      </c>
      <c r="U2363" t="s">
        <v>196</v>
      </c>
      <c r="V2363" t="s">
        <v>70</v>
      </c>
      <c r="W2363" t="s">
        <v>209</v>
      </c>
      <c r="Y2363" t="s">
        <v>210</v>
      </c>
      <c r="Z2363" t="s">
        <v>3181</v>
      </c>
      <c r="AA2363" t="s">
        <v>86</v>
      </c>
      <c r="AB2363" t="s">
        <v>199</v>
      </c>
      <c r="AC2363" t="s">
        <v>86</v>
      </c>
    </row>
    <row r="2364" spans="1:29">
      <c r="A2364" t="s">
        <v>2781</v>
      </c>
      <c r="B2364" s="2">
        <v>46180</v>
      </c>
      <c r="C2364" t="s">
        <v>30</v>
      </c>
      <c r="D2364" t="s">
        <v>134</v>
      </c>
      <c r="E2364" t="s">
        <v>111</v>
      </c>
      <c r="F2364" t="s">
        <v>264</v>
      </c>
      <c r="G2364" t="s">
        <v>113</v>
      </c>
      <c r="H2364" t="s">
        <v>191</v>
      </c>
      <c r="I2364" t="s">
        <v>578</v>
      </c>
      <c r="J2364" t="s">
        <v>3124</v>
      </c>
      <c r="K2364" t="s">
        <v>56</v>
      </c>
      <c r="L2364" t="s">
        <v>187</v>
      </c>
      <c r="M2364" t="s">
        <v>39</v>
      </c>
      <c r="N2364" t="s">
        <v>40</v>
      </c>
      <c r="O2364" s="4">
        <v>2</v>
      </c>
      <c r="P2364" s="4">
        <v>10</v>
      </c>
      <c r="Q2364" t="s">
        <v>83</v>
      </c>
      <c r="R2364" s="2">
        <v>46170</v>
      </c>
      <c r="S2364" s="4">
        <v>33</v>
      </c>
      <c r="T2364" s="3">
        <v>232000000</v>
      </c>
      <c r="U2364" t="s">
        <v>42</v>
      </c>
      <c r="V2364" t="s">
        <v>43</v>
      </c>
      <c r="W2364" t="s">
        <v>298</v>
      </c>
      <c r="Y2364" t="s">
        <v>309</v>
      </c>
      <c r="Z2364" t="s">
        <v>3178</v>
      </c>
      <c r="AA2364" t="s">
        <v>118</v>
      </c>
      <c r="AB2364" t="s">
        <v>87</v>
      </c>
      <c r="AC2364" t="s">
        <v>118</v>
      </c>
    </row>
    <row r="2365" spans="1:29">
      <c r="A2365" t="s">
        <v>2782</v>
      </c>
      <c r="B2365" s="2">
        <v>46175</v>
      </c>
      <c r="C2365" t="s">
        <v>30</v>
      </c>
      <c r="D2365" t="s">
        <v>134</v>
      </c>
      <c r="E2365" t="s">
        <v>172</v>
      </c>
      <c r="F2365" t="s">
        <v>173</v>
      </c>
      <c r="G2365" t="s">
        <v>174</v>
      </c>
      <c r="H2365" t="s">
        <v>241</v>
      </c>
      <c r="I2365" t="s">
        <v>632</v>
      </c>
      <c r="J2365" t="s">
        <v>3136</v>
      </c>
      <c r="K2365" t="s">
        <v>37</v>
      </c>
      <c r="L2365" t="s">
        <v>150</v>
      </c>
      <c r="M2365" t="s">
        <v>129</v>
      </c>
      <c r="N2365" t="s">
        <v>94</v>
      </c>
      <c r="O2365" s="4">
        <v>4</v>
      </c>
      <c r="P2365" s="4">
        <v>11</v>
      </c>
      <c r="Q2365" t="s">
        <v>69</v>
      </c>
      <c r="R2365" s="2">
        <v>46172</v>
      </c>
      <c r="S2365" s="4">
        <v>31</v>
      </c>
      <c r="T2365" s="3">
        <v>110000000</v>
      </c>
      <c r="U2365" t="s">
        <v>42</v>
      </c>
      <c r="V2365" t="s">
        <v>70</v>
      </c>
      <c r="W2365" t="s">
        <v>170</v>
      </c>
      <c r="Y2365" t="s">
        <v>228</v>
      </c>
      <c r="Z2365" t="s">
        <v>3179</v>
      </c>
      <c r="AA2365" t="s">
        <v>181</v>
      </c>
      <c r="AB2365" t="s">
        <v>97</v>
      </c>
      <c r="AC2365" t="s">
        <v>181</v>
      </c>
    </row>
    <row r="2366" spans="1:29">
      <c r="A2366" t="s">
        <v>2783</v>
      </c>
      <c r="B2366" s="2">
        <v>46196</v>
      </c>
      <c r="C2366" t="s">
        <v>30</v>
      </c>
      <c r="D2366" t="s">
        <v>49</v>
      </c>
      <c r="E2366" t="s">
        <v>152</v>
      </c>
      <c r="F2366" t="s">
        <v>205</v>
      </c>
      <c r="G2366" t="s">
        <v>286</v>
      </c>
      <c r="H2366" t="s">
        <v>155</v>
      </c>
      <c r="I2366" t="s">
        <v>537</v>
      </c>
      <c r="J2366" t="s">
        <v>3113</v>
      </c>
      <c r="K2366" t="s">
        <v>92</v>
      </c>
      <c r="L2366" t="s">
        <v>169</v>
      </c>
      <c r="M2366" t="s">
        <v>39</v>
      </c>
      <c r="N2366" t="s">
        <v>40</v>
      </c>
      <c r="O2366" s="4">
        <v>2</v>
      </c>
      <c r="P2366" s="4">
        <v>12</v>
      </c>
      <c r="Q2366" t="s">
        <v>69</v>
      </c>
      <c r="R2366" s="2">
        <v>46190</v>
      </c>
      <c r="S2366" s="4">
        <v>13</v>
      </c>
      <c r="T2366" s="3">
        <v>117000000</v>
      </c>
      <c r="U2366" t="s">
        <v>42</v>
      </c>
      <c r="V2366" t="s">
        <v>43</v>
      </c>
      <c r="W2366" t="s">
        <v>178</v>
      </c>
      <c r="Y2366" t="s">
        <v>309</v>
      </c>
      <c r="Z2366" t="s">
        <v>3180</v>
      </c>
      <c r="AA2366" t="s">
        <v>159</v>
      </c>
      <c r="AB2366" t="s">
        <v>193</v>
      </c>
      <c r="AC2366" t="s">
        <v>159</v>
      </c>
    </row>
    <row r="2367" spans="1:29">
      <c r="A2367" t="s">
        <v>2784</v>
      </c>
      <c r="B2367" s="2">
        <v>46191</v>
      </c>
      <c r="C2367" t="s">
        <v>30</v>
      </c>
      <c r="D2367" t="s">
        <v>74</v>
      </c>
      <c r="E2367" t="s">
        <v>111</v>
      </c>
      <c r="F2367" t="s">
        <v>112</v>
      </c>
      <c r="G2367" t="s">
        <v>348</v>
      </c>
      <c r="H2367" t="s">
        <v>191</v>
      </c>
      <c r="I2367" t="s">
        <v>606</v>
      </c>
      <c r="J2367" t="s">
        <v>3131</v>
      </c>
      <c r="K2367" t="s">
        <v>92</v>
      </c>
      <c r="L2367" t="s">
        <v>80</v>
      </c>
      <c r="M2367" t="s">
        <v>106</v>
      </c>
      <c r="N2367" t="s">
        <v>130</v>
      </c>
      <c r="O2367" s="4">
        <v>5</v>
      </c>
      <c r="P2367" s="4">
        <v>14</v>
      </c>
      <c r="Q2367" t="s">
        <v>138</v>
      </c>
      <c r="R2367" s="2">
        <v>46186</v>
      </c>
      <c r="S2367" s="4">
        <v>17</v>
      </c>
      <c r="T2367" s="3">
        <v>80000000</v>
      </c>
      <c r="U2367" t="s">
        <v>42</v>
      </c>
      <c r="V2367" t="s">
        <v>143</v>
      </c>
      <c r="W2367" t="s">
        <v>131</v>
      </c>
      <c r="Y2367" t="s">
        <v>334</v>
      </c>
      <c r="Z2367" t="s">
        <v>3179</v>
      </c>
      <c r="AA2367" t="s">
        <v>118</v>
      </c>
      <c r="AB2367" t="s">
        <v>97</v>
      </c>
      <c r="AC2367" t="s">
        <v>118</v>
      </c>
    </row>
    <row r="2368" spans="1:29">
      <c r="A2368" t="s">
        <v>2785</v>
      </c>
      <c r="B2368" s="2">
        <v>46184</v>
      </c>
      <c r="C2368" t="s">
        <v>30</v>
      </c>
      <c r="D2368" t="s">
        <v>99</v>
      </c>
      <c r="E2368" t="s">
        <v>120</v>
      </c>
      <c r="F2368" t="s">
        <v>121</v>
      </c>
      <c r="G2368" t="s">
        <v>122</v>
      </c>
      <c r="H2368" t="s">
        <v>123</v>
      </c>
      <c r="I2368" t="s">
        <v>459</v>
      </c>
      <c r="J2368" t="s">
        <v>3093</v>
      </c>
      <c r="K2368" t="s">
        <v>105</v>
      </c>
      <c r="L2368" t="s">
        <v>169</v>
      </c>
      <c r="M2368" t="s">
        <v>93</v>
      </c>
      <c r="N2368" t="s">
        <v>130</v>
      </c>
      <c r="O2368" s="4">
        <v>5</v>
      </c>
      <c r="P2368" s="4">
        <v>9</v>
      </c>
      <c r="Q2368" t="s">
        <v>41</v>
      </c>
      <c r="R2368" s="2">
        <v>46178</v>
      </c>
      <c r="S2368" s="4">
        <v>25</v>
      </c>
      <c r="T2368" s="3">
        <v>291000000</v>
      </c>
      <c r="U2368" t="s">
        <v>42</v>
      </c>
      <c r="V2368" t="s">
        <v>70</v>
      </c>
      <c r="W2368" t="s">
        <v>131</v>
      </c>
      <c r="X2368" t="s">
        <v>117</v>
      </c>
      <c r="Y2368" t="s">
        <v>334</v>
      </c>
      <c r="Z2368" t="s">
        <v>3179</v>
      </c>
      <c r="AA2368" t="s">
        <v>97</v>
      </c>
      <c r="AB2368" t="s">
        <v>97</v>
      </c>
      <c r="AC2368" t="s">
        <v>97</v>
      </c>
    </row>
    <row r="2369" spans="1:29">
      <c r="A2369" t="s">
        <v>2786</v>
      </c>
      <c r="B2369" s="2">
        <v>46175</v>
      </c>
      <c r="C2369" t="s">
        <v>30</v>
      </c>
      <c r="D2369" t="s">
        <v>134</v>
      </c>
      <c r="E2369" t="s">
        <v>50</v>
      </c>
      <c r="F2369" t="s">
        <v>351</v>
      </c>
      <c r="G2369" t="s">
        <v>234</v>
      </c>
      <c r="H2369" t="s">
        <v>53</v>
      </c>
      <c r="I2369" t="s">
        <v>368</v>
      </c>
      <c r="J2369" t="s">
        <v>3064</v>
      </c>
      <c r="K2369" t="s">
        <v>56</v>
      </c>
      <c r="L2369" t="s">
        <v>187</v>
      </c>
      <c r="M2369" t="s">
        <v>106</v>
      </c>
      <c r="N2369" t="s">
        <v>130</v>
      </c>
      <c r="O2369" s="4">
        <v>5</v>
      </c>
      <c r="P2369" s="4">
        <v>16</v>
      </c>
      <c r="Q2369" t="s">
        <v>58</v>
      </c>
      <c r="R2369" s="2">
        <v>46170</v>
      </c>
      <c r="S2369" s="4">
        <v>33</v>
      </c>
      <c r="T2369" s="3">
        <v>239000000</v>
      </c>
      <c r="U2369" t="s">
        <v>42</v>
      </c>
      <c r="V2369" t="s">
        <v>70</v>
      </c>
      <c r="W2369" t="s">
        <v>144</v>
      </c>
      <c r="Y2369" t="s">
        <v>132</v>
      </c>
      <c r="Z2369" t="s">
        <v>3179</v>
      </c>
      <c r="AA2369" t="s">
        <v>62</v>
      </c>
      <c r="AB2369" t="s">
        <v>97</v>
      </c>
      <c r="AC2369" t="s">
        <v>62</v>
      </c>
    </row>
    <row r="2370" spans="1:29">
      <c r="A2370" t="s">
        <v>2787</v>
      </c>
      <c r="B2370" s="2">
        <v>46198</v>
      </c>
      <c r="C2370" t="s">
        <v>30</v>
      </c>
      <c r="D2370" t="s">
        <v>49</v>
      </c>
      <c r="E2370" t="s">
        <v>172</v>
      </c>
      <c r="F2370" t="s">
        <v>277</v>
      </c>
      <c r="G2370" t="s">
        <v>289</v>
      </c>
      <c r="H2370" t="s">
        <v>175</v>
      </c>
      <c r="I2370" t="s">
        <v>358</v>
      </c>
      <c r="J2370" t="s">
        <v>3062</v>
      </c>
      <c r="K2370" t="s">
        <v>37</v>
      </c>
      <c r="L2370" t="s">
        <v>150</v>
      </c>
      <c r="M2370" t="s">
        <v>106</v>
      </c>
      <c r="N2370" t="s">
        <v>94</v>
      </c>
      <c r="O2370" s="4">
        <v>4</v>
      </c>
      <c r="P2370" s="4">
        <v>8</v>
      </c>
      <c r="Q2370" t="s">
        <v>138</v>
      </c>
      <c r="R2370" s="2">
        <v>46194</v>
      </c>
      <c r="S2370" s="4">
        <v>9</v>
      </c>
      <c r="T2370" s="3">
        <v>199000000</v>
      </c>
      <c r="U2370" t="s">
        <v>42</v>
      </c>
      <c r="V2370" t="s">
        <v>59</v>
      </c>
      <c r="W2370" t="s">
        <v>267</v>
      </c>
      <c r="X2370" t="s">
        <v>117</v>
      </c>
      <c r="Y2370" t="s">
        <v>228</v>
      </c>
      <c r="Z2370" t="s">
        <v>3179</v>
      </c>
      <c r="AA2370" t="s">
        <v>181</v>
      </c>
      <c r="AB2370" t="s">
        <v>97</v>
      </c>
      <c r="AC2370" t="s">
        <v>181</v>
      </c>
    </row>
    <row r="2371" spans="1:29">
      <c r="A2371" t="s">
        <v>2788</v>
      </c>
      <c r="B2371" s="2">
        <v>46177</v>
      </c>
      <c r="C2371" t="s">
        <v>30</v>
      </c>
      <c r="D2371" t="s">
        <v>134</v>
      </c>
      <c r="E2371" t="s">
        <v>75</v>
      </c>
      <c r="F2371" t="s">
        <v>76</v>
      </c>
      <c r="G2371" t="s">
        <v>230</v>
      </c>
      <c r="H2371" t="s">
        <v>185</v>
      </c>
      <c r="I2371" t="s">
        <v>673</v>
      </c>
      <c r="J2371" t="s">
        <v>3146</v>
      </c>
      <c r="K2371" t="s">
        <v>37</v>
      </c>
      <c r="L2371" t="s">
        <v>38</v>
      </c>
      <c r="M2371" t="s">
        <v>106</v>
      </c>
      <c r="N2371" t="s">
        <v>57</v>
      </c>
      <c r="O2371" s="4">
        <v>3</v>
      </c>
      <c r="P2371" s="4">
        <v>9</v>
      </c>
      <c r="Q2371" t="s">
        <v>58</v>
      </c>
      <c r="R2371" s="2">
        <v>46168</v>
      </c>
      <c r="S2371" s="4">
        <v>35</v>
      </c>
      <c r="T2371" s="3">
        <v>87000000</v>
      </c>
      <c r="U2371" t="s">
        <v>42</v>
      </c>
      <c r="V2371" t="s">
        <v>59</v>
      </c>
      <c r="W2371" t="s">
        <v>203</v>
      </c>
      <c r="Y2371" t="s">
        <v>61</v>
      </c>
      <c r="Z2371" t="s">
        <v>3177</v>
      </c>
      <c r="AA2371" t="s">
        <v>86</v>
      </c>
      <c r="AB2371" t="s">
        <v>63</v>
      </c>
      <c r="AC2371" t="s">
        <v>86</v>
      </c>
    </row>
    <row r="2372" spans="1:29">
      <c r="A2372" t="s">
        <v>2789</v>
      </c>
      <c r="B2372" s="2">
        <v>46194</v>
      </c>
      <c r="C2372" t="s">
        <v>30</v>
      </c>
      <c r="D2372" t="s">
        <v>74</v>
      </c>
      <c r="E2372" t="s">
        <v>75</v>
      </c>
      <c r="F2372" t="s">
        <v>161</v>
      </c>
      <c r="G2372" t="s">
        <v>387</v>
      </c>
      <c r="H2372" t="s">
        <v>388</v>
      </c>
      <c r="I2372" t="s">
        <v>540</v>
      </c>
      <c r="J2372" t="s">
        <v>3114</v>
      </c>
      <c r="K2372" t="s">
        <v>37</v>
      </c>
      <c r="L2372" t="s">
        <v>80</v>
      </c>
      <c r="M2372" t="s">
        <v>129</v>
      </c>
      <c r="N2372" t="s">
        <v>94</v>
      </c>
      <c r="O2372" s="4">
        <v>4</v>
      </c>
      <c r="P2372" s="4">
        <v>12</v>
      </c>
      <c r="Q2372" t="s">
        <v>142</v>
      </c>
      <c r="R2372" s="2">
        <v>46194</v>
      </c>
      <c r="S2372" s="4">
        <v>9</v>
      </c>
      <c r="T2372" s="3">
        <v>154000000</v>
      </c>
      <c r="U2372" t="s">
        <v>42</v>
      </c>
      <c r="V2372" t="s">
        <v>59</v>
      </c>
      <c r="W2372" t="s">
        <v>170</v>
      </c>
      <c r="X2372" t="s">
        <v>117</v>
      </c>
      <c r="Y2372" t="s">
        <v>268</v>
      </c>
      <c r="Z2372" t="s">
        <v>3179</v>
      </c>
      <c r="AA2372" t="s">
        <v>86</v>
      </c>
      <c r="AB2372" t="s">
        <v>97</v>
      </c>
      <c r="AC2372" t="s">
        <v>86</v>
      </c>
    </row>
    <row r="2373" spans="1:29">
      <c r="A2373" t="s">
        <v>2790</v>
      </c>
      <c r="B2373" s="2">
        <v>46192</v>
      </c>
      <c r="C2373" t="s">
        <v>30</v>
      </c>
      <c r="D2373" t="s">
        <v>74</v>
      </c>
      <c r="E2373" t="s">
        <v>152</v>
      </c>
      <c r="F2373" t="s">
        <v>153</v>
      </c>
      <c r="G2373" t="s">
        <v>154</v>
      </c>
      <c r="H2373" t="s">
        <v>283</v>
      </c>
      <c r="I2373" t="s">
        <v>284</v>
      </c>
      <c r="J2373" t="s">
        <v>3041</v>
      </c>
      <c r="K2373" t="s">
        <v>37</v>
      </c>
      <c r="L2373" t="s">
        <v>38</v>
      </c>
      <c r="M2373" t="s">
        <v>56</v>
      </c>
      <c r="N2373" t="s">
        <v>82</v>
      </c>
      <c r="O2373" s="4">
        <v>1</v>
      </c>
      <c r="P2373" s="4">
        <v>9</v>
      </c>
      <c r="Q2373" t="s">
        <v>107</v>
      </c>
      <c r="R2373" s="2">
        <v>46186</v>
      </c>
      <c r="S2373" s="4">
        <v>17</v>
      </c>
      <c r="T2373" s="3">
        <v>168000000</v>
      </c>
      <c r="U2373" t="s">
        <v>42</v>
      </c>
      <c r="V2373" t="s">
        <v>43</v>
      </c>
      <c r="W2373" t="s">
        <v>404</v>
      </c>
      <c r="Y2373" t="s">
        <v>305</v>
      </c>
      <c r="Z2373" t="s">
        <v>3178</v>
      </c>
      <c r="AA2373" t="s">
        <v>159</v>
      </c>
      <c r="AB2373" t="s">
        <v>87</v>
      </c>
      <c r="AC2373" t="s">
        <v>159</v>
      </c>
    </row>
    <row r="2374" spans="1:29">
      <c r="A2374" t="s">
        <v>2791</v>
      </c>
      <c r="B2374" s="2">
        <v>46186</v>
      </c>
      <c r="C2374" t="s">
        <v>30</v>
      </c>
      <c r="D2374" t="s">
        <v>99</v>
      </c>
      <c r="E2374" t="s">
        <v>100</v>
      </c>
      <c r="F2374" t="s">
        <v>101</v>
      </c>
      <c r="G2374" t="s">
        <v>313</v>
      </c>
      <c r="H2374" t="s">
        <v>201</v>
      </c>
      <c r="I2374" t="s">
        <v>238</v>
      </c>
      <c r="J2374" t="s">
        <v>3033</v>
      </c>
      <c r="K2374" t="s">
        <v>105</v>
      </c>
      <c r="L2374" t="s">
        <v>55</v>
      </c>
      <c r="M2374" t="s">
        <v>164</v>
      </c>
      <c r="N2374" t="s">
        <v>94</v>
      </c>
      <c r="O2374" s="4">
        <v>4</v>
      </c>
      <c r="P2374" s="4">
        <v>19</v>
      </c>
      <c r="Q2374" t="s">
        <v>69</v>
      </c>
      <c r="R2374" s="2">
        <v>46180</v>
      </c>
      <c r="S2374" s="4">
        <v>23</v>
      </c>
      <c r="T2374" s="3">
        <v>306000000</v>
      </c>
      <c r="U2374" t="s">
        <v>42</v>
      </c>
      <c r="V2374" t="s">
        <v>59</v>
      </c>
      <c r="W2374" t="s">
        <v>188</v>
      </c>
      <c r="X2374" t="s">
        <v>117</v>
      </c>
      <c r="Y2374" t="s">
        <v>228</v>
      </c>
      <c r="Z2374" t="s">
        <v>3179</v>
      </c>
      <c r="AA2374" t="s">
        <v>109</v>
      </c>
      <c r="AB2374" t="s">
        <v>97</v>
      </c>
      <c r="AC2374" t="s">
        <v>109</v>
      </c>
    </row>
    <row r="2375" spans="1:29">
      <c r="A2375" t="s">
        <v>2792</v>
      </c>
      <c r="B2375" s="2">
        <v>46200</v>
      </c>
      <c r="C2375" t="s">
        <v>30</v>
      </c>
      <c r="D2375" t="s">
        <v>49</v>
      </c>
      <c r="E2375" t="s">
        <v>120</v>
      </c>
      <c r="F2375" t="s">
        <v>167</v>
      </c>
      <c r="G2375" t="s">
        <v>122</v>
      </c>
      <c r="H2375" t="s">
        <v>123</v>
      </c>
      <c r="I2375" t="s">
        <v>838</v>
      </c>
      <c r="J2375" t="s">
        <v>3160</v>
      </c>
      <c r="K2375" t="s">
        <v>92</v>
      </c>
      <c r="L2375" t="s">
        <v>55</v>
      </c>
      <c r="M2375" t="s">
        <v>56</v>
      </c>
      <c r="N2375" t="s">
        <v>130</v>
      </c>
      <c r="O2375" s="4">
        <v>5</v>
      </c>
      <c r="P2375" s="4">
        <v>11</v>
      </c>
      <c r="Q2375" t="s">
        <v>41</v>
      </c>
      <c r="R2375" s="2">
        <v>46194</v>
      </c>
      <c r="S2375" s="4">
        <v>9</v>
      </c>
      <c r="T2375" s="3">
        <v>146000000</v>
      </c>
      <c r="U2375" t="s">
        <v>42</v>
      </c>
      <c r="V2375" t="s">
        <v>70</v>
      </c>
      <c r="W2375" t="s">
        <v>131</v>
      </c>
      <c r="Y2375" t="s">
        <v>132</v>
      </c>
      <c r="Z2375" t="s">
        <v>3179</v>
      </c>
      <c r="AA2375" t="s">
        <v>97</v>
      </c>
      <c r="AB2375" t="s">
        <v>97</v>
      </c>
      <c r="AC2375" t="s">
        <v>97</v>
      </c>
    </row>
    <row r="2376" spans="1:29">
      <c r="A2376" t="s">
        <v>2793</v>
      </c>
      <c r="B2376" s="2">
        <v>46184</v>
      </c>
      <c r="C2376" t="s">
        <v>30</v>
      </c>
      <c r="D2376" t="s">
        <v>99</v>
      </c>
      <c r="E2376" t="s">
        <v>120</v>
      </c>
      <c r="F2376" t="s">
        <v>246</v>
      </c>
      <c r="G2376" t="s">
        <v>224</v>
      </c>
      <c r="H2376" t="s">
        <v>123</v>
      </c>
      <c r="I2376" t="s">
        <v>459</v>
      </c>
      <c r="J2376" t="s">
        <v>3093</v>
      </c>
      <c r="K2376" t="s">
        <v>37</v>
      </c>
      <c r="L2376" t="s">
        <v>187</v>
      </c>
      <c r="M2376" t="s">
        <v>164</v>
      </c>
      <c r="N2376" t="s">
        <v>94</v>
      </c>
      <c r="O2376" s="4">
        <v>4</v>
      </c>
      <c r="P2376" s="4">
        <v>13</v>
      </c>
      <c r="Q2376" t="s">
        <v>83</v>
      </c>
      <c r="R2376" s="2">
        <v>46174</v>
      </c>
      <c r="S2376" s="4">
        <v>29</v>
      </c>
      <c r="T2376" s="3">
        <v>120000000</v>
      </c>
      <c r="U2376" t="s">
        <v>42</v>
      </c>
      <c r="V2376" t="s">
        <v>59</v>
      </c>
      <c r="W2376" t="s">
        <v>188</v>
      </c>
      <c r="X2376" t="s">
        <v>117</v>
      </c>
      <c r="Y2376" t="s">
        <v>268</v>
      </c>
      <c r="Z2376" t="s">
        <v>3179</v>
      </c>
      <c r="AA2376" t="s">
        <v>97</v>
      </c>
      <c r="AB2376" t="s">
        <v>97</v>
      </c>
      <c r="AC2376" t="s">
        <v>97</v>
      </c>
    </row>
    <row r="2377" spans="1:29">
      <c r="A2377" t="s">
        <v>2794</v>
      </c>
      <c r="B2377" s="2">
        <v>46193</v>
      </c>
      <c r="C2377" t="s">
        <v>30</v>
      </c>
      <c r="D2377" t="s">
        <v>74</v>
      </c>
      <c r="E2377" t="s">
        <v>120</v>
      </c>
      <c r="F2377" t="s">
        <v>121</v>
      </c>
      <c r="G2377" t="s">
        <v>420</v>
      </c>
      <c r="H2377" t="s">
        <v>136</v>
      </c>
      <c r="I2377" t="s">
        <v>581</v>
      </c>
      <c r="J2377" t="s">
        <v>3125</v>
      </c>
      <c r="K2377" t="s">
        <v>92</v>
      </c>
      <c r="L2377" t="s">
        <v>187</v>
      </c>
      <c r="M2377" t="s">
        <v>129</v>
      </c>
      <c r="N2377" t="s">
        <v>40</v>
      </c>
      <c r="O2377" s="4">
        <v>2</v>
      </c>
      <c r="P2377" s="4">
        <v>12</v>
      </c>
      <c r="Q2377" t="s">
        <v>69</v>
      </c>
      <c r="R2377" s="2">
        <v>46183</v>
      </c>
      <c r="S2377" s="4">
        <v>20</v>
      </c>
      <c r="T2377" s="3">
        <v>188000000</v>
      </c>
      <c r="U2377" t="s">
        <v>42</v>
      </c>
      <c r="V2377" t="s">
        <v>43</v>
      </c>
      <c r="W2377" t="s">
        <v>44</v>
      </c>
      <c r="Y2377" t="s">
        <v>281</v>
      </c>
      <c r="Z2377" t="s">
        <v>3180</v>
      </c>
      <c r="AA2377" t="s">
        <v>97</v>
      </c>
      <c r="AB2377" t="s">
        <v>193</v>
      </c>
      <c r="AC2377" t="s">
        <v>97</v>
      </c>
    </row>
    <row r="2378" spans="1:29">
      <c r="A2378" t="s">
        <v>2795</v>
      </c>
      <c r="B2378" s="2">
        <v>46200</v>
      </c>
      <c r="C2378" t="s">
        <v>30</v>
      </c>
      <c r="D2378" t="s">
        <v>49</v>
      </c>
      <c r="E2378" t="s">
        <v>111</v>
      </c>
      <c r="F2378" t="s">
        <v>112</v>
      </c>
      <c r="G2378" t="s">
        <v>113</v>
      </c>
      <c r="H2378" t="s">
        <v>114</v>
      </c>
      <c r="I2378" t="s">
        <v>383</v>
      </c>
      <c r="J2378" t="s">
        <v>3070</v>
      </c>
      <c r="K2378" t="s">
        <v>37</v>
      </c>
      <c r="L2378" t="s">
        <v>169</v>
      </c>
      <c r="M2378" t="s">
        <v>93</v>
      </c>
      <c r="N2378" t="s">
        <v>94</v>
      </c>
      <c r="O2378" s="4">
        <v>4</v>
      </c>
      <c r="P2378" s="4">
        <v>5</v>
      </c>
      <c r="Q2378" t="s">
        <v>142</v>
      </c>
      <c r="R2378" s="2">
        <v>46199</v>
      </c>
      <c r="S2378" s="4">
        <v>4</v>
      </c>
      <c r="T2378" s="3">
        <v>134000000</v>
      </c>
      <c r="U2378" t="s">
        <v>42</v>
      </c>
      <c r="V2378" t="s">
        <v>59</v>
      </c>
      <c r="W2378" t="s">
        <v>95</v>
      </c>
      <c r="X2378" t="s">
        <v>253</v>
      </c>
      <c r="Y2378" t="s">
        <v>108</v>
      </c>
      <c r="Z2378" t="s">
        <v>3179</v>
      </c>
      <c r="AA2378" t="s">
        <v>118</v>
      </c>
      <c r="AB2378" t="s">
        <v>97</v>
      </c>
      <c r="AC2378" t="s">
        <v>118</v>
      </c>
    </row>
    <row r="2379" spans="1:29">
      <c r="A2379" t="s">
        <v>2796</v>
      </c>
      <c r="B2379" s="2">
        <v>46202</v>
      </c>
      <c r="C2379" t="s">
        <v>30</v>
      </c>
      <c r="D2379" t="s">
        <v>31</v>
      </c>
      <c r="E2379" t="s">
        <v>75</v>
      </c>
      <c r="F2379" t="s">
        <v>161</v>
      </c>
      <c r="G2379" t="s">
        <v>184</v>
      </c>
      <c r="H2379" t="s">
        <v>185</v>
      </c>
      <c r="I2379" t="s">
        <v>428</v>
      </c>
      <c r="J2379" t="s">
        <v>3081</v>
      </c>
      <c r="K2379" t="s">
        <v>56</v>
      </c>
      <c r="L2379" t="s">
        <v>38</v>
      </c>
      <c r="M2379" t="s">
        <v>164</v>
      </c>
      <c r="N2379" t="s">
        <v>40</v>
      </c>
      <c r="O2379" s="4">
        <v>2</v>
      </c>
      <c r="P2379" s="4">
        <v>10</v>
      </c>
      <c r="Q2379" t="s">
        <v>83</v>
      </c>
      <c r="R2379" s="2">
        <v>46197</v>
      </c>
      <c r="S2379" s="4">
        <v>6</v>
      </c>
      <c r="T2379" s="3">
        <v>82000000</v>
      </c>
      <c r="U2379" t="s">
        <v>42</v>
      </c>
      <c r="V2379" t="s">
        <v>43</v>
      </c>
      <c r="W2379" t="s">
        <v>239</v>
      </c>
      <c r="Y2379" t="s">
        <v>281</v>
      </c>
      <c r="Z2379" t="s">
        <v>3178</v>
      </c>
      <c r="AA2379" t="s">
        <v>86</v>
      </c>
      <c r="AB2379" t="s">
        <v>87</v>
      </c>
      <c r="AC2379" t="s">
        <v>86</v>
      </c>
    </row>
    <row r="2380" spans="1:29">
      <c r="A2380" t="s">
        <v>2797</v>
      </c>
      <c r="B2380" s="2">
        <v>46176</v>
      </c>
      <c r="C2380" t="s">
        <v>30</v>
      </c>
      <c r="D2380" t="s">
        <v>134</v>
      </c>
      <c r="E2380" t="s">
        <v>75</v>
      </c>
      <c r="F2380" t="s">
        <v>183</v>
      </c>
      <c r="G2380" t="s">
        <v>162</v>
      </c>
      <c r="H2380" t="s">
        <v>185</v>
      </c>
      <c r="I2380" t="s">
        <v>721</v>
      </c>
      <c r="J2380" t="s">
        <v>3147</v>
      </c>
      <c r="K2380" t="s">
        <v>105</v>
      </c>
      <c r="L2380" t="s">
        <v>38</v>
      </c>
      <c r="M2380" t="s">
        <v>164</v>
      </c>
      <c r="N2380" t="s">
        <v>40</v>
      </c>
      <c r="O2380" s="4">
        <v>2</v>
      </c>
      <c r="P2380" s="4">
        <v>5</v>
      </c>
      <c r="Q2380" t="s">
        <v>107</v>
      </c>
      <c r="R2380" s="2">
        <v>46167</v>
      </c>
      <c r="S2380" s="4">
        <v>36</v>
      </c>
      <c r="T2380" s="3">
        <v>157000000</v>
      </c>
      <c r="U2380" t="s">
        <v>42</v>
      </c>
      <c r="V2380" t="s">
        <v>43</v>
      </c>
      <c r="W2380" t="s">
        <v>298</v>
      </c>
      <c r="Y2380" t="s">
        <v>281</v>
      </c>
      <c r="Z2380" t="s">
        <v>3178</v>
      </c>
      <c r="AA2380" t="s">
        <v>86</v>
      </c>
      <c r="AB2380" t="s">
        <v>87</v>
      </c>
      <c r="AC2380" t="s">
        <v>86</v>
      </c>
    </row>
    <row r="2381" spans="1:29">
      <c r="A2381" t="s">
        <v>2798</v>
      </c>
      <c r="B2381" s="2">
        <v>46179</v>
      </c>
      <c r="C2381" t="s">
        <v>30</v>
      </c>
      <c r="D2381" t="s">
        <v>134</v>
      </c>
      <c r="E2381" t="s">
        <v>111</v>
      </c>
      <c r="F2381" t="s">
        <v>264</v>
      </c>
      <c r="G2381" t="s">
        <v>113</v>
      </c>
      <c r="H2381" t="s">
        <v>191</v>
      </c>
      <c r="I2381" t="s">
        <v>455</v>
      </c>
      <c r="J2381" t="s">
        <v>3091</v>
      </c>
      <c r="K2381" t="s">
        <v>56</v>
      </c>
      <c r="L2381" t="s">
        <v>187</v>
      </c>
      <c r="M2381" t="s">
        <v>39</v>
      </c>
      <c r="N2381" t="s">
        <v>196</v>
      </c>
      <c r="O2381" s="4">
        <v>7</v>
      </c>
      <c r="P2381" s="4">
        <v>14</v>
      </c>
      <c r="Q2381" t="s">
        <v>58</v>
      </c>
      <c r="R2381" s="2">
        <v>46170</v>
      </c>
      <c r="S2381" s="4">
        <v>33</v>
      </c>
      <c r="T2381" s="3">
        <v>513000000</v>
      </c>
      <c r="U2381" t="s">
        <v>196</v>
      </c>
      <c r="V2381" t="s">
        <v>70</v>
      </c>
      <c r="W2381" t="s">
        <v>243</v>
      </c>
      <c r="Y2381" t="s">
        <v>369</v>
      </c>
      <c r="Z2381" t="s">
        <v>3181</v>
      </c>
      <c r="AA2381" t="s">
        <v>118</v>
      </c>
      <c r="AB2381" t="s">
        <v>199</v>
      </c>
      <c r="AC2381" t="s">
        <v>118</v>
      </c>
    </row>
    <row r="2382" spans="1:29">
      <c r="A2382" t="s">
        <v>2799</v>
      </c>
      <c r="B2382" s="2">
        <v>46197</v>
      </c>
      <c r="C2382" t="s">
        <v>30</v>
      </c>
      <c r="D2382" t="s">
        <v>49</v>
      </c>
      <c r="E2382" t="s">
        <v>32</v>
      </c>
      <c r="F2382" t="s">
        <v>33</v>
      </c>
      <c r="G2382" t="s">
        <v>34</v>
      </c>
      <c r="H2382" t="s">
        <v>258</v>
      </c>
      <c r="I2382" t="s">
        <v>593</v>
      </c>
      <c r="J2382" t="s">
        <v>3127</v>
      </c>
      <c r="K2382" t="s">
        <v>105</v>
      </c>
      <c r="L2382" t="s">
        <v>80</v>
      </c>
      <c r="M2382" t="s">
        <v>164</v>
      </c>
      <c r="N2382" t="s">
        <v>40</v>
      </c>
      <c r="O2382" s="4">
        <v>2</v>
      </c>
      <c r="P2382" s="4">
        <v>3</v>
      </c>
      <c r="Q2382" t="s">
        <v>142</v>
      </c>
      <c r="R2382" s="2">
        <v>46196</v>
      </c>
      <c r="S2382" s="4">
        <v>7</v>
      </c>
      <c r="T2382" s="3">
        <v>127000000</v>
      </c>
      <c r="U2382" t="s">
        <v>42</v>
      </c>
      <c r="V2382" t="s">
        <v>59</v>
      </c>
      <c r="W2382" t="s">
        <v>298</v>
      </c>
      <c r="Y2382" t="s">
        <v>45</v>
      </c>
      <c r="Z2382" t="s">
        <v>3176</v>
      </c>
      <c r="AA2382" t="s">
        <v>46</v>
      </c>
      <c r="AB2382" t="s">
        <v>47</v>
      </c>
      <c r="AC2382" t="s">
        <v>46</v>
      </c>
    </row>
    <row r="2383" spans="1:29">
      <c r="A2383" t="s">
        <v>2800</v>
      </c>
      <c r="B2383" s="2">
        <v>46201</v>
      </c>
      <c r="C2383" t="s">
        <v>30</v>
      </c>
      <c r="D2383" t="s">
        <v>49</v>
      </c>
      <c r="E2383" t="s">
        <v>172</v>
      </c>
      <c r="F2383" t="s">
        <v>195</v>
      </c>
      <c r="G2383" t="s">
        <v>278</v>
      </c>
      <c r="H2383" t="s">
        <v>317</v>
      </c>
      <c r="I2383" t="s">
        <v>534</v>
      </c>
      <c r="J2383" t="s">
        <v>3112</v>
      </c>
      <c r="K2383" t="s">
        <v>116</v>
      </c>
      <c r="L2383" t="s">
        <v>55</v>
      </c>
      <c r="M2383" t="s">
        <v>39</v>
      </c>
      <c r="N2383" t="s">
        <v>94</v>
      </c>
      <c r="O2383" s="4">
        <v>4</v>
      </c>
      <c r="P2383" s="4">
        <v>10</v>
      </c>
      <c r="Q2383" t="s">
        <v>142</v>
      </c>
      <c r="R2383" s="2">
        <v>46193</v>
      </c>
      <c r="S2383" s="4">
        <v>10</v>
      </c>
      <c r="T2383" s="3">
        <v>138000000</v>
      </c>
      <c r="U2383" t="s">
        <v>260</v>
      </c>
      <c r="V2383" t="s">
        <v>59</v>
      </c>
      <c r="W2383" t="s">
        <v>188</v>
      </c>
      <c r="X2383" t="s">
        <v>422</v>
      </c>
      <c r="Y2383" t="s">
        <v>228</v>
      </c>
      <c r="Z2383" t="s">
        <v>3179</v>
      </c>
      <c r="AA2383" t="s">
        <v>181</v>
      </c>
      <c r="AB2383" t="s">
        <v>97</v>
      </c>
      <c r="AC2383" t="s">
        <v>181</v>
      </c>
    </row>
    <row r="2384" spans="1:29">
      <c r="A2384" t="s">
        <v>2801</v>
      </c>
      <c r="B2384" s="2">
        <v>46202</v>
      </c>
      <c r="C2384" t="s">
        <v>30</v>
      </c>
      <c r="D2384" t="s">
        <v>31</v>
      </c>
      <c r="E2384" t="s">
        <v>120</v>
      </c>
      <c r="F2384" t="s">
        <v>121</v>
      </c>
      <c r="G2384" t="s">
        <v>224</v>
      </c>
      <c r="H2384" t="s">
        <v>123</v>
      </c>
      <c r="I2384" t="s">
        <v>225</v>
      </c>
      <c r="J2384" t="s">
        <v>3030</v>
      </c>
      <c r="K2384" t="s">
        <v>37</v>
      </c>
      <c r="L2384" t="s">
        <v>187</v>
      </c>
      <c r="M2384" t="s">
        <v>56</v>
      </c>
      <c r="N2384" t="s">
        <v>130</v>
      </c>
      <c r="O2384" s="4">
        <v>5</v>
      </c>
      <c r="P2384" s="4">
        <v>14</v>
      </c>
      <c r="Q2384" t="s">
        <v>83</v>
      </c>
      <c r="R2384" s="2">
        <v>46200</v>
      </c>
      <c r="S2384" s="4">
        <v>3</v>
      </c>
      <c r="T2384" s="3">
        <v>88000000</v>
      </c>
      <c r="U2384" t="s">
        <v>260</v>
      </c>
      <c r="V2384" t="s">
        <v>70</v>
      </c>
      <c r="W2384" t="s">
        <v>131</v>
      </c>
      <c r="X2384" t="s">
        <v>422</v>
      </c>
      <c r="Y2384" t="s">
        <v>262</v>
      </c>
      <c r="Z2384" t="s">
        <v>3179</v>
      </c>
      <c r="AA2384" t="s">
        <v>97</v>
      </c>
      <c r="AB2384" t="s">
        <v>97</v>
      </c>
      <c r="AC2384" t="s">
        <v>97</v>
      </c>
    </row>
    <row r="2385" spans="1:29">
      <c r="A2385" t="s">
        <v>2802</v>
      </c>
      <c r="B2385" s="2">
        <v>46183</v>
      </c>
      <c r="C2385" t="s">
        <v>30</v>
      </c>
      <c r="D2385" t="s">
        <v>99</v>
      </c>
      <c r="E2385" t="s">
        <v>152</v>
      </c>
      <c r="F2385" t="s">
        <v>205</v>
      </c>
      <c r="G2385" t="s">
        <v>294</v>
      </c>
      <c r="H2385" t="s">
        <v>155</v>
      </c>
      <c r="I2385" t="s">
        <v>434</v>
      </c>
      <c r="J2385" t="s">
        <v>3083</v>
      </c>
      <c r="K2385" t="s">
        <v>37</v>
      </c>
      <c r="L2385" t="s">
        <v>68</v>
      </c>
      <c r="M2385" t="s">
        <v>164</v>
      </c>
      <c r="N2385" t="s">
        <v>94</v>
      </c>
      <c r="O2385" s="4">
        <v>4</v>
      </c>
      <c r="P2385" s="4">
        <v>11</v>
      </c>
      <c r="Q2385" t="s">
        <v>142</v>
      </c>
      <c r="R2385" s="2">
        <v>46178</v>
      </c>
      <c r="S2385" s="4">
        <v>25</v>
      </c>
      <c r="T2385" s="3">
        <v>254000000</v>
      </c>
      <c r="U2385" t="s">
        <v>42</v>
      </c>
      <c r="V2385" t="s">
        <v>70</v>
      </c>
      <c r="W2385" t="s">
        <v>267</v>
      </c>
      <c r="X2385" t="s">
        <v>117</v>
      </c>
      <c r="Y2385" t="s">
        <v>268</v>
      </c>
      <c r="Z2385" t="s">
        <v>3179</v>
      </c>
      <c r="AA2385" t="s">
        <v>159</v>
      </c>
      <c r="AB2385" t="s">
        <v>97</v>
      </c>
      <c r="AC2385" t="s">
        <v>159</v>
      </c>
    </row>
    <row r="2386" spans="1:29">
      <c r="A2386" t="s">
        <v>2803</v>
      </c>
      <c r="B2386" s="2">
        <v>46192</v>
      </c>
      <c r="C2386" t="s">
        <v>30</v>
      </c>
      <c r="D2386" t="s">
        <v>74</v>
      </c>
      <c r="E2386" t="s">
        <v>50</v>
      </c>
      <c r="F2386" t="s">
        <v>351</v>
      </c>
      <c r="G2386" t="s">
        <v>52</v>
      </c>
      <c r="H2386" t="s">
        <v>90</v>
      </c>
      <c r="I2386" t="s">
        <v>740</v>
      </c>
      <c r="J2386" t="s">
        <v>3151</v>
      </c>
      <c r="K2386" t="s">
        <v>92</v>
      </c>
      <c r="L2386" t="s">
        <v>187</v>
      </c>
      <c r="M2386" t="s">
        <v>164</v>
      </c>
      <c r="N2386" t="s">
        <v>82</v>
      </c>
      <c r="O2386" s="4">
        <v>1</v>
      </c>
      <c r="P2386" s="4">
        <v>6</v>
      </c>
      <c r="Q2386" t="s">
        <v>107</v>
      </c>
      <c r="R2386" s="2">
        <v>46192</v>
      </c>
      <c r="S2386" s="4">
        <v>11</v>
      </c>
      <c r="T2386" s="3">
        <v>193000000</v>
      </c>
      <c r="U2386" t="s">
        <v>42</v>
      </c>
      <c r="V2386" t="s">
        <v>59</v>
      </c>
      <c r="W2386" t="s">
        <v>404</v>
      </c>
      <c r="Y2386" t="s">
        <v>85</v>
      </c>
      <c r="Z2386" t="s">
        <v>3178</v>
      </c>
      <c r="AA2386" t="s">
        <v>62</v>
      </c>
      <c r="AB2386" t="s">
        <v>87</v>
      </c>
      <c r="AC2386" t="s">
        <v>62</v>
      </c>
    </row>
    <row r="2387" spans="1:29">
      <c r="A2387" t="s">
        <v>2804</v>
      </c>
      <c r="B2387" s="2">
        <v>46200</v>
      </c>
      <c r="C2387" t="s">
        <v>30</v>
      </c>
      <c r="D2387" t="s">
        <v>49</v>
      </c>
      <c r="E2387" t="s">
        <v>120</v>
      </c>
      <c r="F2387" t="s">
        <v>246</v>
      </c>
      <c r="G2387" t="s">
        <v>122</v>
      </c>
      <c r="H2387" t="s">
        <v>300</v>
      </c>
      <c r="I2387" t="s">
        <v>445</v>
      </c>
      <c r="J2387" t="s">
        <v>3087</v>
      </c>
      <c r="K2387" t="s">
        <v>37</v>
      </c>
      <c r="L2387" t="s">
        <v>80</v>
      </c>
      <c r="M2387" t="s">
        <v>93</v>
      </c>
      <c r="N2387" t="s">
        <v>130</v>
      </c>
      <c r="O2387" s="4">
        <v>5</v>
      </c>
      <c r="P2387" s="4">
        <v>12</v>
      </c>
      <c r="Q2387" t="s">
        <v>142</v>
      </c>
      <c r="R2387" s="2">
        <v>46195</v>
      </c>
      <c r="S2387" s="4">
        <v>8</v>
      </c>
      <c r="T2387" s="3">
        <v>114000000</v>
      </c>
      <c r="U2387" t="s">
        <v>42</v>
      </c>
      <c r="V2387" t="s">
        <v>70</v>
      </c>
      <c r="W2387" t="s">
        <v>252</v>
      </c>
      <c r="Y2387" t="s">
        <v>254</v>
      </c>
      <c r="Z2387" t="s">
        <v>3179</v>
      </c>
      <c r="AA2387" t="s">
        <v>97</v>
      </c>
      <c r="AB2387" t="s">
        <v>97</v>
      </c>
      <c r="AC2387" t="s">
        <v>97</v>
      </c>
    </row>
    <row r="2388" spans="1:29">
      <c r="A2388" t="s">
        <v>2805</v>
      </c>
      <c r="B2388" s="2">
        <v>46200</v>
      </c>
      <c r="C2388" t="s">
        <v>30</v>
      </c>
      <c r="D2388" t="s">
        <v>49</v>
      </c>
      <c r="E2388" t="s">
        <v>120</v>
      </c>
      <c r="F2388" t="s">
        <v>167</v>
      </c>
      <c r="G2388" t="s">
        <v>122</v>
      </c>
      <c r="H2388" t="s">
        <v>123</v>
      </c>
      <c r="I2388" t="s">
        <v>397</v>
      </c>
      <c r="J2388" t="s">
        <v>3073</v>
      </c>
      <c r="K2388" t="s">
        <v>92</v>
      </c>
      <c r="L2388" t="s">
        <v>169</v>
      </c>
      <c r="M2388" t="s">
        <v>93</v>
      </c>
      <c r="N2388" t="s">
        <v>57</v>
      </c>
      <c r="O2388" s="4">
        <v>3</v>
      </c>
      <c r="P2388" s="4">
        <v>12</v>
      </c>
      <c r="Q2388" t="s">
        <v>138</v>
      </c>
      <c r="R2388" s="2">
        <v>46194</v>
      </c>
      <c r="S2388" s="4">
        <v>9</v>
      </c>
      <c r="T2388" s="3">
        <v>169000000</v>
      </c>
      <c r="U2388" t="s">
        <v>42</v>
      </c>
      <c r="V2388" t="s">
        <v>59</v>
      </c>
      <c r="W2388" t="s">
        <v>60</v>
      </c>
      <c r="Y2388" t="s">
        <v>158</v>
      </c>
      <c r="Z2388" t="s">
        <v>3180</v>
      </c>
      <c r="AA2388" t="s">
        <v>97</v>
      </c>
      <c r="AB2388" t="s">
        <v>193</v>
      </c>
      <c r="AC2388" t="s">
        <v>97</v>
      </c>
    </row>
    <row r="2389" spans="1:29">
      <c r="A2389" t="s">
        <v>2806</v>
      </c>
      <c r="B2389" s="2">
        <v>46177</v>
      </c>
      <c r="C2389" t="s">
        <v>30</v>
      </c>
      <c r="D2389" t="s">
        <v>134</v>
      </c>
      <c r="E2389" t="s">
        <v>111</v>
      </c>
      <c r="F2389" t="s">
        <v>112</v>
      </c>
      <c r="G2389" t="s">
        <v>126</v>
      </c>
      <c r="H2389" t="s">
        <v>114</v>
      </c>
      <c r="I2389" t="s">
        <v>383</v>
      </c>
      <c r="J2389" t="s">
        <v>3070</v>
      </c>
      <c r="K2389" t="s">
        <v>56</v>
      </c>
      <c r="L2389" t="s">
        <v>38</v>
      </c>
      <c r="M2389" t="s">
        <v>164</v>
      </c>
      <c r="N2389" t="s">
        <v>57</v>
      </c>
      <c r="O2389" s="4">
        <v>3</v>
      </c>
      <c r="P2389" s="4">
        <v>11</v>
      </c>
      <c r="Q2389" t="s">
        <v>83</v>
      </c>
      <c r="R2389" s="2">
        <v>46174</v>
      </c>
      <c r="S2389" s="4">
        <v>29</v>
      </c>
      <c r="T2389" s="3">
        <v>100000000</v>
      </c>
      <c r="U2389" t="s">
        <v>260</v>
      </c>
      <c r="V2389" t="s">
        <v>59</v>
      </c>
      <c r="W2389" t="s">
        <v>157</v>
      </c>
      <c r="X2389" t="s">
        <v>422</v>
      </c>
      <c r="Y2389" t="s">
        <v>165</v>
      </c>
      <c r="Z2389" t="s">
        <v>3177</v>
      </c>
      <c r="AA2389" t="s">
        <v>118</v>
      </c>
      <c r="AB2389" t="s">
        <v>63</v>
      </c>
      <c r="AC2389" t="s">
        <v>118</v>
      </c>
    </row>
    <row r="2390" spans="1:29">
      <c r="A2390" t="s">
        <v>2807</v>
      </c>
      <c r="B2390" s="2">
        <v>46186</v>
      </c>
      <c r="C2390" t="s">
        <v>30</v>
      </c>
      <c r="D2390" t="s">
        <v>99</v>
      </c>
      <c r="E2390" t="s">
        <v>111</v>
      </c>
      <c r="F2390" t="s">
        <v>190</v>
      </c>
      <c r="G2390" t="s">
        <v>251</v>
      </c>
      <c r="H2390" t="s">
        <v>127</v>
      </c>
      <c r="I2390" t="s">
        <v>648</v>
      </c>
      <c r="J2390" t="s">
        <v>3140</v>
      </c>
      <c r="K2390" t="s">
        <v>116</v>
      </c>
      <c r="L2390" t="s">
        <v>187</v>
      </c>
      <c r="M2390" t="s">
        <v>106</v>
      </c>
      <c r="N2390" t="s">
        <v>196</v>
      </c>
      <c r="O2390" s="4">
        <v>7</v>
      </c>
      <c r="P2390" s="4">
        <v>13</v>
      </c>
      <c r="Q2390" t="s">
        <v>83</v>
      </c>
      <c r="R2390" s="2">
        <v>46178</v>
      </c>
      <c r="S2390" s="4">
        <v>25</v>
      </c>
      <c r="T2390" s="3">
        <v>92000000</v>
      </c>
      <c r="U2390" t="s">
        <v>196</v>
      </c>
      <c r="V2390" t="s">
        <v>70</v>
      </c>
      <c r="W2390" t="s">
        <v>243</v>
      </c>
      <c r="Y2390" t="s">
        <v>198</v>
      </c>
      <c r="Z2390" t="s">
        <v>3181</v>
      </c>
      <c r="AA2390" t="s">
        <v>118</v>
      </c>
      <c r="AB2390" t="s">
        <v>199</v>
      </c>
      <c r="AC2390" t="s">
        <v>118</v>
      </c>
    </row>
    <row r="2391" spans="1:29">
      <c r="A2391" t="s">
        <v>2808</v>
      </c>
      <c r="B2391" s="2">
        <v>46194</v>
      </c>
      <c r="C2391" t="s">
        <v>30</v>
      </c>
      <c r="D2391" t="s">
        <v>74</v>
      </c>
      <c r="E2391" t="s">
        <v>50</v>
      </c>
      <c r="F2391" t="s">
        <v>89</v>
      </c>
      <c r="G2391" t="s">
        <v>234</v>
      </c>
      <c r="H2391" t="s">
        <v>53</v>
      </c>
      <c r="I2391" t="s">
        <v>54</v>
      </c>
      <c r="J2391" t="s">
        <v>3009</v>
      </c>
      <c r="K2391" t="s">
        <v>56</v>
      </c>
      <c r="L2391" t="s">
        <v>187</v>
      </c>
      <c r="M2391" t="s">
        <v>164</v>
      </c>
      <c r="N2391" t="s">
        <v>94</v>
      </c>
      <c r="O2391" s="4">
        <v>4</v>
      </c>
      <c r="P2391" s="4">
        <v>12</v>
      </c>
      <c r="Q2391" t="s">
        <v>138</v>
      </c>
      <c r="R2391" s="2">
        <v>46190</v>
      </c>
      <c r="S2391" s="4">
        <v>13</v>
      </c>
      <c r="T2391" s="3">
        <v>392000000</v>
      </c>
      <c r="U2391" t="s">
        <v>42</v>
      </c>
      <c r="V2391" t="s">
        <v>59</v>
      </c>
      <c r="W2391" t="s">
        <v>170</v>
      </c>
      <c r="Y2391" t="s">
        <v>108</v>
      </c>
      <c r="Z2391" t="s">
        <v>3179</v>
      </c>
      <c r="AA2391" t="s">
        <v>62</v>
      </c>
      <c r="AB2391" t="s">
        <v>97</v>
      </c>
      <c r="AC2391" t="s">
        <v>62</v>
      </c>
    </row>
    <row r="2392" spans="1:29">
      <c r="A2392" t="s">
        <v>2809</v>
      </c>
      <c r="B2392" s="2">
        <v>46176</v>
      </c>
      <c r="C2392" t="s">
        <v>30</v>
      </c>
      <c r="D2392" t="s">
        <v>134</v>
      </c>
      <c r="E2392" t="s">
        <v>50</v>
      </c>
      <c r="F2392" t="s">
        <v>51</v>
      </c>
      <c r="G2392" t="s">
        <v>270</v>
      </c>
      <c r="H2392" t="s">
        <v>90</v>
      </c>
      <c r="I2392" t="s">
        <v>497</v>
      </c>
      <c r="J2392" t="s">
        <v>3105</v>
      </c>
      <c r="K2392" t="s">
        <v>116</v>
      </c>
      <c r="L2392" t="s">
        <v>150</v>
      </c>
      <c r="M2392" t="s">
        <v>129</v>
      </c>
      <c r="N2392" t="s">
        <v>130</v>
      </c>
      <c r="O2392" s="4">
        <v>5</v>
      </c>
      <c r="P2392" s="4">
        <v>12</v>
      </c>
      <c r="Q2392" t="s">
        <v>58</v>
      </c>
      <c r="R2392" s="2">
        <v>46170</v>
      </c>
      <c r="S2392" s="4">
        <v>33</v>
      </c>
      <c r="T2392" s="3">
        <v>187000000</v>
      </c>
      <c r="U2392" t="s">
        <v>42</v>
      </c>
      <c r="V2392" t="s">
        <v>70</v>
      </c>
      <c r="W2392" t="s">
        <v>252</v>
      </c>
      <c r="Y2392" t="s">
        <v>334</v>
      </c>
      <c r="Z2392" t="s">
        <v>3179</v>
      </c>
      <c r="AA2392" t="s">
        <v>62</v>
      </c>
      <c r="AB2392" t="s">
        <v>97</v>
      </c>
      <c r="AC2392" t="s">
        <v>62</v>
      </c>
    </row>
    <row r="2393" spans="1:29">
      <c r="A2393" t="s">
        <v>2810</v>
      </c>
      <c r="B2393" s="2">
        <v>46174</v>
      </c>
      <c r="C2393" t="s">
        <v>30</v>
      </c>
      <c r="D2393" t="s">
        <v>134</v>
      </c>
      <c r="E2393" t="s">
        <v>152</v>
      </c>
      <c r="F2393" t="s">
        <v>205</v>
      </c>
      <c r="G2393" t="s">
        <v>294</v>
      </c>
      <c r="H2393" t="s">
        <v>283</v>
      </c>
      <c r="I2393" t="s">
        <v>295</v>
      </c>
      <c r="J2393" t="s">
        <v>3043</v>
      </c>
      <c r="K2393" t="s">
        <v>105</v>
      </c>
      <c r="L2393" t="s">
        <v>150</v>
      </c>
      <c r="M2393" t="s">
        <v>93</v>
      </c>
      <c r="N2393" t="s">
        <v>57</v>
      </c>
      <c r="O2393" s="4">
        <v>3</v>
      </c>
      <c r="P2393" s="4">
        <v>7</v>
      </c>
      <c r="Q2393" t="s">
        <v>58</v>
      </c>
      <c r="R2393" s="2">
        <v>46171</v>
      </c>
      <c r="S2393" s="4">
        <v>32</v>
      </c>
      <c r="T2393" s="3">
        <v>300000000</v>
      </c>
      <c r="U2393" t="s">
        <v>42</v>
      </c>
      <c r="V2393" t="s">
        <v>43</v>
      </c>
      <c r="W2393" t="s">
        <v>203</v>
      </c>
      <c r="Y2393" t="s">
        <v>61</v>
      </c>
      <c r="Z2393" t="s">
        <v>3177</v>
      </c>
      <c r="AA2393" t="s">
        <v>159</v>
      </c>
      <c r="AB2393" t="s">
        <v>63</v>
      </c>
      <c r="AC2393" t="s">
        <v>159</v>
      </c>
    </row>
    <row r="2394" spans="1:29">
      <c r="A2394" t="s">
        <v>2811</v>
      </c>
      <c r="B2394" s="2">
        <v>46174</v>
      </c>
      <c r="C2394" t="s">
        <v>30</v>
      </c>
      <c r="D2394" t="s">
        <v>134</v>
      </c>
      <c r="E2394" t="s">
        <v>50</v>
      </c>
      <c r="F2394" t="s">
        <v>51</v>
      </c>
      <c r="G2394" t="s">
        <v>343</v>
      </c>
      <c r="H2394" t="s">
        <v>66</v>
      </c>
      <c r="I2394" t="s">
        <v>67</v>
      </c>
      <c r="J2394" t="s">
        <v>3010</v>
      </c>
      <c r="K2394" t="s">
        <v>37</v>
      </c>
      <c r="L2394" t="s">
        <v>187</v>
      </c>
      <c r="M2394" t="s">
        <v>39</v>
      </c>
      <c r="N2394" t="s">
        <v>130</v>
      </c>
      <c r="O2394" s="4">
        <v>5</v>
      </c>
      <c r="P2394" s="4">
        <v>7</v>
      </c>
      <c r="Q2394" t="s">
        <v>69</v>
      </c>
      <c r="R2394" s="2">
        <v>46169</v>
      </c>
      <c r="S2394" s="4">
        <v>34</v>
      </c>
      <c r="T2394" s="3">
        <v>162000000</v>
      </c>
      <c r="U2394" t="s">
        <v>42</v>
      </c>
      <c r="V2394" t="s">
        <v>59</v>
      </c>
      <c r="W2394" t="s">
        <v>131</v>
      </c>
      <c r="Y2394" t="s">
        <v>334</v>
      </c>
      <c r="Z2394" t="s">
        <v>3179</v>
      </c>
      <c r="AA2394" t="s">
        <v>62</v>
      </c>
      <c r="AB2394" t="s">
        <v>97</v>
      </c>
      <c r="AC2394" t="s">
        <v>62</v>
      </c>
    </row>
    <row r="2395" spans="1:29">
      <c r="A2395" t="s">
        <v>2812</v>
      </c>
      <c r="B2395" s="2">
        <v>46181</v>
      </c>
      <c r="C2395" t="s">
        <v>30</v>
      </c>
      <c r="D2395" t="s">
        <v>99</v>
      </c>
      <c r="E2395" t="s">
        <v>32</v>
      </c>
      <c r="F2395" t="s">
        <v>256</v>
      </c>
      <c r="G2395" t="s">
        <v>463</v>
      </c>
      <c r="H2395" t="s">
        <v>303</v>
      </c>
      <c r="I2395" t="s">
        <v>487</v>
      </c>
      <c r="J2395" t="s">
        <v>3102</v>
      </c>
      <c r="K2395" t="s">
        <v>105</v>
      </c>
      <c r="L2395" t="s">
        <v>55</v>
      </c>
      <c r="M2395" t="s">
        <v>93</v>
      </c>
      <c r="N2395" t="s">
        <v>130</v>
      </c>
      <c r="O2395" s="4">
        <v>5</v>
      </c>
      <c r="P2395" s="4">
        <v>4</v>
      </c>
      <c r="Q2395" t="s">
        <v>107</v>
      </c>
      <c r="R2395" s="2">
        <v>46173</v>
      </c>
      <c r="S2395" s="4">
        <v>30</v>
      </c>
      <c r="T2395" s="3">
        <v>351000000</v>
      </c>
      <c r="U2395" t="s">
        <v>42</v>
      </c>
      <c r="V2395" t="s">
        <v>70</v>
      </c>
      <c r="W2395" t="s">
        <v>252</v>
      </c>
      <c r="X2395" t="s">
        <v>253</v>
      </c>
      <c r="Y2395" t="s">
        <v>254</v>
      </c>
      <c r="Z2395" t="s">
        <v>3179</v>
      </c>
      <c r="AA2395" t="s">
        <v>46</v>
      </c>
      <c r="AB2395" t="s">
        <v>97</v>
      </c>
      <c r="AC2395" t="s">
        <v>46</v>
      </c>
    </row>
    <row r="2396" spans="1:29">
      <c r="A2396" t="s">
        <v>2813</v>
      </c>
      <c r="B2396" s="2">
        <v>46188</v>
      </c>
      <c r="C2396" t="s">
        <v>30</v>
      </c>
      <c r="D2396" t="s">
        <v>74</v>
      </c>
      <c r="E2396" t="s">
        <v>120</v>
      </c>
      <c r="F2396" t="s">
        <v>246</v>
      </c>
      <c r="G2396" t="s">
        <v>227</v>
      </c>
      <c r="H2396" t="s">
        <v>136</v>
      </c>
      <c r="I2396" t="s">
        <v>247</v>
      </c>
      <c r="J2396" t="s">
        <v>3035</v>
      </c>
      <c r="K2396" t="s">
        <v>105</v>
      </c>
      <c r="L2396" t="s">
        <v>150</v>
      </c>
      <c r="M2396" t="s">
        <v>164</v>
      </c>
      <c r="N2396" t="s">
        <v>94</v>
      </c>
      <c r="O2396" s="4">
        <v>4</v>
      </c>
      <c r="P2396" s="4">
        <v>6</v>
      </c>
      <c r="Q2396" t="s">
        <v>58</v>
      </c>
      <c r="R2396" s="2">
        <v>46188</v>
      </c>
      <c r="S2396" s="4">
        <v>15</v>
      </c>
      <c r="T2396" s="3">
        <v>247000000</v>
      </c>
      <c r="U2396" t="s">
        <v>42</v>
      </c>
      <c r="V2396" t="s">
        <v>70</v>
      </c>
      <c r="W2396" t="s">
        <v>188</v>
      </c>
      <c r="Y2396" t="s">
        <v>268</v>
      </c>
      <c r="Z2396" t="s">
        <v>3179</v>
      </c>
      <c r="AA2396" t="s">
        <v>97</v>
      </c>
      <c r="AB2396" t="s">
        <v>97</v>
      </c>
      <c r="AC2396" t="s">
        <v>97</v>
      </c>
    </row>
    <row r="2397" spans="1:29">
      <c r="A2397" t="s">
        <v>2814</v>
      </c>
      <c r="B2397" s="2">
        <v>46200</v>
      </c>
      <c r="C2397" t="s">
        <v>30</v>
      </c>
      <c r="D2397" t="s">
        <v>49</v>
      </c>
      <c r="E2397" t="s">
        <v>111</v>
      </c>
      <c r="F2397" t="s">
        <v>264</v>
      </c>
      <c r="G2397" t="s">
        <v>113</v>
      </c>
      <c r="H2397" t="s">
        <v>114</v>
      </c>
      <c r="I2397" t="s">
        <v>266</v>
      </c>
      <c r="J2397" t="s">
        <v>3037</v>
      </c>
      <c r="K2397" t="s">
        <v>37</v>
      </c>
      <c r="L2397" t="s">
        <v>68</v>
      </c>
      <c r="M2397" t="s">
        <v>129</v>
      </c>
      <c r="N2397" t="s">
        <v>94</v>
      </c>
      <c r="O2397" s="4">
        <v>4</v>
      </c>
      <c r="P2397" s="4">
        <v>7</v>
      </c>
      <c r="Q2397" t="s">
        <v>107</v>
      </c>
      <c r="R2397" s="2">
        <v>46198</v>
      </c>
      <c r="S2397" s="4">
        <v>5</v>
      </c>
      <c r="T2397" s="3">
        <v>198000000</v>
      </c>
      <c r="U2397" t="s">
        <v>42</v>
      </c>
      <c r="V2397" t="s">
        <v>59</v>
      </c>
      <c r="W2397" t="s">
        <v>267</v>
      </c>
      <c r="Y2397" t="s">
        <v>268</v>
      </c>
      <c r="Z2397" t="s">
        <v>3179</v>
      </c>
      <c r="AA2397" t="s">
        <v>118</v>
      </c>
      <c r="AB2397" t="s">
        <v>97</v>
      </c>
      <c r="AC2397" t="s">
        <v>118</v>
      </c>
    </row>
    <row r="2398" spans="1:29">
      <c r="A2398" t="s">
        <v>2815</v>
      </c>
      <c r="B2398" s="2">
        <v>46180</v>
      </c>
      <c r="C2398" t="s">
        <v>30</v>
      </c>
      <c r="D2398" t="s">
        <v>134</v>
      </c>
      <c r="E2398" t="s">
        <v>100</v>
      </c>
      <c r="F2398" t="s">
        <v>140</v>
      </c>
      <c r="G2398" t="s">
        <v>147</v>
      </c>
      <c r="H2398" t="s">
        <v>103</v>
      </c>
      <c r="I2398" t="s">
        <v>436</v>
      </c>
      <c r="J2398" t="s">
        <v>3084</v>
      </c>
      <c r="K2398" t="s">
        <v>105</v>
      </c>
      <c r="L2398" t="s">
        <v>169</v>
      </c>
      <c r="M2398" t="s">
        <v>81</v>
      </c>
      <c r="N2398" t="s">
        <v>57</v>
      </c>
      <c r="O2398" s="4">
        <v>3</v>
      </c>
      <c r="P2398" s="4">
        <v>14</v>
      </c>
      <c r="Q2398" t="s">
        <v>142</v>
      </c>
      <c r="R2398" s="2">
        <v>46178</v>
      </c>
      <c r="S2398" s="4">
        <v>25</v>
      </c>
      <c r="T2398" s="3">
        <v>91000000</v>
      </c>
      <c r="U2398" t="s">
        <v>42</v>
      </c>
      <c r="V2398" t="s">
        <v>43</v>
      </c>
      <c r="W2398" t="s">
        <v>71</v>
      </c>
      <c r="Y2398" t="s">
        <v>165</v>
      </c>
      <c r="Z2398" t="s">
        <v>3180</v>
      </c>
      <c r="AA2398" t="s">
        <v>109</v>
      </c>
      <c r="AB2398" t="s">
        <v>193</v>
      </c>
      <c r="AC2398" t="s">
        <v>109</v>
      </c>
    </row>
    <row r="2399" spans="1:29">
      <c r="A2399" t="s">
        <v>2816</v>
      </c>
      <c r="B2399" s="2">
        <v>46178</v>
      </c>
      <c r="C2399" t="s">
        <v>30</v>
      </c>
      <c r="D2399" t="s">
        <v>134</v>
      </c>
      <c r="E2399" t="s">
        <v>120</v>
      </c>
      <c r="F2399" t="s">
        <v>121</v>
      </c>
      <c r="G2399" t="s">
        <v>224</v>
      </c>
      <c r="H2399" t="s">
        <v>123</v>
      </c>
      <c r="I2399" t="s">
        <v>336</v>
      </c>
      <c r="J2399" t="s">
        <v>3055</v>
      </c>
      <c r="K2399" t="s">
        <v>56</v>
      </c>
      <c r="L2399" t="s">
        <v>169</v>
      </c>
      <c r="M2399" t="s">
        <v>129</v>
      </c>
      <c r="N2399" t="s">
        <v>130</v>
      </c>
      <c r="O2399" s="4">
        <v>5</v>
      </c>
      <c r="P2399" s="4">
        <v>13</v>
      </c>
      <c r="Q2399" t="s">
        <v>69</v>
      </c>
      <c r="R2399" s="2">
        <v>46169</v>
      </c>
      <c r="S2399" s="4">
        <v>34</v>
      </c>
      <c r="T2399" s="3">
        <v>389000000</v>
      </c>
      <c r="U2399" t="s">
        <v>42</v>
      </c>
      <c r="V2399" t="s">
        <v>70</v>
      </c>
      <c r="W2399" t="s">
        <v>131</v>
      </c>
      <c r="X2399" t="s">
        <v>253</v>
      </c>
      <c r="Y2399" t="s">
        <v>334</v>
      </c>
      <c r="Z2399" t="s">
        <v>3179</v>
      </c>
      <c r="AA2399" t="s">
        <v>97</v>
      </c>
      <c r="AB2399" t="s">
        <v>97</v>
      </c>
      <c r="AC2399" t="s">
        <v>97</v>
      </c>
    </row>
    <row r="2400" spans="1:29">
      <c r="A2400" t="s">
        <v>2817</v>
      </c>
      <c r="B2400" s="2">
        <v>46203</v>
      </c>
      <c r="C2400" t="s">
        <v>30</v>
      </c>
      <c r="D2400" t="s">
        <v>31</v>
      </c>
      <c r="E2400" t="s">
        <v>32</v>
      </c>
      <c r="F2400" t="s">
        <v>33</v>
      </c>
      <c r="G2400" t="s">
        <v>257</v>
      </c>
      <c r="H2400" t="s">
        <v>35</v>
      </c>
      <c r="I2400" t="s">
        <v>219</v>
      </c>
      <c r="J2400" t="s">
        <v>3028</v>
      </c>
      <c r="K2400" t="s">
        <v>56</v>
      </c>
      <c r="L2400" t="s">
        <v>187</v>
      </c>
      <c r="M2400" t="s">
        <v>129</v>
      </c>
      <c r="N2400" t="s">
        <v>57</v>
      </c>
      <c r="O2400" s="4">
        <v>3</v>
      </c>
      <c r="P2400" s="4">
        <v>5</v>
      </c>
      <c r="Q2400" t="s">
        <v>142</v>
      </c>
      <c r="R2400" s="2">
        <v>46203</v>
      </c>
      <c r="S2400" s="4">
        <v>0</v>
      </c>
      <c r="T2400" s="3">
        <v>380000000</v>
      </c>
      <c r="U2400" t="s">
        <v>42</v>
      </c>
      <c r="V2400" t="s">
        <v>59</v>
      </c>
      <c r="W2400" t="s">
        <v>60</v>
      </c>
      <c r="Y2400" t="s">
        <v>165</v>
      </c>
      <c r="Z2400" t="s">
        <v>3177</v>
      </c>
      <c r="AA2400" t="s">
        <v>46</v>
      </c>
      <c r="AB2400" t="s">
        <v>63</v>
      </c>
      <c r="AC2400" t="s">
        <v>46</v>
      </c>
    </row>
    <row r="2401" spans="1:29">
      <c r="A2401" t="s">
        <v>2818</v>
      </c>
      <c r="B2401" s="2">
        <v>46195</v>
      </c>
      <c r="C2401" t="s">
        <v>30</v>
      </c>
      <c r="D2401" t="s">
        <v>49</v>
      </c>
      <c r="E2401" t="s">
        <v>152</v>
      </c>
      <c r="F2401" t="s">
        <v>205</v>
      </c>
      <c r="G2401" t="s">
        <v>294</v>
      </c>
      <c r="H2401" t="s">
        <v>155</v>
      </c>
      <c r="I2401" t="s">
        <v>156</v>
      </c>
      <c r="J2401" t="s">
        <v>3020</v>
      </c>
      <c r="K2401" t="s">
        <v>92</v>
      </c>
      <c r="L2401" t="s">
        <v>38</v>
      </c>
      <c r="M2401" t="s">
        <v>56</v>
      </c>
      <c r="N2401" t="s">
        <v>94</v>
      </c>
      <c r="O2401" s="4">
        <v>4</v>
      </c>
      <c r="P2401" s="4">
        <v>16</v>
      </c>
      <c r="Q2401" t="s">
        <v>142</v>
      </c>
      <c r="R2401" s="2">
        <v>46195</v>
      </c>
      <c r="S2401" s="4">
        <v>8</v>
      </c>
      <c r="T2401" s="3">
        <v>175000000</v>
      </c>
      <c r="U2401" t="s">
        <v>42</v>
      </c>
      <c r="V2401" t="s">
        <v>59</v>
      </c>
      <c r="W2401" t="s">
        <v>267</v>
      </c>
      <c r="Y2401" t="s">
        <v>228</v>
      </c>
      <c r="Z2401" t="s">
        <v>3179</v>
      </c>
      <c r="AA2401" t="s">
        <v>159</v>
      </c>
      <c r="AB2401" t="s">
        <v>97</v>
      </c>
      <c r="AC2401" t="s">
        <v>159</v>
      </c>
    </row>
    <row r="2402" spans="1:29">
      <c r="A2402" t="s">
        <v>2819</v>
      </c>
      <c r="B2402" s="2">
        <v>46184</v>
      </c>
      <c r="C2402" t="s">
        <v>30</v>
      </c>
      <c r="D2402" t="s">
        <v>99</v>
      </c>
      <c r="E2402" t="s">
        <v>75</v>
      </c>
      <c r="F2402" t="s">
        <v>76</v>
      </c>
      <c r="G2402" t="s">
        <v>77</v>
      </c>
      <c r="H2402" t="s">
        <v>185</v>
      </c>
      <c r="I2402" t="s">
        <v>795</v>
      </c>
      <c r="J2402" t="s">
        <v>3155</v>
      </c>
      <c r="K2402" t="s">
        <v>37</v>
      </c>
      <c r="L2402" t="s">
        <v>80</v>
      </c>
      <c r="M2402" t="s">
        <v>39</v>
      </c>
      <c r="N2402" t="s">
        <v>57</v>
      </c>
      <c r="O2402" s="4">
        <v>3</v>
      </c>
      <c r="P2402" s="4">
        <v>5</v>
      </c>
      <c r="Q2402" t="s">
        <v>138</v>
      </c>
      <c r="R2402" s="2">
        <v>46180</v>
      </c>
      <c r="S2402" s="4">
        <v>23</v>
      </c>
      <c r="T2402" s="3">
        <v>252000000</v>
      </c>
      <c r="U2402" t="s">
        <v>42</v>
      </c>
      <c r="V2402" t="s">
        <v>43</v>
      </c>
      <c r="W2402" t="s">
        <v>71</v>
      </c>
      <c r="Y2402" t="s">
        <v>72</v>
      </c>
      <c r="Z2402" t="s">
        <v>3177</v>
      </c>
      <c r="AA2402" t="s">
        <v>86</v>
      </c>
      <c r="AB2402" t="s">
        <v>63</v>
      </c>
      <c r="AC2402" t="s">
        <v>86</v>
      </c>
    </row>
    <row r="2403" spans="1:29">
      <c r="A2403" t="s">
        <v>2820</v>
      </c>
      <c r="B2403" s="2">
        <v>46201</v>
      </c>
      <c r="C2403" t="s">
        <v>30</v>
      </c>
      <c r="D2403" t="s">
        <v>49</v>
      </c>
      <c r="E2403" t="s">
        <v>172</v>
      </c>
      <c r="F2403" t="s">
        <v>173</v>
      </c>
      <c r="G2403" t="s">
        <v>278</v>
      </c>
      <c r="H2403" t="s">
        <v>241</v>
      </c>
      <c r="I2403" t="s">
        <v>632</v>
      </c>
      <c r="J2403" t="s">
        <v>3136</v>
      </c>
      <c r="K2403" t="s">
        <v>37</v>
      </c>
      <c r="L2403" t="s">
        <v>68</v>
      </c>
      <c r="M2403" t="s">
        <v>106</v>
      </c>
      <c r="N2403" t="s">
        <v>57</v>
      </c>
      <c r="O2403" s="4">
        <v>3</v>
      </c>
      <c r="P2403" s="4">
        <v>7</v>
      </c>
      <c r="Q2403" t="s">
        <v>83</v>
      </c>
      <c r="R2403" s="2">
        <v>46194</v>
      </c>
      <c r="S2403" s="4">
        <v>9</v>
      </c>
      <c r="T2403" s="3">
        <v>183000000</v>
      </c>
      <c r="U2403" t="s">
        <v>42</v>
      </c>
      <c r="V2403" t="s">
        <v>59</v>
      </c>
      <c r="W2403" t="s">
        <v>157</v>
      </c>
      <c r="Y2403" t="s">
        <v>165</v>
      </c>
      <c r="Z2403" t="s">
        <v>3177</v>
      </c>
      <c r="AA2403" t="s">
        <v>181</v>
      </c>
      <c r="AB2403" t="s">
        <v>63</v>
      </c>
      <c r="AC2403" t="s">
        <v>181</v>
      </c>
    </row>
    <row r="2404" spans="1:29">
      <c r="A2404" t="s">
        <v>2821</v>
      </c>
      <c r="B2404" s="2">
        <v>46202</v>
      </c>
      <c r="C2404" t="s">
        <v>30</v>
      </c>
      <c r="D2404" t="s">
        <v>31</v>
      </c>
      <c r="E2404" t="s">
        <v>111</v>
      </c>
      <c r="F2404" t="s">
        <v>190</v>
      </c>
      <c r="G2404" t="s">
        <v>265</v>
      </c>
      <c r="H2404" t="s">
        <v>127</v>
      </c>
      <c r="I2404" t="s">
        <v>311</v>
      </c>
      <c r="J2404" t="s">
        <v>3048</v>
      </c>
      <c r="K2404" t="s">
        <v>56</v>
      </c>
      <c r="L2404" t="s">
        <v>80</v>
      </c>
      <c r="M2404" t="s">
        <v>56</v>
      </c>
      <c r="N2404" t="s">
        <v>94</v>
      </c>
      <c r="O2404" s="4">
        <v>4</v>
      </c>
      <c r="P2404" s="4">
        <v>8</v>
      </c>
      <c r="Q2404" t="s">
        <v>142</v>
      </c>
      <c r="R2404" s="2">
        <v>46195</v>
      </c>
      <c r="S2404" s="4">
        <v>8</v>
      </c>
      <c r="T2404" s="3">
        <v>291000000</v>
      </c>
      <c r="U2404" t="s">
        <v>42</v>
      </c>
      <c r="V2404" t="s">
        <v>70</v>
      </c>
      <c r="W2404" t="s">
        <v>95</v>
      </c>
      <c r="Y2404" t="s">
        <v>96</v>
      </c>
      <c r="Z2404" t="s">
        <v>3179</v>
      </c>
      <c r="AA2404" t="s">
        <v>118</v>
      </c>
      <c r="AB2404" t="s">
        <v>97</v>
      </c>
      <c r="AC2404" t="s">
        <v>118</v>
      </c>
    </row>
    <row r="2405" spans="1:29">
      <c r="A2405" t="s">
        <v>2822</v>
      </c>
      <c r="B2405" s="2">
        <v>46190</v>
      </c>
      <c r="C2405" t="s">
        <v>30</v>
      </c>
      <c r="D2405" t="s">
        <v>74</v>
      </c>
      <c r="E2405" t="s">
        <v>75</v>
      </c>
      <c r="F2405" t="s">
        <v>183</v>
      </c>
      <c r="G2405" t="s">
        <v>230</v>
      </c>
      <c r="H2405" t="s">
        <v>78</v>
      </c>
      <c r="I2405" t="s">
        <v>163</v>
      </c>
      <c r="J2405" t="s">
        <v>3021</v>
      </c>
      <c r="K2405" t="s">
        <v>56</v>
      </c>
      <c r="L2405" t="s">
        <v>80</v>
      </c>
      <c r="M2405" t="s">
        <v>93</v>
      </c>
      <c r="N2405" t="s">
        <v>196</v>
      </c>
      <c r="O2405" s="4">
        <v>7</v>
      </c>
      <c r="P2405" s="4">
        <v>10</v>
      </c>
      <c r="Q2405" t="s">
        <v>41</v>
      </c>
      <c r="R2405" s="2">
        <v>46187</v>
      </c>
      <c r="S2405" s="4">
        <v>16</v>
      </c>
      <c r="T2405" s="3">
        <v>105000000</v>
      </c>
      <c r="U2405" t="s">
        <v>196</v>
      </c>
      <c r="V2405" t="s">
        <v>70</v>
      </c>
      <c r="W2405" t="s">
        <v>675</v>
      </c>
      <c r="Y2405" t="s">
        <v>198</v>
      </c>
      <c r="Z2405" t="s">
        <v>3181</v>
      </c>
      <c r="AA2405" t="s">
        <v>86</v>
      </c>
      <c r="AB2405" t="s">
        <v>199</v>
      </c>
      <c r="AC2405" t="s">
        <v>86</v>
      </c>
    </row>
    <row r="2406" spans="1:29">
      <c r="A2406" t="s">
        <v>2823</v>
      </c>
      <c r="B2406" s="2">
        <v>46189</v>
      </c>
      <c r="C2406" t="s">
        <v>30</v>
      </c>
      <c r="D2406" t="s">
        <v>74</v>
      </c>
      <c r="E2406" t="s">
        <v>100</v>
      </c>
      <c r="F2406" t="s">
        <v>146</v>
      </c>
      <c r="G2406" t="s">
        <v>147</v>
      </c>
      <c r="H2406" t="s">
        <v>103</v>
      </c>
      <c r="I2406" t="s">
        <v>141</v>
      </c>
      <c r="J2406" t="s">
        <v>3018</v>
      </c>
      <c r="K2406" t="s">
        <v>37</v>
      </c>
      <c r="L2406" t="s">
        <v>55</v>
      </c>
      <c r="M2406" t="s">
        <v>164</v>
      </c>
      <c r="N2406" t="s">
        <v>94</v>
      </c>
      <c r="O2406" s="4">
        <v>4</v>
      </c>
      <c r="P2406" s="4">
        <v>12</v>
      </c>
      <c r="Q2406" t="s">
        <v>69</v>
      </c>
      <c r="R2406" s="2">
        <v>46180</v>
      </c>
      <c r="S2406" s="4">
        <v>23</v>
      </c>
      <c r="T2406" s="3">
        <v>270000000</v>
      </c>
      <c r="U2406" t="s">
        <v>42</v>
      </c>
      <c r="V2406" t="s">
        <v>59</v>
      </c>
      <c r="W2406" t="s">
        <v>170</v>
      </c>
      <c r="X2406" t="s">
        <v>117</v>
      </c>
      <c r="Y2406" t="s">
        <v>268</v>
      </c>
      <c r="Z2406" t="s">
        <v>3179</v>
      </c>
      <c r="AA2406" t="s">
        <v>109</v>
      </c>
      <c r="AB2406" t="s">
        <v>97</v>
      </c>
      <c r="AC2406" t="s">
        <v>109</v>
      </c>
    </row>
    <row r="2407" spans="1:29">
      <c r="A2407" t="s">
        <v>2824</v>
      </c>
      <c r="B2407" s="2">
        <v>46199</v>
      </c>
      <c r="C2407" t="s">
        <v>30</v>
      </c>
      <c r="D2407" t="s">
        <v>49</v>
      </c>
      <c r="E2407" t="s">
        <v>100</v>
      </c>
      <c r="F2407" t="s">
        <v>101</v>
      </c>
      <c r="G2407" t="s">
        <v>313</v>
      </c>
      <c r="H2407" t="s">
        <v>103</v>
      </c>
      <c r="I2407" t="s">
        <v>994</v>
      </c>
      <c r="J2407" t="s">
        <v>3169</v>
      </c>
      <c r="K2407" t="s">
        <v>37</v>
      </c>
      <c r="L2407" t="s">
        <v>55</v>
      </c>
      <c r="M2407" t="s">
        <v>106</v>
      </c>
      <c r="N2407" t="s">
        <v>57</v>
      </c>
      <c r="O2407" s="4">
        <v>3</v>
      </c>
      <c r="P2407" s="4">
        <v>11</v>
      </c>
      <c r="Q2407" t="s">
        <v>83</v>
      </c>
      <c r="R2407" s="2">
        <v>46195</v>
      </c>
      <c r="S2407" s="4">
        <v>8</v>
      </c>
      <c r="T2407" s="3">
        <v>184000000</v>
      </c>
      <c r="U2407" t="s">
        <v>42</v>
      </c>
      <c r="V2407" t="s">
        <v>59</v>
      </c>
      <c r="W2407" t="s">
        <v>203</v>
      </c>
      <c r="Y2407" t="s">
        <v>72</v>
      </c>
      <c r="Z2407" t="s">
        <v>3177</v>
      </c>
      <c r="AA2407" t="s">
        <v>109</v>
      </c>
      <c r="AB2407" t="s">
        <v>63</v>
      </c>
      <c r="AC2407" t="s">
        <v>109</v>
      </c>
    </row>
    <row r="2408" spans="1:29">
      <c r="A2408" t="s">
        <v>2825</v>
      </c>
      <c r="B2408" s="2">
        <v>46196</v>
      </c>
      <c r="C2408" t="s">
        <v>30</v>
      </c>
      <c r="D2408" t="s">
        <v>49</v>
      </c>
      <c r="E2408" t="s">
        <v>75</v>
      </c>
      <c r="F2408" t="s">
        <v>183</v>
      </c>
      <c r="G2408" t="s">
        <v>77</v>
      </c>
      <c r="H2408" t="s">
        <v>185</v>
      </c>
      <c r="I2408" t="s">
        <v>542</v>
      </c>
      <c r="J2408" t="s">
        <v>3115</v>
      </c>
      <c r="K2408" t="s">
        <v>105</v>
      </c>
      <c r="L2408" t="s">
        <v>150</v>
      </c>
      <c r="M2408" t="s">
        <v>93</v>
      </c>
      <c r="N2408" t="s">
        <v>57</v>
      </c>
      <c r="O2408" s="4">
        <v>3</v>
      </c>
      <c r="P2408" s="4">
        <v>13</v>
      </c>
      <c r="Q2408" t="s">
        <v>69</v>
      </c>
      <c r="R2408" s="2">
        <v>46189</v>
      </c>
      <c r="S2408" s="4">
        <v>14</v>
      </c>
      <c r="T2408" s="3">
        <v>329000000</v>
      </c>
      <c r="U2408" t="s">
        <v>42</v>
      </c>
      <c r="V2408" t="s">
        <v>43</v>
      </c>
      <c r="W2408" t="s">
        <v>60</v>
      </c>
      <c r="Y2408" t="s">
        <v>165</v>
      </c>
      <c r="Z2408" t="s">
        <v>3180</v>
      </c>
      <c r="AA2408" t="s">
        <v>86</v>
      </c>
      <c r="AB2408" t="s">
        <v>193</v>
      </c>
      <c r="AC2408" t="s">
        <v>86</v>
      </c>
    </row>
    <row r="2409" spans="1:29">
      <c r="A2409" t="s">
        <v>2826</v>
      </c>
      <c r="B2409" s="2">
        <v>46196</v>
      </c>
      <c r="C2409" t="s">
        <v>30</v>
      </c>
      <c r="D2409" t="s">
        <v>49</v>
      </c>
      <c r="E2409" t="s">
        <v>50</v>
      </c>
      <c r="F2409" t="s">
        <v>351</v>
      </c>
      <c r="G2409" t="s">
        <v>234</v>
      </c>
      <c r="H2409" t="s">
        <v>66</v>
      </c>
      <c r="I2409" t="s">
        <v>346</v>
      </c>
      <c r="J2409" t="s">
        <v>3058</v>
      </c>
      <c r="K2409" t="s">
        <v>92</v>
      </c>
      <c r="L2409" t="s">
        <v>38</v>
      </c>
      <c r="M2409" t="s">
        <v>81</v>
      </c>
      <c r="N2409" t="s">
        <v>196</v>
      </c>
      <c r="O2409" s="4">
        <v>7</v>
      </c>
      <c r="P2409" s="4">
        <v>13</v>
      </c>
      <c r="Q2409" t="s">
        <v>58</v>
      </c>
      <c r="R2409" s="2">
        <v>46186</v>
      </c>
      <c r="S2409" s="4">
        <v>17</v>
      </c>
      <c r="T2409" s="3">
        <v>198000000</v>
      </c>
      <c r="U2409" t="s">
        <v>196</v>
      </c>
      <c r="V2409" t="s">
        <v>70</v>
      </c>
      <c r="W2409" t="s">
        <v>243</v>
      </c>
      <c r="Y2409" t="s">
        <v>210</v>
      </c>
      <c r="Z2409" t="s">
        <v>3181</v>
      </c>
      <c r="AA2409" t="s">
        <v>62</v>
      </c>
      <c r="AB2409" t="s">
        <v>199</v>
      </c>
      <c r="AC2409" t="s">
        <v>62</v>
      </c>
    </row>
    <row r="2410" spans="1:29">
      <c r="A2410" t="s">
        <v>2827</v>
      </c>
      <c r="B2410" s="2">
        <v>46196</v>
      </c>
      <c r="C2410" t="s">
        <v>30</v>
      </c>
      <c r="D2410" t="s">
        <v>49</v>
      </c>
      <c r="E2410" t="s">
        <v>120</v>
      </c>
      <c r="F2410" t="s">
        <v>121</v>
      </c>
      <c r="G2410" t="s">
        <v>227</v>
      </c>
      <c r="H2410" t="s">
        <v>123</v>
      </c>
      <c r="I2410" t="s">
        <v>838</v>
      </c>
      <c r="J2410" t="s">
        <v>3160</v>
      </c>
      <c r="K2410" t="s">
        <v>105</v>
      </c>
      <c r="L2410" t="s">
        <v>80</v>
      </c>
      <c r="M2410" t="s">
        <v>39</v>
      </c>
      <c r="N2410" t="s">
        <v>40</v>
      </c>
      <c r="O2410" s="4">
        <v>2</v>
      </c>
      <c r="P2410" s="4">
        <v>9</v>
      </c>
      <c r="Q2410" t="s">
        <v>58</v>
      </c>
      <c r="R2410" s="2">
        <v>46193</v>
      </c>
      <c r="S2410" s="4">
        <v>10</v>
      </c>
      <c r="T2410" s="3">
        <v>155000000</v>
      </c>
      <c r="U2410" t="s">
        <v>42</v>
      </c>
      <c r="V2410" t="s">
        <v>43</v>
      </c>
      <c r="W2410" t="s">
        <v>298</v>
      </c>
      <c r="Y2410" t="s">
        <v>281</v>
      </c>
      <c r="Z2410" t="s">
        <v>3178</v>
      </c>
      <c r="AA2410" t="s">
        <v>97</v>
      </c>
      <c r="AB2410" t="s">
        <v>87</v>
      </c>
      <c r="AC2410" t="s">
        <v>97</v>
      </c>
    </row>
    <row r="2411" spans="1:29">
      <c r="A2411" t="s">
        <v>2828</v>
      </c>
      <c r="B2411" s="2">
        <v>46179</v>
      </c>
      <c r="C2411" t="s">
        <v>30</v>
      </c>
      <c r="D2411" t="s">
        <v>134</v>
      </c>
      <c r="E2411" t="s">
        <v>120</v>
      </c>
      <c r="F2411" t="s">
        <v>246</v>
      </c>
      <c r="G2411" t="s">
        <v>122</v>
      </c>
      <c r="H2411" t="s">
        <v>136</v>
      </c>
      <c r="I2411" t="s">
        <v>627</v>
      </c>
      <c r="J2411" t="s">
        <v>3134</v>
      </c>
      <c r="K2411" t="s">
        <v>37</v>
      </c>
      <c r="L2411" t="s">
        <v>55</v>
      </c>
      <c r="M2411" t="s">
        <v>93</v>
      </c>
      <c r="N2411" t="s">
        <v>57</v>
      </c>
      <c r="O2411" s="4">
        <v>3</v>
      </c>
      <c r="P2411" s="4">
        <v>12</v>
      </c>
      <c r="Q2411" t="s">
        <v>69</v>
      </c>
      <c r="R2411" s="2">
        <v>46179</v>
      </c>
      <c r="S2411" s="4">
        <v>24</v>
      </c>
      <c r="T2411" s="3">
        <v>225000000</v>
      </c>
      <c r="U2411" t="s">
        <v>42</v>
      </c>
      <c r="V2411" t="s">
        <v>59</v>
      </c>
      <c r="W2411" t="s">
        <v>60</v>
      </c>
      <c r="Y2411" t="s">
        <v>72</v>
      </c>
      <c r="Z2411" t="s">
        <v>3180</v>
      </c>
      <c r="AA2411" t="s">
        <v>97</v>
      </c>
      <c r="AB2411" t="s">
        <v>193</v>
      </c>
      <c r="AC2411" t="s">
        <v>97</v>
      </c>
    </row>
    <row r="2412" spans="1:29">
      <c r="A2412" t="s">
        <v>2829</v>
      </c>
      <c r="B2412" s="2">
        <v>46185</v>
      </c>
      <c r="C2412" t="s">
        <v>30</v>
      </c>
      <c r="D2412" t="s">
        <v>99</v>
      </c>
      <c r="E2412" t="s">
        <v>120</v>
      </c>
      <c r="F2412" t="s">
        <v>121</v>
      </c>
      <c r="G2412" t="s">
        <v>420</v>
      </c>
      <c r="H2412" t="s">
        <v>123</v>
      </c>
      <c r="I2412" t="s">
        <v>225</v>
      </c>
      <c r="J2412" t="s">
        <v>3030</v>
      </c>
      <c r="K2412" t="s">
        <v>56</v>
      </c>
      <c r="L2412" t="s">
        <v>150</v>
      </c>
      <c r="M2412" t="s">
        <v>39</v>
      </c>
      <c r="N2412" t="s">
        <v>57</v>
      </c>
      <c r="O2412" s="4">
        <v>3</v>
      </c>
      <c r="P2412" s="4">
        <v>5</v>
      </c>
      <c r="Q2412" t="s">
        <v>58</v>
      </c>
      <c r="R2412" s="2">
        <v>46176</v>
      </c>
      <c r="S2412" s="4">
        <v>27</v>
      </c>
      <c r="T2412" s="3">
        <v>359000000</v>
      </c>
      <c r="U2412" t="s">
        <v>42</v>
      </c>
      <c r="V2412" t="s">
        <v>43</v>
      </c>
      <c r="W2412" t="s">
        <v>71</v>
      </c>
      <c r="Y2412" t="s">
        <v>61</v>
      </c>
      <c r="Z2412" t="s">
        <v>3177</v>
      </c>
      <c r="AA2412" t="s">
        <v>97</v>
      </c>
      <c r="AB2412" t="s">
        <v>63</v>
      </c>
      <c r="AC2412" t="s">
        <v>97</v>
      </c>
    </row>
    <row r="2413" spans="1:29">
      <c r="A2413" t="s">
        <v>2830</v>
      </c>
      <c r="B2413" s="2">
        <v>46175</v>
      </c>
      <c r="C2413" t="s">
        <v>30</v>
      </c>
      <c r="D2413" t="s">
        <v>134</v>
      </c>
      <c r="E2413" t="s">
        <v>172</v>
      </c>
      <c r="F2413" t="s">
        <v>173</v>
      </c>
      <c r="G2413" t="s">
        <v>278</v>
      </c>
      <c r="H2413" t="s">
        <v>241</v>
      </c>
      <c r="I2413" t="s">
        <v>512</v>
      </c>
      <c r="J2413" t="s">
        <v>3107</v>
      </c>
      <c r="K2413" t="s">
        <v>116</v>
      </c>
      <c r="L2413" t="s">
        <v>68</v>
      </c>
      <c r="M2413" t="s">
        <v>39</v>
      </c>
      <c r="N2413" t="s">
        <v>40</v>
      </c>
      <c r="O2413" s="4">
        <v>2</v>
      </c>
      <c r="P2413" s="4">
        <v>7</v>
      </c>
      <c r="Q2413" t="s">
        <v>69</v>
      </c>
      <c r="R2413" s="2">
        <v>46173</v>
      </c>
      <c r="S2413" s="4">
        <v>30</v>
      </c>
      <c r="T2413" s="3">
        <v>124000000</v>
      </c>
      <c r="U2413" t="s">
        <v>42</v>
      </c>
      <c r="V2413" t="s">
        <v>59</v>
      </c>
      <c r="W2413" t="s">
        <v>239</v>
      </c>
      <c r="Y2413" t="s">
        <v>309</v>
      </c>
      <c r="Z2413" t="s">
        <v>3178</v>
      </c>
      <c r="AA2413" t="s">
        <v>181</v>
      </c>
      <c r="AB2413" t="s">
        <v>87</v>
      </c>
      <c r="AC2413" t="s">
        <v>181</v>
      </c>
    </row>
    <row r="2414" spans="1:29">
      <c r="A2414" t="s">
        <v>2831</v>
      </c>
      <c r="B2414" s="2">
        <v>46191</v>
      </c>
      <c r="C2414" t="s">
        <v>30</v>
      </c>
      <c r="D2414" t="s">
        <v>74</v>
      </c>
      <c r="E2414" t="s">
        <v>75</v>
      </c>
      <c r="F2414" t="s">
        <v>183</v>
      </c>
      <c r="G2414" t="s">
        <v>230</v>
      </c>
      <c r="H2414" t="s">
        <v>388</v>
      </c>
      <c r="I2414" t="s">
        <v>389</v>
      </c>
      <c r="J2414" t="s">
        <v>3071</v>
      </c>
      <c r="K2414" t="s">
        <v>37</v>
      </c>
      <c r="L2414" t="s">
        <v>80</v>
      </c>
      <c r="M2414" t="s">
        <v>81</v>
      </c>
      <c r="N2414" t="s">
        <v>57</v>
      </c>
      <c r="O2414" s="4">
        <v>3</v>
      </c>
      <c r="P2414" s="4">
        <v>10</v>
      </c>
      <c r="Q2414" t="s">
        <v>69</v>
      </c>
      <c r="R2414" s="2">
        <v>46185</v>
      </c>
      <c r="S2414" s="4">
        <v>18</v>
      </c>
      <c r="T2414" s="3">
        <v>242000000</v>
      </c>
      <c r="U2414" t="s">
        <v>177</v>
      </c>
      <c r="V2414" t="s">
        <v>59</v>
      </c>
      <c r="W2414" t="s">
        <v>71</v>
      </c>
      <c r="X2414" t="s">
        <v>381</v>
      </c>
      <c r="Y2414" t="s">
        <v>72</v>
      </c>
      <c r="Z2414" t="s">
        <v>3177</v>
      </c>
      <c r="AA2414" t="s">
        <v>86</v>
      </c>
      <c r="AB2414" t="s">
        <v>63</v>
      </c>
      <c r="AC2414" t="s">
        <v>86</v>
      </c>
    </row>
    <row r="2415" spans="1:29">
      <c r="A2415" t="s">
        <v>2832</v>
      </c>
      <c r="B2415" s="2">
        <v>46177</v>
      </c>
      <c r="C2415" t="s">
        <v>30</v>
      </c>
      <c r="D2415" t="s">
        <v>134</v>
      </c>
      <c r="E2415" t="s">
        <v>120</v>
      </c>
      <c r="F2415" t="s">
        <v>246</v>
      </c>
      <c r="G2415" t="s">
        <v>135</v>
      </c>
      <c r="H2415" t="s">
        <v>123</v>
      </c>
      <c r="I2415" t="s">
        <v>397</v>
      </c>
      <c r="J2415" t="s">
        <v>3073</v>
      </c>
      <c r="K2415" t="s">
        <v>56</v>
      </c>
      <c r="L2415" t="s">
        <v>38</v>
      </c>
      <c r="M2415" t="s">
        <v>93</v>
      </c>
      <c r="N2415" t="s">
        <v>94</v>
      </c>
      <c r="O2415" s="4">
        <v>4</v>
      </c>
      <c r="P2415" s="4">
        <v>12</v>
      </c>
      <c r="Q2415" t="s">
        <v>58</v>
      </c>
      <c r="R2415" s="2">
        <v>46177</v>
      </c>
      <c r="S2415" s="4">
        <v>26</v>
      </c>
      <c r="T2415" s="3">
        <v>189000000</v>
      </c>
      <c r="U2415" t="s">
        <v>42</v>
      </c>
      <c r="V2415" t="s">
        <v>59</v>
      </c>
      <c r="W2415" t="s">
        <v>95</v>
      </c>
      <c r="Y2415" t="s">
        <v>96</v>
      </c>
      <c r="Z2415" t="s">
        <v>3179</v>
      </c>
      <c r="AA2415" t="s">
        <v>97</v>
      </c>
      <c r="AB2415" t="s">
        <v>97</v>
      </c>
      <c r="AC2415" t="s">
        <v>97</v>
      </c>
    </row>
    <row r="2416" spans="1:29">
      <c r="A2416" t="s">
        <v>2833</v>
      </c>
      <c r="B2416" s="2">
        <v>46177</v>
      </c>
      <c r="C2416" t="s">
        <v>30</v>
      </c>
      <c r="D2416" t="s">
        <v>134</v>
      </c>
      <c r="E2416" t="s">
        <v>111</v>
      </c>
      <c r="F2416" t="s">
        <v>190</v>
      </c>
      <c r="G2416" t="s">
        <v>348</v>
      </c>
      <c r="H2416" t="s">
        <v>191</v>
      </c>
      <c r="I2416" t="s">
        <v>449</v>
      </c>
      <c r="J2416" t="s">
        <v>3089</v>
      </c>
      <c r="K2416" t="s">
        <v>56</v>
      </c>
      <c r="L2416" t="s">
        <v>68</v>
      </c>
      <c r="M2416" t="s">
        <v>106</v>
      </c>
      <c r="N2416" t="s">
        <v>82</v>
      </c>
      <c r="O2416" s="4">
        <v>1</v>
      </c>
      <c r="P2416" s="4">
        <v>11</v>
      </c>
      <c r="Q2416" t="s">
        <v>69</v>
      </c>
      <c r="R2416" s="2">
        <v>46170</v>
      </c>
      <c r="S2416" s="4">
        <v>33</v>
      </c>
      <c r="T2416" s="3">
        <v>328000000</v>
      </c>
      <c r="U2416" t="s">
        <v>42</v>
      </c>
      <c r="V2416" t="s">
        <v>43</v>
      </c>
      <c r="W2416" t="s">
        <v>404</v>
      </c>
      <c r="Y2416" t="s">
        <v>305</v>
      </c>
      <c r="Z2416" t="s">
        <v>3178</v>
      </c>
      <c r="AA2416" t="s">
        <v>118</v>
      </c>
      <c r="AB2416" t="s">
        <v>87</v>
      </c>
      <c r="AC2416" t="s">
        <v>118</v>
      </c>
    </row>
    <row r="2417" spans="1:29">
      <c r="A2417" t="s">
        <v>2834</v>
      </c>
      <c r="B2417" s="2">
        <v>46193</v>
      </c>
      <c r="C2417" t="s">
        <v>30</v>
      </c>
      <c r="D2417" t="s">
        <v>74</v>
      </c>
      <c r="E2417" t="s">
        <v>111</v>
      </c>
      <c r="F2417" t="s">
        <v>112</v>
      </c>
      <c r="G2417" t="s">
        <v>348</v>
      </c>
      <c r="H2417" t="s">
        <v>114</v>
      </c>
      <c r="I2417" t="s">
        <v>1078</v>
      </c>
      <c r="J2417" t="s">
        <v>3172</v>
      </c>
      <c r="K2417" t="s">
        <v>105</v>
      </c>
      <c r="L2417" t="s">
        <v>187</v>
      </c>
      <c r="M2417" t="s">
        <v>129</v>
      </c>
      <c r="N2417" t="s">
        <v>94</v>
      </c>
      <c r="O2417" s="4">
        <v>4</v>
      </c>
      <c r="P2417" s="4">
        <v>8</v>
      </c>
      <c r="Q2417" t="s">
        <v>58</v>
      </c>
      <c r="R2417" s="2">
        <v>46190</v>
      </c>
      <c r="S2417" s="4">
        <v>13</v>
      </c>
      <c r="T2417" s="3">
        <v>347000000</v>
      </c>
      <c r="U2417" t="s">
        <v>42</v>
      </c>
      <c r="V2417" t="s">
        <v>59</v>
      </c>
      <c r="W2417" t="s">
        <v>170</v>
      </c>
      <c r="Y2417" t="s">
        <v>268</v>
      </c>
      <c r="Z2417" t="s">
        <v>3179</v>
      </c>
      <c r="AA2417" t="s">
        <v>118</v>
      </c>
      <c r="AB2417" t="s">
        <v>97</v>
      </c>
      <c r="AC2417" t="s">
        <v>118</v>
      </c>
    </row>
    <row r="2418" spans="1:29">
      <c r="A2418" t="s">
        <v>2835</v>
      </c>
      <c r="B2418" s="2">
        <v>46184</v>
      </c>
      <c r="C2418" t="s">
        <v>30</v>
      </c>
      <c r="D2418" t="s">
        <v>99</v>
      </c>
      <c r="E2418" t="s">
        <v>75</v>
      </c>
      <c r="F2418" t="s">
        <v>76</v>
      </c>
      <c r="G2418" t="s">
        <v>387</v>
      </c>
      <c r="H2418" t="s">
        <v>78</v>
      </c>
      <c r="I2418" t="s">
        <v>501</v>
      </c>
      <c r="J2418" t="s">
        <v>3106</v>
      </c>
      <c r="K2418" t="s">
        <v>56</v>
      </c>
      <c r="L2418" t="s">
        <v>187</v>
      </c>
      <c r="M2418" t="s">
        <v>81</v>
      </c>
      <c r="N2418" t="s">
        <v>57</v>
      </c>
      <c r="O2418" s="4">
        <v>3</v>
      </c>
      <c r="P2418" s="4">
        <v>9</v>
      </c>
      <c r="Q2418" t="s">
        <v>142</v>
      </c>
      <c r="R2418" s="2">
        <v>46177</v>
      </c>
      <c r="S2418" s="4">
        <v>26</v>
      </c>
      <c r="T2418" s="3">
        <v>204000000</v>
      </c>
      <c r="U2418" t="s">
        <v>42</v>
      </c>
      <c r="V2418" t="s">
        <v>59</v>
      </c>
      <c r="W2418" t="s">
        <v>71</v>
      </c>
      <c r="Y2418" t="s">
        <v>158</v>
      </c>
      <c r="Z2418" t="s">
        <v>3177</v>
      </c>
      <c r="AA2418" t="s">
        <v>86</v>
      </c>
      <c r="AB2418" t="s">
        <v>63</v>
      </c>
      <c r="AC2418" t="s">
        <v>86</v>
      </c>
    </row>
    <row r="2419" spans="1:29">
      <c r="A2419" t="s">
        <v>2836</v>
      </c>
      <c r="B2419" s="2">
        <v>46196</v>
      </c>
      <c r="C2419" t="s">
        <v>30</v>
      </c>
      <c r="D2419" t="s">
        <v>49</v>
      </c>
      <c r="E2419" t="s">
        <v>32</v>
      </c>
      <c r="F2419" t="s">
        <v>256</v>
      </c>
      <c r="G2419" t="s">
        <v>34</v>
      </c>
      <c r="H2419" t="s">
        <v>303</v>
      </c>
      <c r="I2419" t="s">
        <v>304</v>
      </c>
      <c r="J2419" t="s">
        <v>3046</v>
      </c>
      <c r="K2419" t="s">
        <v>56</v>
      </c>
      <c r="L2419" t="s">
        <v>187</v>
      </c>
      <c r="M2419" t="s">
        <v>93</v>
      </c>
      <c r="N2419" t="s">
        <v>82</v>
      </c>
      <c r="O2419" s="4">
        <v>1</v>
      </c>
      <c r="P2419" s="4">
        <v>3</v>
      </c>
      <c r="Q2419" t="s">
        <v>83</v>
      </c>
      <c r="R2419" s="2">
        <v>46186</v>
      </c>
      <c r="S2419" s="4">
        <v>17</v>
      </c>
      <c r="T2419" s="3">
        <v>375000000</v>
      </c>
      <c r="U2419" t="s">
        <v>177</v>
      </c>
      <c r="V2419" t="s">
        <v>43</v>
      </c>
      <c r="W2419" t="s">
        <v>84</v>
      </c>
      <c r="X2419" t="s">
        <v>179</v>
      </c>
      <c r="Y2419" t="s">
        <v>85</v>
      </c>
      <c r="Z2419" t="s">
        <v>3176</v>
      </c>
      <c r="AA2419" t="s">
        <v>46</v>
      </c>
      <c r="AB2419" t="s">
        <v>47</v>
      </c>
      <c r="AC2419" t="s">
        <v>46</v>
      </c>
    </row>
    <row r="2420" spans="1:29">
      <c r="A2420" t="s">
        <v>2837</v>
      </c>
      <c r="B2420" s="2">
        <v>46185</v>
      </c>
      <c r="C2420" t="s">
        <v>30</v>
      </c>
      <c r="D2420" t="s">
        <v>99</v>
      </c>
      <c r="E2420" t="s">
        <v>152</v>
      </c>
      <c r="F2420" t="s">
        <v>205</v>
      </c>
      <c r="G2420" t="s">
        <v>286</v>
      </c>
      <c r="H2420" t="s">
        <v>155</v>
      </c>
      <c r="I2420" t="s">
        <v>156</v>
      </c>
      <c r="J2420" t="s">
        <v>3020</v>
      </c>
      <c r="K2420" t="s">
        <v>56</v>
      </c>
      <c r="L2420" t="s">
        <v>55</v>
      </c>
      <c r="M2420" t="s">
        <v>81</v>
      </c>
      <c r="N2420" t="s">
        <v>57</v>
      </c>
      <c r="O2420" s="4">
        <v>3</v>
      </c>
      <c r="P2420" s="4">
        <v>15</v>
      </c>
      <c r="Q2420" t="s">
        <v>107</v>
      </c>
      <c r="R2420" s="2">
        <v>46181</v>
      </c>
      <c r="S2420" s="4">
        <v>22</v>
      </c>
      <c r="T2420" s="3">
        <v>188000000</v>
      </c>
      <c r="U2420" t="s">
        <v>42</v>
      </c>
      <c r="V2420" t="s">
        <v>59</v>
      </c>
      <c r="W2420" t="s">
        <v>60</v>
      </c>
      <c r="Y2420" t="s">
        <v>158</v>
      </c>
      <c r="Z2420" t="s">
        <v>3180</v>
      </c>
      <c r="AA2420" t="s">
        <v>159</v>
      </c>
      <c r="AB2420" t="s">
        <v>193</v>
      </c>
      <c r="AC2420" t="s">
        <v>159</v>
      </c>
    </row>
    <row r="2421" spans="1:29">
      <c r="A2421" t="s">
        <v>2838</v>
      </c>
      <c r="B2421" s="2">
        <v>46177</v>
      </c>
      <c r="C2421" t="s">
        <v>30</v>
      </c>
      <c r="D2421" t="s">
        <v>134</v>
      </c>
      <c r="E2421" t="s">
        <v>50</v>
      </c>
      <c r="F2421" t="s">
        <v>51</v>
      </c>
      <c r="G2421" t="s">
        <v>65</v>
      </c>
      <c r="H2421" t="s">
        <v>53</v>
      </c>
      <c r="I2421" t="s">
        <v>373</v>
      </c>
      <c r="J2421" t="s">
        <v>3066</v>
      </c>
      <c r="K2421" t="s">
        <v>37</v>
      </c>
      <c r="L2421" t="s">
        <v>80</v>
      </c>
      <c r="M2421" t="s">
        <v>39</v>
      </c>
      <c r="N2421" t="s">
        <v>94</v>
      </c>
      <c r="O2421" s="4">
        <v>4</v>
      </c>
      <c r="P2421" s="4">
        <v>12</v>
      </c>
      <c r="Q2421" t="s">
        <v>69</v>
      </c>
      <c r="R2421" s="2">
        <v>46169</v>
      </c>
      <c r="S2421" s="4">
        <v>34</v>
      </c>
      <c r="T2421" s="3">
        <v>177000000</v>
      </c>
      <c r="U2421" t="s">
        <v>42</v>
      </c>
      <c r="V2421" t="s">
        <v>59</v>
      </c>
      <c r="W2421" t="s">
        <v>170</v>
      </c>
      <c r="Y2421" t="s">
        <v>96</v>
      </c>
      <c r="Z2421" t="s">
        <v>3179</v>
      </c>
      <c r="AA2421" t="s">
        <v>62</v>
      </c>
      <c r="AB2421" t="s">
        <v>97</v>
      </c>
      <c r="AC2421" t="s">
        <v>62</v>
      </c>
    </row>
    <row r="2422" spans="1:29">
      <c r="A2422" t="s">
        <v>2839</v>
      </c>
      <c r="B2422" s="2">
        <v>46181</v>
      </c>
      <c r="C2422" t="s">
        <v>30</v>
      </c>
      <c r="D2422" t="s">
        <v>99</v>
      </c>
      <c r="E2422" t="s">
        <v>111</v>
      </c>
      <c r="F2422" t="s">
        <v>190</v>
      </c>
      <c r="G2422" t="s">
        <v>348</v>
      </c>
      <c r="H2422" t="s">
        <v>127</v>
      </c>
      <c r="I2422" t="s">
        <v>349</v>
      </c>
      <c r="J2422" t="s">
        <v>3059</v>
      </c>
      <c r="K2422" t="s">
        <v>105</v>
      </c>
      <c r="L2422" t="s">
        <v>38</v>
      </c>
      <c r="M2422" t="s">
        <v>39</v>
      </c>
      <c r="N2422" t="s">
        <v>57</v>
      </c>
      <c r="O2422" s="4">
        <v>3</v>
      </c>
      <c r="P2422" s="4">
        <v>11</v>
      </c>
      <c r="Q2422" t="s">
        <v>138</v>
      </c>
      <c r="R2422" s="2">
        <v>46181</v>
      </c>
      <c r="S2422" s="4">
        <v>22</v>
      </c>
      <c r="T2422" s="3">
        <v>164000000</v>
      </c>
      <c r="U2422" t="s">
        <v>42</v>
      </c>
      <c r="V2422" t="s">
        <v>59</v>
      </c>
      <c r="W2422" t="s">
        <v>60</v>
      </c>
      <c r="Y2422" t="s">
        <v>72</v>
      </c>
      <c r="Z2422" t="s">
        <v>3177</v>
      </c>
      <c r="AA2422" t="s">
        <v>118</v>
      </c>
      <c r="AB2422" t="s">
        <v>63</v>
      </c>
      <c r="AC2422" t="s">
        <v>118</v>
      </c>
    </row>
    <row r="2423" spans="1:29">
      <c r="A2423" t="s">
        <v>2840</v>
      </c>
      <c r="B2423" s="2">
        <v>46184</v>
      </c>
      <c r="C2423" t="s">
        <v>30</v>
      </c>
      <c r="D2423" t="s">
        <v>99</v>
      </c>
      <c r="E2423" t="s">
        <v>75</v>
      </c>
      <c r="F2423" t="s">
        <v>183</v>
      </c>
      <c r="G2423" t="s">
        <v>387</v>
      </c>
      <c r="H2423" t="s">
        <v>388</v>
      </c>
      <c r="I2423" t="s">
        <v>661</v>
      </c>
      <c r="J2423" t="s">
        <v>3144</v>
      </c>
      <c r="K2423" t="s">
        <v>37</v>
      </c>
      <c r="L2423" t="s">
        <v>55</v>
      </c>
      <c r="M2423" t="s">
        <v>39</v>
      </c>
      <c r="N2423" t="s">
        <v>57</v>
      </c>
      <c r="O2423" s="4">
        <v>3</v>
      </c>
      <c r="P2423" s="4">
        <v>8</v>
      </c>
      <c r="Q2423" t="s">
        <v>138</v>
      </c>
      <c r="R2423" s="2">
        <v>46174</v>
      </c>
      <c r="S2423" s="4">
        <v>29</v>
      </c>
      <c r="T2423" s="3">
        <v>171000000</v>
      </c>
      <c r="U2423" t="s">
        <v>177</v>
      </c>
      <c r="V2423" t="s">
        <v>43</v>
      </c>
      <c r="W2423" t="s">
        <v>157</v>
      </c>
      <c r="X2423" t="s">
        <v>520</v>
      </c>
      <c r="Y2423" t="s">
        <v>158</v>
      </c>
      <c r="Z2423" t="s">
        <v>3177</v>
      </c>
      <c r="AA2423" t="s">
        <v>86</v>
      </c>
      <c r="AB2423" t="s">
        <v>63</v>
      </c>
      <c r="AC2423" t="s">
        <v>86</v>
      </c>
    </row>
    <row r="2424" spans="1:29">
      <c r="A2424" t="s">
        <v>2841</v>
      </c>
      <c r="B2424" s="2">
        <v>46194</v>
      </c>
      <c r="C2424" t="s">
        <v>30</v>
      </c>
      <c r="D2424" t="s">
        <v>74</v>
      </c>
      <c r="E2424" t="s">
        <v>120</v>
      </c>
      <c r="F2424" t="s">
        <v>246</v>
      </c>
      <c r="G2424" t="s">
        <v>224</v>
      </c>
      <c r="H2424" t="s">
        <v>123</v>
      </c>
      <c r="I2424" t="s">
        <v>124</v>
      </c>
      <c r="J2424" t="s">
        <v>3015</v>
      </c>
      <c r="K2424" t="s">
        <v>56</v>
      </c>
      <c r="L2424" t="s">
        <v>38</v>
      </c>
      <c r="M2424" t="s">
        <v>56</v>
      </c>
      <c r="N2424" t="s">
        <v>130</v>
      </c>
      <c r="O2424" s="4">
        <v>5</v>
      </c>
      <c r="P2424" s="4">
        <v>10</v>
      </c>
      <c r="Q2424" t="s">
        <v>107</v>
      </c>
      <c r="R2424" s="2">
        <v>46191</v>
      </c>
      <c r="S2424" s="4">
        <v>12</v>
      </c>
      <c r="T2424" s="3">
        <v>452000000</v>
      </c>
      <c r="U2424" t="s">
        <v>42</v>
      </c>
      <c r="V2424" t="s">
        <v>70</v>
      </c>
      <c r="W2424" t="s">
        <v>144</v>
      </c>
      <c r="X2424" t="s">
        <v>253</v>
      </c>
      <c r="Y2424" t="s">
        <v>262</v>
      </c>
      <c r="Z2424" t="s">
        <v>3179</v>
      </c>
      <c r="AA2424" t="s">
        <v>97</v>
      </c>
      <c r="AB2424" t="s">
        <v>97</v>
      </c>
      <c r="AC2424" t="s">
        <v>97</v>
      </c>
    </row>
    <row r="2425" spans="1:29">
      <c r="A2425" t="s">
        <v>2842</v>
      </c>
      <c r="B2425" s="2">
        <v>46195</v>
      </c>
      <c r="C2425" t="s">
        <v>30</v>
      </c>
      <c r="D2425" t="s">
        <v>49</v>
      </c>
      <c r="E2425" t="s">
        <v>111</v>
      </c>
      <c r="F2425" t="s">
        <v>264</v>
      </c>
      <c r="G2425" t="s">
        <v>348</v>
      </c>
      <c r="H2425" t="s">
        <v>127</v>
      </c>
      <c r="I2425" t="s">
        <v>349</v>
      </c>
      <c r="J2425" t="s">
        <v>3059</v>
      </c>
      <c r="K2425" t="s">
        <v>105</v>
      </c>
      <c r="L2425" t="s">
        <v>187</v>
      </c>
      <c r="M2425" t="s">
        <v>56</v>
      </c>
      <c r="N2425" t="s">
        <v>82</v>
      </c>
      <c r="O2425" s="4">
        <v>1</v>
      </c>
      <c r="P2425" s="4">
        <v>7</v>
      </c>
      <c r="Q2425" t="s">
        <v>83</v>
      </c>
      <c r="R2425" s="2">
        <v>46185</v>
      </c>
      <c r="S2425" s="4">
        <v>18</v>
      </c>
      <c r="T2425" s="3">
        <v>319000000</v>
      </c>
      <c r="U2425" t="s">
        <v>42</v>
      </c>
      <c r="V2425" t="s">
        <v>43</v>
      </c>
      <c r="W2425" t="s">
        <v>84</v>
      </c>
      <c r="Y2425" t="s">
        <v>305</v>
      </c>
      <c r="Z2425" t="s">
        <v>3178</v>
      </c>
      <c r="AA2425" t="s">
        <v>118</v>
      </c>
      <c r="AB2425" t="s">
        <v>87</v>
      </c>
      <c r="AC2425" t="s">
        <v>118</v>
      </c>
    </row>
    <row r="2426" spans="1:29">
      <c r="A2426" t="s">
        <v>2843</v>
      </c>
      <c r="B2426" s="2">
        <v>46188</v>
      </c>
      <c r="C2426" t="s">
        <v>30</v>
      </c>
      <c r="D2426" t="s">
        <v>74</v>
      </c>
      <c r="E2426" t="s">
        <v>120</v>
      </c>
      <c r="F2426" t="s">
        <v>246</v>
      </c>
      <c r="G2426" t="s">
        <v>135</v>
      </c>
      <c r="H2426" t="s">
        <v>123</v>
      </c>
      <c r="I2426" t="s">
        <v>225</v>
      </c>
      <c r="J2426" t="s">
        <v>3030</v>
      </c>
      <c r="K2426" t="s">
        <v>56</v>
      </c>
      <c r="L2426" t="s">
        <v>80</v>
      </c>
      <c r="M2426" t="s">
        <v>93</v>
      </c>
      <c r="N2426" t="s">
        <v>82</v>
      </c>
      <c r="O2426" s="4">
        <v>1</v>
      </c>
      <c r="P2426" s="4">
        <v>5</v>
      </c>
      <c r="Q2426" t="s">
        <v>83</v>
      </c>
      <c r="R2426" s="2">
        <v>46184</v>
      </c>
      <c r="S2426" s="4">
        <v>19</v>
      </c>
      <c r="T2426" s="3">
        <v>409000000</v>
      </c>
      <c r="U2426" t="s">
        <v>42</v>
      </c>
      <c r="V2426" t="s">
        <v>43</v>
      </c>
      <c r="W2426" t="s">
        <v>84</v>
      </c>
      <c r="Y2426" t="s">
        <v>330</v>
      </c>
      <c r="Z2426" t="s">
        <v>3178</v>
      </c>
      <c r="AA2426" t="s">
        <v>97</v>
      </c>
      <c r="AB2426" t="s">
        <v>87</v>
      </c>
      <c r="AC2426" t="s">
        <v>97</v>
      </c>
    </row>
    <row r="2427" spans="1:29">
      <c r="A2427" t="s">
        <v>2844</v>
      </c>
      <c r="B2427" s="2">
        <v>46182</v>
      </c>
      <c r="C2427" t="s">
        <v>30</v>
      </c>
      <c r="D2427" t="s">
        <v>99</v>
      </c>
      <c r="E2427" t="s">
        <v>75</v>
      </c>
      <c r="F2427" t="s">
        <v>76</v>
      </c>
      <c r="G2427" t="s">
        <v>230</v>
      </c>
      <c r="H2427" t="s">
        <v>78</v>
      </c>
      <c r="I2427" t="s">
        <v>501</v>
      </c>
      <c r="J2427" t="s">
        <v>3106</v>
      </c>
      <c r="K2427" t="s">
        <v>105</v>
      </c>
      <c r="L2427" t="s">
        <v>150</v>
      </c>
      <c r="M2427" t="s">
        <v>56</v>
      </c>
      <c r="N2427" t="s">
        <v>130</v>
      </c>
      <c r="O2427" s="4">
        <v>5</v>
      </c>
      <c r="P2427" s="4">
        <v>7</v>
      </c>
      <c r="Q2427" t="s">
        <v>69</v>
      </c>
      <c r="R2427" s="2">
        <v>46182</v>
      </c>
      <c r="S2427" s="4">
        <v>21</v>
      </c>
      <c r="T2427" s="3">
        <v>201000000</v>
      </c>
      <c r="U2427" t="s">
        <v>42</v>
      </c>
      <c r="V2427" t="s">
        <v>70</v>
      </c>
      <c r="W2427" t="s">
        <v>252</v>
      </c>
      <c r="Y2427" t="s">
        <v>334</v>
      </c>
      <c r="Z2427" t="s">
        <v>3179</v>
      </c>
      <c r="AA2427" t="s">
        <v>86</v>
      </c>
      <c r="AB2427" t="s">
        <v>97</v>
      </c>
      <c r="AC2427" t="s">
        <v>86</v>
      </c>
    </row>
    <row r="2428" spans="1:29">
      <c r="A2428" t="s">
        <v>2845</v>
      </c>
      <c r="B2428" s="2">
        <v>46176</v>
      </c>
      <c r="C2428" t="s">
        <v>30</v>
      </c>
      <c r="D2428" t="s">
        <v>134</v>
      </c>
      <c r="E2428" t="s">
        <v>32</v>
      </c>
      <c r="F2428" t="s">
        <v>273</v>
      </c>
      <c r="G2428" t="s">
        <v>218</v>
      </c>
      <c r="H2428" t="s">
        <v>303</v>
      </c>
      <c r="I2428" t="s">
        <v>304</v>
      </c>
      <c r="J2428" t="s">
        <v>3046</v>
      </c>
      <c r="K2428" t="s">
        <v>56</v>
      </c>
      <c r="L2428" t="s">
        <v>150</v>
      </c>
      <c r="M2428" t="s">
        <v>39</v>
      </c>
      <c r="N2428" t="s">
        <v>213</v>
      </c>
      <c r="O2428" s="4">
        <v>6</v>
      </c>
      <c r="P2428" s="4">
        <v>6</v>
      </c>
      <c r="Q2428" t="s">
        <v>142</v>
      </c>
      <c r="R2428" s="2">
        <v>46168</v>
      </c>
      <c r="S2428" s="4">
        <v>35</v>
      </c>
      <c r="T2428" s="3">
        <v>436000000</v>
      </c>
      <c r="U2428" t="s">
        <v>42</v>
      </c>
      <c r="V2428" t="s">
        <v>70</v>
      </c>
      <c r="W2428" t="s">
        <v>215</v>
      </c>
      <c r="Y2428" t="s">
        <v>424</v>
      </c>
      <c r="Z2428" t="s">
        <v>3179</v>
      </c>
      <c r="AA2428" t="s">
        <v>46</v>
      </c>
      <c r="AB2428" t="s">
        <v>97</v>
      </c>
      <c r="AC2428" t="s">
        <v>46</v>
      </c>
    </row>
    <row r="2429" spans="1:29">
      <c r="A2429" t="s">
        <v>2846</v>
      </c>
      <c r="B2429" s="2">
        <v>46196</v>
      </c>
      <c r="C2429" t="s">
        <v>30</v>
      </c>
      <c r="D2429" t="s">
        <v>49</v>
      </c>
      <c r="E2429" t="s">
        <v>111</v>
      </c>
      <c r="F2429" t="s">
        <v>264</v>
      </c>
      <c r="G2429" t="s">
        <v>348</v>
      </c>
      <c r="H2429" t="s">
        <v>191</v>
      </c>
      <c r="I2429" t="s">
        <v>192</v>
      </c>
      <c r="J2429" t="s">
        <v>3025</v>
      </c>
      <c r="K2429" t="s">
        <v>105</v>
      </c>
      <c r="L2429" t="s">
        <v>68</v>
      </c>
      <c r="M2429" t="s">
        <v>56</v>
      </c>
      <c r="N2429" t="s">
        <v>94</v>
      </c>
      <c r="O2429" s="4">
        <v>4</v>
      </c>
      <c r="P2429" s="4">
        <v>7</v>
      </c>
      <c r="Q2429" t="s">
        <v>138</v>
      </c>
      <c r="R2429" s="2">
        <v>46195</v>
      </c>
      <c r="S2429" s="4">
        <v>8</v>
      </c>
      <c r="T2429" s="3">
        <v>62000000</v>
      </c>
      <c r="U2429" t="s">
        <v>260</v>
      </c>
      <c r="V2429" t="s">
        <v>59</v>
      </c>
      <c r="W2429" t="s">
        <v>267</v>
      </c>
      <c r="X2429" t="s">
        <v>179</v>
      </c>
      <c r="Y2429" t="s">
        <v>108</v>
      </c>
      <c r="Z2429" t="s">
        <v>3179</v>
      </c>
      <c r="AA2429" t="s">
        <v>118</v>
      </c>
      <c r="AB2429" t="s">
        <v>97</v>
      </c>
      <c r="AC2429" t="s">
        <v>118</v>
      </c>
    </row>
    <row r="2430" spans="1:29">
      <c r="A2430" t="s">
        <v>2847</v>
      </c>
      <c r="B2430" s="2">
        <v>46192</v>
      </c>
      <c r="C2430" t="s">
        <v>30</v>
      </c>
      <c r="D2430" t="s">
        <v>74</v>
      </c>
      <c r="E2430" t="s">
        <v>152</v>
      </c>
      <c r="F2430" t="s">
        <v>221</v>
      </c>
      <c r="G2430" t="s">
        <v>294</v>
      </c>
      <c r="H2430" t="s">
        <v>283</v>
      </c>
      <c r="I2430" t="s">
        <v>474</v>
      </c>
      <c r="J2430" t="s">
        <v>3098</v>
      </c>
      <c r="K2430" t="s">
        <v>105</v>
      </c>
      <c r="L2430" t="s">
        <v>38</v>
      </c>
      <c r="M2430" t="s">
        <v>129</v>
      </c>
      <c r="N2430" t="s">
        <v>82</v>
      </c>
      <c r="O2430" s="4">
        <v>1</v>
      </c>
      <c r="P2430" s="4">
        <v>8</v>
      </c>
      <c r="Q2430" t="s">
        <v>138</v>
      </c>
      <c r="R2430" s="2">
        <v>46183</v>
      </c>
      <c r="S2430" s="4">
        <v>20</v>
      </c>
      <c r="T2430" s="3">
        <v>296000000</v>
      </c>
      <c r="U2430" t="s">
        <v>42</v>
      </c>
      <c r="V2430" t="s">
        <v>43</v>
      </c>
      <c r="W2430" t="s">
        <v>359</v>
      </c>
      <c r="Y2430" t="s">
        <v>291</v>
      </c>
      <c r="Z2430" t="s">
        <v>3178</v>
      </c>
      <c r="AA2430" t="s">
        <v>159</v>
      </c>
      <c r="AB2430" t="s">
        <v>87</v>
      </c>
      <c r="AC2430" t="s">
        <v>159</v>
      </c>
    </row>
    <row r="2431" spans="1:29">
      <c r="A2431" t="s">
        <v>2848</v>
      </c>
      <c r="B2431" s="2">
        <v>46189</v>
      </c>
      <c r="C2431" t="s">
        <v>30</v>
      </c>
      <c r="D2431" t="s">
        <v>74</v>
      </c>
      <c r="E2431" t="s">
        <v>100</v>
      </c>
      <c r="F2431" t="s">
        <v>146</v>
      </c>
      <c r="G2431" t="s">
        <v>102</v>
      </c>
      <c r="H2431" t="s">
        <v>103</v>
      </c>
      <c r="I2431" t="s">
        <v>447</v>
      </c>
      <c r="J2431" t="s">
        <v>3088</v>
      </c>
      <c r="K2431" t="s">
        <v>92</v>
      </c>
      <c r="L2431" t="s">
        <v>68</v>
      </c>
      <c r="M2431" t="s">
        <v>106</v>
      </c>
      <c r="N2431" t="s">
        <v>130</v>
      </c>
      <c r="O2431" s="4">
        <v>5</v>
      </c>
      <c r="P2431" s="4">
        <v>17</v>
      </c>
      <c r="Q2431" t="s">
        <v>69</v>
      </c>
      <c r="R2431" s="2">
        <v>46183</v>
      </c>
      <c r="S2431" s="4">
        <v>20</v>
      </c>
      <c r="T2431" s="3">
        <v>229000000</v>
      </c>
      <c r="U2431" t="s">
        <v>42</v>
      </c>
      <c r="V2431" t="s">
        <v>70</v>
      </c>
      <c r="W2431" t="s">
        <v>144</v>
      </c>
      <c r="X2431" t="s">
        <v>117</v>
      </c>
      <c r="Y2431" t="s">
        <v>262</v>
      </c>
      <c r="Z2431" t="s">
        <v>3179</v>
      </c>
      <c r="AA2431" t="s">
        <v>109</v>
      </c>
      <c r="AB2431" t="s">
        <v>97</v>
      </c>
      <c r="AC2431" t="s">
        <v>109</v>
      </c>
    </row>
    <row r="2432" spans="1:29">
      <c r="A2432" t="s">
        <v>2849</v>
      </c>
      <c r="B2432" s="2">
        <v>46187</v>
      </c>
      <c r="C2432" t="s">
        <v>30</v>
      </c>
      <c r="D2432" t="s">
        <v>99</v>
      </c>
      <c r="E2432" t="s">
        <v>172</v>
      </c>
      <c r="F2432" t="s">
        <v>173</v>
      </c>
      <c r="G2432" t="s">
        <v>278</v>
      </c>
      <c r="H2432" t="s">
        <v>317</v>
      </c>
      <c r="I2432" t="s">
        <v>534</v>
      </c>
      <c r="J2432" t="s">
        <v>3112</v>
      </c>
      <c r="K2432" t="s">
        <v>105</v>
      </c>
      <c r="L2432" t="s">
        <v>68</v>
      </c>
      <c r="M2432" t="s">
        <v>56</v>
      </c>
      <c r="N2432" t="s">
        <v>213</v>
      </c>
      <c r="O2432" s="4">
        <v>6</v>
      </c>
      <c r="P2432" s="4">
        <v>12</v>
      </c>
      <c r="Q2432" t="s">
        <v>41</v>
      </c>
      <c r="R2432" s="2">
        <v>46180</v>
      </c>
      <c r="S2432" s="4">
        <v>23</v>
      </c>
      <c r="T2432" s="3">
        <v>327000000</v>
      </c>
      <c r="U2432" t="s">
        <v>214</v>
      </c>
      <c r="V2432" t="s">
        <v>70</v>
      </c>
      <c r="W2432" t="s">
        <v>215</v>
      </c>
      <c r="Y2432" t="s">
        <v>249</v>
      </c>
      <c r="Z2432" t="s">
        <v>3179</v>
      </c>
      <c r="AA2432" t="s">
        <v>181</v>
      </c>
      <c r="AB2432" t="s">
        <v>97</v>
      </c>
      <c r="AC2432" t="s">
        <v>181</v>
      </c>
    </row>
    <row r="2433" spans="1:29">
      <c r="A2433" t="s">
        <v>2850</v>
      </c>
      <c r="B2433" s="2">
        <v>46191</v>
      </c>
      <c r="C2433" t="s">
        <v>30</v>
      </c>
      <c r="D2433" t="s">
        <v>74</v>
      </c>
      <c r="E2433" t="s">
        <v>172</v>
      </c>
      <c r="F2433" t="s">
        <v>277</v>
      </c>
      <c r="G2433" t="s">
        <v>289</v>
      </c>
      <c r="H2433" t="s">
        <v>241</v>
      </c>
      <c r="I2433" t="s">
        <v>559</v>
      </c>
      <c r="J2433" t="s">
        <v>3119</v>
      </c>
      <c r="K2433" t="s">
        <v>56</v>
      </c>
      <c r="L2433" t="s">
        <v>55</v>
      </c>
      <c r="M2433" t="s">
        <v>93</v>
      </c>
      <c r="N2433" t="s">
        <v>57</v>
      </c>
      <c r="O2433" s="4">
        <v>3</v>
      </c>
      <c r="P2433" s="4">
        <v>5</v>
      </c>
      <c r="Q2433" t="s">
        <v>69</v>
      </c>
      <c r="R2433" s="2">
        <v>46182</v>
      </c>
      <c r="S2433" s="4">
        <v>21</v>
      </c>
      <c r="T2433" s="3">
        <v>370000000</v>
      </c>
      <c r="U2433" t="s">
        <v>42</v>
      </c>
      <c r="V2433" t="s">
        <v>59</v>
      </c>
      <c r="W2433" t="s">
        <v>71</v>
      </c>
      <c r="Y2433" t="s">
        <v>158</v>
      </c>
      <c r="Z2433" t="s">
        <v>3177</v>
      </c>
      <c r="AA2433" t="s">
        <v>181</v>
      </c>
      <c r="AB2433" t="s">
        <v>63</v>
      </c>
      <c r="AC2433" t="s">
        <v>181</v>
      </c>
    </row>
    <row r="2434" spans="1:29">
      <c r="A2434" t="s">
        <v>2851</v>
      </c>
      <c r="B2434" s="2">
        <v>46189</v>
      </c>
      <c r="C2434" t="s">
        <v>30</v>
      </c>
      <c r="D2434" t="s">
        <v>74</v>
      </c>
      <c r="E2434" t="s">
        <v>152</v>
      </c>
      <c r="F2434" t="s">
        <v>205</v>
      </c>
      <c r="G2434" t="s">
        <v>206</v>
      </c>
      <c r="H2434" t="s">
        <v>207</v>
      </c>
      <c r="I2434" t="s">
        <v>222</v>
      </c>
      <c r="J2434" t="s">
        <v>3029</v>
      </c>
      <c r="K2434" t="s">
        <v>105</v>
      </c>
      <c r="L2434" t="s">
        <v>55</v>
      </c>
      <c r="M2434" t="s">
        <v>129</v>
      </c>
      <c r="N2434" t="s">
        <v>57</v>
      </c>
      <c r="O2434" s="4">
        <v>3</v>
      </c>
      <c r="P2434" s="4">
        <v>6</v>
      </c>
      <c r="Q2434" t="s">
        <v>83</v>
      </c>
      <c r="R2434" s="2">
        <v>46179</v>
      </c>
      <c r="S2434" s="4">
        <v>24</v>
      </c>
      <c r="T2434" s="3">
        <v>91000000</v>
      </c>
      <c r="U2434" t="s">
        <v>42</v>
      </c>
      <c r="V2434" t="s">
        <v>43</v>
      </c>
      <c r="W2434" t="s">
        <v>71</v>
      </c>
      <c r="Y2434" t="s">
        <v>158</v>
      </c>
      <c r="Z2434" t="s">
        <v>3177</v>
      </c>
      <c r="AA2434" t="s">
        <v>159</v>
      </c>
      <c r="AB2434" t="s">
        <v>63</v>
      </c>
      <c r="AC2434" t="s">
        <v>159</v>
      </c>
    </row>
    <row r="2435" spans="1:29">
      <c r="A2435" t="s">
        <v>2852</v>
      </c>
      <c r="B2435" s="2">
        <v>46194</v>
      </c>
      <c r="C2435" t="s">
        <v>30</v>
      </c>
      <c r="D2435" t="s">
        <v>74</v>
      </c>
      <c r="E2435" t="s">
        <v>50</v>
      </c>
      <c r="F2435" t="s">
        <v>351</v>
      </c>
      <c r="G2435" t="s">
        <v>343</v>
      </c>
      <c r="H2435" t="s">
        <v>53</v>
      </c>
      <c r="I2435" t="s">
        <v>787</v>
      </c>
      <c r="J2435" t="s">
        <v>3154</v>
      </c>
      <c r="K2435" t="s">
        <v>56</v>
      </c>
      <c r="L2435" t="s">
        <v>55</v>
      </c>
      <c r="M2435" t="s">
        <v>129</v>
      </c>
      <c r="N2435" t="s">
        <v>196</v>
      </c>
      <c r="O2435" s="4">
        <v>7</v>
      </c>
      <c r="P2435" s="4">
        <v>13</v>
      </c>
      <c r="Q2435" t="s">
        <v>69</v>
      </c>
      <c r="R2435" s="2">
        <v>46186</v>
      </c>
      <c r="S2435" s="4">
        <v>17</v>
      </c>
      <c r="T2435" s="3">
        <v>337000000</v>
      </c>
      <c r="U2435" t="s">
        <v>196</v>
      </c>
      <c r="V2435" t="s">
        <v>70</v>
      </c>
      <c r="W2435" t="s">
        <v>675</v>
      </c>
      <c r="Y2435" t="s">
        <v>244</v>
      </c>
      <c r="Z2435" t="s">
        <v>3181</v>
      </c>
      <c r="AA2435" t="s">
        <v>62</v>
      </c>
      <c r="AB2435" t="s">
        <v>199</v>
      </c>
      <c r="AC2435" t="s">
        <v>62</v>
      </c>
    </row>
    <row r="2436" spans="1:29">
      <c r="A2436" t="s">
        <v>2853</v>
      </c>
      <c r="B2436" s="2">
        <v>46185</v>
      </c>
      <c r="C2436" t="s">
        <v>30</v>
      </c>
      <c r="D2436" t="s">
        <v>99</v>
      </c>
      <c r="E2436" t="s">
        <v>50</v>
      </c>
      <c r="F2436" t="s">
        <v>51</v>
      </c>
      <c r="G2436" t="s">
        <v>234</v>
      </c>
      <c r="H2436" t="s">
        <v>53</v>
      </c>
      <c r="I2436" t="s">
        <v>235</v>
      </c>
      <c r="J2436" t="s">
        <v>3032</v>
      </c>
      <c r="K2436" t="s">
        <v>37</v>
      </c>
      <c r="L2436" t="s">
        <v>80</v>
      </c>
      <c r="M2436" t="s">
        <v>81</v>
      </c>
      <c r="N2436" t="s">
        <v>57</v>
      </c>
      <c r="O2436" s="4">
        <v>3</v>
      </c>
      <c r="P2436" s="4">
        <v>9</v>
      </c>
      <c r="Q2436" t="s">
        <v>41</v>
      </c>
      <c r="R2436" s="2">
        <v>46185</v>
      </c>
      <c r="S2436" s="4">
        <v>18</v>
      </c>
      <c r="T2436" s="3">
        <v>103000000</v>
      </c>
      <c r="U2436" t="s">
        <v>42</v>
      </c>
      <c r="V2436" t="s">
        <v>70</v>
      </c>
      <c r="W2436" t="s">
        <v>157</v>
      </c>
      <c r="Y2436" t="s">
        <v>61</v>
      </c>
      <c r="Z2436" t="s">
        <v>3177</v>
      </c>
      <c r="AA2436" t="s">
        <v>62</v>
      </c>
      <c r="AB2436" t="s">
        <v>63</v>
      </c>
      <c r="AC2436" t="s">
        <v>62</v>
      </c>
    </row>
    <row r="2437" spans="1:29">
      <c r="A2437" t="s">
        <v>2854</v>
      </c>
      <c r="B2437" s="2">
        <v>46201</v>
      </c>
      <c r="C2437" t="s">
        <v>30</v>
      </c>
      <c r="D2437" t="s">
        <v>49</v>
      </c>
      <c r="E2437" t="s">
        <v>172</v>
      </c>
      <c r="F2437" t="s">
        <v>173</v>
      </c>
      <c r="G2437" t="s">
        <v>174</v>
      </c>
      <c r="H2437" t="s">
        <v>241</v>
      </c>
      <c r="I2437" t="s">
        <v>457</v>
      </c>
      <c r="J2437" t="s">
        <v>3092</v>
      </c>
      <c r="K2437" t="s">
        <v>37</v>
      </c>
      <c r="L2437" t="s">
        <v>80</v>
      </c>
      <c r="M2437" t="s">
        <v>106</v>
      </c>
      <c r="N2437" t="s">
        <v>57</v>
      </c>
      <c r="O2437" s="4">
        <v>3</v>
      </c>
      <c r="P2437" s="4">
        <v>4</v>
      </c>
      <c r="Q2437" t="s">
        <v>69</v>
      </c>
      <c r="R2437" s="2">
        <v>46192</v>
      </c>
      <c r="S2437" s="4">
        <v>11</v>
      </c>
      <c r="T2437" s="3">
        <v>96000000</v>
      </c>
      <c r="U2437" t="s">
        <v>42</v>
      </c>
      <c r="V2437" t="s">
        <v>59</v>
      </c>
      <c r="W2437" t="s">
        <v>203</v>
      </c>
      <c r="Y2437" t="s">
        <v>61</v>
      </c>
      <c r="Z2437" t="s">
        <v>3177</v>
      </c>
      <c r="AA2437" t="s">
        <v>181</v>
      </c>
      <c r="AB2437" t="s">
        <v>63</v>
      </c>
      <c r="AC2437" t="s">
        <v>181</v>
      </c>
    </row>
    <row r="2438" spans="1:29">
      <c r="A2438" t="s">
        <v>2855</v>
      </c>
      <c r="B2438" s="2">
        <v>46191</v>
      </c>
      <c r="C2438" t="s">
        <v>30</v>
      </c>
      <c r="D2438" t="s">
        <v>74</v>
      </c>
      <c r="E2438" t="s">
        <v>100</v>
      </c>
      <c r="F2438" t="s">
        <v>101</v>
      </c>
      <c r="G2438" t="s">
        <v>237</v>
      </c>
      <c r="H2438" t="s">
        <v>148</v>
      </c>
      <c r="I2438" t="s">
        <v>315</v>
      </c>
      <c r="J2438" t="s">
        <v>3049</v>
      </c>
      <c r="K2438" t="s">
        <v>37</v>
      </c>
      <c r="L2438" t="s">
        <v>187</v>
      </c>
      <c r="M2438" t="s">
        <v>93</v>
      </c>
      <c r="N2438" t="s">
        <v>57</v>
      </c>
      <c r="O2438" s="4">
        <v>3</v>
      </c>
      <c r="P2438" s="4">
        <v>15</v>
      </c>
      <c r="Q2438" t="s">
        <v>41</v>
      </c>
      <c r="R2438" s="2">
        <v>46182</v>
      </c>
      <c r="S2438" s="4">
        <v>21</v>
      </c>
      <c r="T2438" s="3">
        <v>117000000</v>
      </c>
      <c r="U2438" t="s">
        <v>177</v>
      </c>
      <c r="V2438" t="s">
        <v>59</v>
      </c>
      <c r="W2438" t="s">
        <v>60</v>
      </c>
      <c r="X2438" t="s">
        <v>422</v>
      </c>
      <c r="Y2438" t="s">
        <v>158</v>
      </c>
      <c r="Z2438" t="s">
        <v>3180</v>
      </c>
      <c r="AA2438" t="s">
        <v>109</v>
      </c>
      <c r="AB2438" t="s">
        <v>193</v>
      </c>
      <c r="AC2438" t="s">
        <v>109</v>
      </c>
    </row>
    <row r="2439" spans="1:29">
      <c r="A2439" t="s">
        <v>2856</v>
      </c>
      <c r="B2439" s="2">
        <v>46181</v>
      </c>
      <c r="C2439" t="s">
        <v>30</v>
      </c>
      <c r="D2439" t="s">
        <v>99</v>
      </c>
      <c r="E2439" t="s">
        <v>111</v>
      </c>
      <c r="F2439" t="s">
        <v>190</v>
      </c>
      <c r="G2439" t="s">
        <v>126</v>
      </c>
      <c r="H2439" t="s">
        <v>127</v>
      </c>
      <c r="I2439" t="s">
        <v>734</v>
      </c>
      <c r="J2439" t="s">
        <v>3150</v>
      </c>
      <c r="K2439" t="s">
        <v>37</v>
      </c>
      <c r="L2439" t="s">
        <v>187</v>
      </c>
      <c r="M2439" t="s">
        <v>164</v>
      </c>
      <c r="N2439" t="s">
        <v>213</v>
      </c>
      <c r="O2439" s="4">
        <v>6</v>
      </c>
      <c r="P2439" s="4">
        <v>12</v>
      </c>
      <c r="Q2439" t="s">
        <v>83</v>
      </c>
      <c r="R2439" s="2">
        <v>46178</v>
      </c>
      <c r="S2439" s="4">
        <v>25</v>
      </c>
      <c r="T2439" s="3">
        <v>90000000</v>
      </c>
      <c r="U2439" t="s">
        <v>214</v>
      </c>
      <c r="V2439" t="s">
        <v>70</v>
      </c>
      <c r="W2439" t="s">
        <v>390</v>
      </c>
      <c r="Y2439" t="s">
        <v>424</v>
      </c>
      <c r="Z2439" t="s">
        <v>3179</v>
      </c>
      <c r="AA2439" t="s">
        <v>118</v>
      </c>
      <c r="AB2439" t="s">
        <v>97</v>
      </c>
      <c r="AC2439" t="s">
        <v>118</v>
      </c>
    </row>
    <row r="2440" spans="1:29">
      <c r="A2440" t="s">
        <v>2857</v>
      </c>
      <c r="B2440" s="2">
        <v>46182</v>
      </c>
      <c r="C2440" t="s">
        <v>30</v>
      </c>
      <c r="D2440" t="s">
        <v>99</v>
      </c>
      <c r="E2440" t="s">
        <v>75</v>
      </c>
      <c r="F2440" t="s">
        <v>183</v>
      </c>
      <c r="G2440" t="s">
        <v>184</v>
      </c>
      <c r="H2440" t="s">
        <v>185</v>
      </c>
      <c r="I2440" t="s">
        <v>354</v>
      </c>
      <c r="J2440" t="s">
        <v>3061</v>
      </c>
      <c r="K2440" t="s">
        <v>116</v>
      </c>
      <c r="L2440" t="s">
        <v>150</v>
      </c>
      <c r="M2440" t="s">
        <v>93</v>
      </c>
      <c r="N2440" t="s">
        <v>82</v>
      </c>
      <c r="O2440" s="4">
        <v>1</v>
      </c>
      <c r="P2440" s="4">
        <v>9</v>
      </c>
      <c r="Q2440" t="s">
        <v>138</v>
      </c>
      <c r="R2440" s="2">
        <v>46179</v>
      </c>
      <c r="S2440" s="4">
        <v>24</v>
      </c>
      <c r="T2440" s="3">
        <v>115000000</v>
      </c>
      <c r="U2440" t="s">
        <v>42</v>
      </c>
      <c r="V2440" t="s">
        <v>43</v>
      </c>
      <c r="W2440" t="s">
        <v>359</v>
      </c>
      <c r="Y2440" t="s">
        <v>85</v>
      </c>
      <c r="Z2440" t="s">
        <v>3178</v>
      </c>
      <c r="AA2440" t="s">
        <v>86</v>
      </c>
      <c r="AB2440" t="s">
        <v>87</v>
      </c>
      <c r="AC2440" t="s">
        <v>86</v>
      </c>
    </row>
    <row r="2441" spans="1:29">
      <c r="A2441" t="s">
        <v>2858</v>
      </c>
      <c r="B2441" s="2">
        <v>46180</v>
      </c>
      <c r="C2441" t="s">
        <v>30</v>
      </c>
      <c r="D2441" t="s">
        <v>134</v>
      </c>
      <c r="E2441" t="s">
        <v>75</v>
      </c>
      <c r="F2441" t="s">
        <v>183</v>
      </c>
      <c r="G2441" t="s">
        <v>387</v>
      </c>
      <c r="H2441" t="s">
        <v>185</v>
      </c>
      <c r="I2441" t="s">
        <v>354</v>
      </c>
      <c r="J2441" t="s">
        <v>3061</v>
      </c>
      <c r="K2441" t="s">
        <v>92</v>
      </c>
      <c r="L2441" t="s">
        <v>80</v>
      </c>
      <c r="M2441" t="s">
        <v>129</v>
      </c>
      <c r="N2441" t="s">
        <v>94</v>
      </c>
      <c r="O2441" s="4">
        <v>4</v>
      </c>
      <c r="P2441" s="4">
        <v>6</v>
      </c>
      <c r="Q2441" t="s">
        <v>138</v>
      </c>
      <c r="R2441" s="2">
        <v>46176</v>
      </c>
      <c r="S2441" s="4">
        <v>27</v>
      </c>
      <c r="T2441" s="3">
        <v>142000000</v>
      </c>
      <c r="U2441" t="s">
        <v>42</v>
      </c>
      <c r="V2441" t="s">
        <v>59</v>
      </c>
      <c r="W2441" t="s">
        <v>188</v>
      </c>
      <c r="Y2441" t="s">
        <v>228</v>
      </c>
      <c r="Z2441" t="s">
        <v>3179</v>
      </c>
      <c r="AA2441" t="s">
        <v>86</v>
      </c>
      <c r="AB2441" t="s">
        <v>97</v>
      </c>
      <c r="AC2441" t="s">
        <v>86</v>
      </c>
    </row>
    <row r="2442" spans="1:29">
      <c r="A2442" t="s">
        <v>2859</v>
      </c>
      <c r="B2442" s="2">
        <v>46186</v>
      </c>
      <c r="C2442" t="s">
        <v>30</v>
      </c>
      <c r="D2442" t="s">
        <v>99</v>
      </c>
      <c r="E2442" t="s">
        <v>172</v>
      </c>
      <c r="F2442" t="s">
        <v>277</v>
      </c>
      <c r="G2442" t="s">
        <v>338</v>
      </c>
      <c r="H2442" t="s">
        <v>317</v>
      </c>
      <c r="I2442" t="s">
        <v>478</v>
      </c>
      <c r="J2442" t="s">
        <v>3099</v>
      </c>
      <c r="K2442" t="s">
        <v>116</v>
      </c>
      <c r="L2442" t="s">
        <v>80</v>
      </c>
      <c r="M2442" t="s">
        <v>93</v>
      </c>
      <c r="N2442" t="s">
        <v>40</v>
      </c>
      <c r="O2442" s="4">
        <v>2</v>
      </c>
      <c r="P2442" s="4">
        <v>5</v>
      </c>
      <c r="Q2442" t="s">
        <v>69</v>
      </c>
      <c r="R2442" s="2">
        <v>46183</v>
      </c>
      <c r="S2442" s="4">
        <v>20</v>
      </c>
      <c r="T2442" s="3">
        <v>102000000</v>
      </c>
      <c r="U2442" t="s">
        <v>42</v>
      </c>
      <c r="V2442" t="s">
        <v>43</v>
      </c>
      <c r="W2442" t="s">
        <v>239</v>
      </c>
      <c r="Y2442" t="s">
        <v>281</v>
      </c>
      <c r="Z2442" t="s">
        <v>3178</v>
      </c>
      <c r="AA2442" t="s">
        <v>181</v>
      </c>
      <c r="AB2442" t="s">
        <v>87</v>
      </c>
      <c r="AC2442" t="s">
        <v>181</v>
      </c>
    </row>
    <row r="2443" spans="1:29">
      <c r="A2443" t="s">
        <v>2860</v>
      </c>
      <c r="B2443" s="2">
        <v>46174</v>
      </c>
      <c r="C2443" t="s">
        <v>30</v>
      </c>
      <c r="D2443" t="s">
        <v>134</v>
      </c>
      <c r="E2443" t="s">
        <v>111</v>
      </c>
      <c r="F2443" t="s">
        <v>264</v>
      </c>
      <c r="G2443" t="s">
        <v>251</v>
      </c>
      <c r="H2443" t="s">
        <v>127</v>
      </c>
      <c r="I2443" t="s">
        <v>311</v>
      </c>
      <c r="J2443" t="s">
        <v>3048</v>
      </c>
      <c r="K2443" t="s">
        <v>56</v>
      </c>
      <c r="L2443" t="s">
        <v>68</v>
      </c>
      <c r="M2443" t="s">
        <v>164</v>
      </c>
      <c r="N2443" t="s">
        <v>57</v>
      </c>
      <c r="O2443" s="4">
        <v>3</v>
      </c>
      <c r="P2443" s="4">
        <v>12</v>
      </c>
      <c r="Q2443" t="s">
        <v>69</v>
      </c>
      <c r="R2443" s="2">
        <v>46165</v>
      </c>
      <c r="S2443" s="4">
        <v>38</v>
      </c>
      <c r="T2443" s="3">
        <v>173000000</v>
      </c>
      <c r="U2443" t="s">
        <v>42</v>
      </c>
      <c r="V2443" t="s">
        <v>43</v>
      </c>
      <c r="W2443" t="s">
        <v>157</v>
      </c>
      <c r="Y2443" t="s">
        <v>165</v>
      </c>
      <c r="Z2443" t="s">
        <v>3180</v>
      </c>
      <c r="AA2443" t="s">
        <v>118</v>
      </c>
      <c r="AB2443" t="s">
        <v>193</v>
      </c>
      <c r="AC2443" t="s">
        <v>118</v>
      </c>
    </row>
    <row r="2444" spans="1:29">
      <c r="A2444" t="s">
        <v>2861</v>
      </c>
      <c r="B2444" s="2">
        <v>46199</v>
      </c>
      <c r="C2444" t="s">
        <v>30</v>
      </c>
      <c r="D2444" t="s">
        <v>49</v>
      </c>
      <c r="E2444" t="s">
        <v>172</v>
      </c>
      <c r="F2444" t="s">
        <v>277</v>
      </c>
      <c r="G2444" t="s">
        <v>338</v>
      </c>
      <c r="H2444" t="s">
        <v>175</v>
      </c>
      <c r="I2444" t="s">
        <v>516</v>
      </c>
      <c r="J2444" t="s">
        <v>3108</v>
      </c>
      <c r="K2444" t="s">
        <v>56</v>
      </c>
      <c r="L2444" t="s">
        <v>80</v>
      </c>
      <c r="M2444" t="s">
        <v>56</v>
      </c>
      <c r="N2444" t="s">
        <v>57</v>
      </c>
      <c r="O2444" s="4">
        <v>3</v>
      </c>
      <c r="P2444" s="4">
        <v>4</v>
      </c>
      <c r="Q2444" t="s">
        <v>107</v>
      </c>
      <c r="R2444" s="2">
        <v>46198</v>
      </c>
      <c r="S2444" s="4">
        <v>5</v>
      </c>
      <c r="T2444" s="3">
        <v>426000000</v>
      </c>
      <c r="U2444" t="s">
        <v>42</v>
      </c>
      <c r="V2444" t="s">
        <v>43</v>
      </c>
      <c r="W2444" t="s">
        <v>203</v>
      </c>
      <c r="Y2444" t="s">
        <v>72</v>
      </c>
      <c r="Z2444" t="s">
        <v>3177</v>
      </c>
      <c r="AA2444" t="s">
        <v>181</v>
      </c>
      <c r="AB2444" t="s">
        <v>63</v>
      </c>
      <c r="AC2444" t="s">
        <v>181</v>
      </c>
    </row>
    <row r="2445" spans="1:29">
      <c r="A2445" t="s">
        <v>2862</v>
      </c>
      <c r="B2445" s="2">
        <v>46187</v>
      </c>
      <c r="C2445" t="s">
        <v>30</v>
      </c>
      <c r="D2445" t="s">
        <v>99</v>
      </c>
      <c r="E2445" t="s">
        <v>100</v>
      </c>
      <c r="F2445" t="s">
        <v>101</v>
      </c>
      <c r="G2445" t="s">
        <v>212</v>
      </c>
      <c r="H2445" t="s">
        <v>201</v>
      </c>
      <c r="I2445" t="s">
        <v>238</v>
      </c>
      <c r="J2445" t="s">
        <v>3033</v>
      </c>
      <c r="K2445" t="s">
        <v>56</v>
      </c>
      <c r="L2445" t="s">
        <v>68</v>
      </c>
      <c r="M2445" t="s">
        <v>81</v>
      </c>
      <c r="N2445" t="s">
        <v>57</v>
      </c>
      <c r="O2445" s="4">
        <v>3</v>
      </c>
      <c r="P2445" s="4">
        <v>15</v>
      </c>
      <c r="Q2445" t="s">
        <v>83</v>
      </c>
      <c r="R2445" s="2">
        <v>46180</v>
      </c>
      <c r="S2445" s="4">
        <v>23</v>
      </c>
      <c r="T2445" s="3">
        <v>338000000</v>
      </c>
      <c r="U2445" t="s">
        <v>42</v>
      </c>
      <c r="V2445" t="s">
        <v>43</v>
      </c>
      <c r="W2445" t="s">
        <v>157</v>
      </c>
      <c r="Y2445" t="s">
        <v>165</v>
      </c>
      <c r="Z2445" t="s">
        <v>3180</v>
      </c>
      <c r="AA2445" t="s">
        <v>109</v>
      </c>
      <c r="AB2445" t="s">
        <v>193</v>
      </c>
      <c r="AC2445" t="s">
        <v>109</v>
      </c>
    </row>
    <row r="2446" spans="1:29">
      <c r="A2446" t="s">
        <v>2863</v>
      </c>
      <c r="B2446" s="2">
        <v>46185</v>
      </c>
      <c r="C2446" t="s">
        <v>30</v>
      </c>
      <c r="D2446" t="s">
        <v>99</v>
      </c>
      <c r="E2446" t="s">
        <v>32</v>
      </c>
      <c r="F2446" t="s">
        <v>33</v>
      </c>
      <c r="G2446" t="s">
        <v>361</v>
      </c>
      <c r="H2446" t="s">
        <v>303</v>
      </c>
      <c r="I2446" t="s">
        <v>487</v>
      </c>
      <c r="J2446" t="s">
        <v>3102</v>
      </c>
      <c r="K2446" t="s">
        <v>37</v>
      </c>
      <c r="L2446" t="s">
        <v>187</v>
      </c>
      <c r="M2446" t="s">
        <v>129</v>
      </c>
      <c r="N2446" t="s">
        <v>40</v>
      </c>
      <c r="O2446" s="4">
        <v>2</v>
      </c>
      <c r="P2446" s="4">
        <v>3</v>
      </c>
      <c r="Q2446" t="s">
        <v>138</v>
      </c>
      <c r="R2446" s="2">
        <v>46182</v>
      </c>
      <c r="S2446" s="4">
        <v>21</v>
      </c>
      <c r="T2446" s="3">
        <v>257000000</v>
      </c>
      <c r="U2446" t="s">
        <v>42</v>
      </c>
      <c r="V2446" t="s">
        <v>59</v>
      </c>
      <c r="W2446" t="s">
        <v>239</v>
      </c>
      <c r="Y2446" t="s">
        <v>281</v>
      </c>
      <c r="Z2446" t="s">
        <v>3176</v>
      </c>
      <c r="AA2446" t="s">
        <v>46</v>
      </c>
      <c r="AB2446" t="s">
        <v>47</v>
      </c>
      <c r="AC2446" t="s">
        <v>46</v>
      </c>
    </row>
    <row r="2447" spans="1:29">
      <c r="A2447" t="s">
        <v>2864</v>
      </c>
      <c r="B2447" s="2">
        <v>46193</v>
      </c>
      <c r="C2447" t="s">
        <v>30</v>
      </c>
      <c r="D2447" t="s">
        <v>74</v>
      </c>
      <c r="E2447" t="s">
        <v>100</v>
      </c>
      <c r="F2447" t="s">
        <v>101</v>
      </c>
      <c r="G2447" t="s">
        <v>147</v>
      </c>
      <c r="H2447" t="s">
        <v>148</v>
      </c>
      <c r="I2447" t="s">
        <v>724</v>
      </c>
      <c r="J2447" t="s">
        <v>3148</v>
      </c>
      <c r="K2447" t="s">
        <v>105</v>
      </c>
      <c r="L2447" t="s">
        <v>38</v>
      </c>
      <c r="M2447" t="s">
        <v>81</v>
      </c>
      <c r="N2447" t="s">
        <v>130</v>
      </c>
      <c r="O2447" s="4">
        <v>5</v>
      </c>
      <c r="P2447" s="4">
        <v>11</v>
      </c>
      <c r="Q2447" t="s">
        <v>69</v>
      </c>
      <c r="R2447" s="2">
        <v>46185</v>
      </c>
      <c r="S2447" s="4">
        <v>18</v>
      </c>
      <c r="T2447" s="3">
        <v>131000000</v>
      </c>
      <c r="U2447" t="s">
        <v>42</v>
      </c>
      <c r="V2447" t="s">
        <v>70</v>
      </c>
      <c r="W2447" t="s">
        <v>252</v>
      </c>
      <c r="Y2447" t="s">
        <v>334</v>
      </c>
      <c r="Z2447" t="s">
        <v>3179</v>
      </c>
      <c r="AA2447" t="s">
        <v>109</v>
      </c>
      <c r="AB2447" t="s">
        <v>97</v>
      </c>
      <c r="AC2447" t="s">
        <v>109</v>
      </c>
    </row>
    <row r="2448" spans="1:29">
      <c r="A2448" t="s">
        <v>2865</v>
      </c>
      <c r="B2448" s="2">
        <v>46196</v>
      </c>
      <c r="C2448" t="s">
        <v>30</v>
      </c>
      <c r="D2448" t="s">
        <v>49</v>
      </c>
      <c r="E2448" t="s">
        <v>100</v>
      </c>
      <c r="F2448" t="s">
        <v>146</v>
      </c>
      <c r="G2448" t="s">
        <v>147</v>
      </c>
      <c r="H2448" t="s">
        <v>148</v>
      </c>
      <c r="I2448" t="s">
        <v>315</v>
      </c>
      <c r="J2448" t="s">
        <v>3049</v>
      </c>
      <c r="K2448" t="s">
        <v>37</v>
      </c>
      <c r="L2448" t="s">
        <v>68</v>
      </c>
      <c r="M2448" t="s">
        <v>106</v>
      </c>
      <c r="N2448" t="s">
        <v>196</v>
      </c>
      <c r="O2448" s="4">
        <v>7</v>
      </c>
      <c r="P2448" s="4">
        <v>15</v>
      </c>
      <c r="Q2448" t="s">
        <v>107</v>
      </c>
      <c r="R2448" s="2">
        <v>46194</v>
      </c>
      <c r="S2448" s="4">
        <v>9</v>
      </c>
      <c r="T2448" s="3">
        <v>147000000</v>
      </c>
      <c r="U2448" t="s">
        <v>196</v>
      </c>
      <c r="V2448" t="s">
        <v>70</v>
      </c>
      <c r="W2448" t="s">
        <v>197</v>
      </c>
      <c r="Y2448" t="s">
        <v>369</v>
      </c>
      <c r="Z2448" t="s">
        <v>3181</v>
      </c>
      <c r="AA2448" t="s">
        <v>109</v>
      </c>
      <c r="AB2448" t="s">
        <v>199</v>
      </c>
      <c r="AC2448" t="s">
        <v>109</v>
      </c>
    </row>
    <row r="2449" spans="1:29">
      <c r="A2449" t="s">
        <v>2866</v>
      </c>
      <c r="B2449" s="2">
        <v>46183</v>
      </c>
      <c r="C2449" t="s">
        <v>30</v>
      </c>
      <c r="D2449" t="s">
        <v>99</v>
      </c>
      <c r="E2449" t="s">
        <v>75</v>
      </c>
      <c r="F2449" t="s">
        <v>161</v>
      </c>
      <c r="G2449" t="s">
        <v>184</v>
      </c>
      <c r="H2449" t="s">
        <v>388</v>
      </c>
      <c r="I2449" t="s">
        <v>389</v>
      </c>
      <c r="J2449" t="s">
        <v>3071</v>
      </c>
      <c r="K2449" t="s">
        <v>37</v>
      </c>
      <c r="L2449" t="s">
        <v>187</v>
      </c>
      <c r="M2449" t="s">
        <v>39</v>
      </c>
      <c r="N2449" t="s">
        <v>40</v>
      </c>
      <c r="O2449" s="4">
        <v>2</v>
      </c>
      <c r="P2449" s="4">
        <v>6</v>
      </c>
      <c r="Q2449" t="s">
        <v>142</v>
      </c>
      <c r="R2449" s="2">
        <v>46178</v>
      </c>
      <c r="S2449" s="4">
        <v>25</v>
      </c>
      <c r="T2449" s="3">
        <v>195000000</v>
      </c>
      <c r="U2449" t="s">
        <v>177</v>
      </c>
      <c r="V2449" t="s">
        <v>43</v>
      </c>
      <c r="W2449" t="s">
        <v>298</v>
      </c>
      <c r="X2449" t="s">
        <v>179</v>
      </c>
      <c r="Y2449" t="s">
        <v>309</v>
      </c>
      <c r="Z2449" t="s">
        <v>3178</v>
      </c>
      <c r="AA2449" t="s">
        <v>86</v>
      </c>
      <c r="AB2449" t="s">
        <v>87</v>
      </c>
      <c r="AC2449" t="s">
        <v>86</v>
      </c>
    </row>
    <row r="2450" spans="1:29">
      <c r="A2450" t="s">
        <v>2867</v>
      </c>
      <c r="B2450" s="2">
        <v>46198</v>
      </c>
      <c r="C2450" t="s">
        <v>30</v>
      </c>
      <c r="D2450" t="s">
        <v>49</v>
      </c>
      <c r="E2450" t="s">
        <v>32</v>
      </c>
      <c r="F2450" t="s">
        <v>33</v>
      </c>
      <c r="G2450" t="s">
        <v>257</v>
      </c>
      <c r="H2450" t="s">
        <v>35</v>
      </c>
      <c r="I2450" t="s">
        <v>323</v>
      </c>
      <c r="J2450" t="s">
        <v>3052</v>
      </c>
      <c r="K2450" t="s">
        <v>56</v>
      </c>
      <c r="L2450" t="s">
        <v>55</v>
      </c>
      <c r="M2450" t="s">
        <v>81</v>
      </c>
      <c r="N2450" t="s">
        <v>40</v>
      </c>
      <c r="O2450" s="4">
        <v>2</v>
      </c>
      <c r="P2450" s="4">
        <v>2</v>
      </c>
      <c r="Q2450" t="s">
        <v>41</v>
      </c>
      <c r="R2450" s="2">
        <v>46193</v>
      </c>
      <c r="S2450" s="4">
        <v>10</v>
      </c>
      <c r="T2450" s="3">
        <v>218000000</v>
      </c>
      <c r="U2450" t="s">
        <v>42</v>
      </c>
      <c r="V2450" t="s">
        <v>59</v>
      </c>
      <c r="W2450" t="s">
        <v>239</v>
      </c>
      <c r="Y2450" t="s">
        <v>45</v>
      </c>
      <c r="Z2450" t="s">
        <v>3176</v>
      </c>
      <c r="AA2450" t="s">
        <v>46</v>
      </c>
      <c r="AB2450" t="s">
        <v>47</v>
      </c>
      <c r="AC2450" t="s">
        <v>46</v>
      </c>
    </row>
    <row r="2451" spans="1:29">
      <c r="A2451" t="s">
        <v>2868</v>
      </c>
      <c r="B2451" s="2">
        <v>46199</v>
      </c>
      <c r="C2451" t="s">
        <v>30</v>
      </c>
      <c r="D2451" t="s">
        <v>49</v>
      </c>
      <c r="E2451" t="s">
        <v>75</v>
      </c>
      <c r="F2451" t="s">
        <v>183</v>
      </c>
      <c r="G2451" t="s">
        <v>230</v>
      </c>
      <c r="H2451" t="s">
        <v>388</v>
      </c>
      <c r="I2451" t="s">
        <v>409</v>
      </c>
      <c r="J2451" t="s">
        <v>3076</v>
      </c>
      <c r="K2451" t="s">
        <v>105</v>
      </c>
      <c r="L2451" t="s">
        <v>68</v>
      </c>
      <c r="M2451" t="s">
        <v>129</v>
      </c>
      <c r="N2451" t="s">
        <v>94</v>
      </c>
      <c r="O2451" s="4">
        <v>4</v>
      </c>
      <c r="P2451" s="4">
        <v>10</v>
      </c>
      <c r="Q2451" t="s">
        <v>107</v>
      </c>
      <c r="R2451" s="2">
        <v>46198</v>
      </c>
      <c r="S2451" s="4">
        <v>5</v>
      </c>
      <c r="T2451" s="3">
        <v>70000000</v>
      </c>
      <c r="U2451" t="s">
        <v>426</v>
      </c>
      <c r="V2451" t="s">
        <v>59</v>
      </c>
      <c r="W2451" t="s">
        <v>267</v>
      </c>
      <c r="X2451" t="s">
        <v>520</v>
      </c>
      <c r="Y2451" t="s">
        <v>108</v>
      </c>
      <c r="Z2451" t="s">
        <v>3179</v>
      </c>
      <c r="AA2451" t="s">
        <v>86</v>
      </c>
      <c r="AB2451" t="s">
        <v>97</v>
      </c>
      <c r="AC2451" t="s">
        <v>86</v>
      </c>
    </row>
    <row r="2452" spans="1:29">
      <c r="A2452" t="s">
        <v>2869</v>
      </c>
      <c r="B2452" s="2">
        <v>46178</v>
      </c>
      <c r="C2452" t="s">
        <v>30</v>
      </c>
      <c r="D2452" t="s">
        <v>134</v>
      </c>
      <c r="E2452" t="s">
        <v>50</v>
      </c>
      <c r="F2452" t="s">
        <v>351</v>
      </c>
      <c r="G2452" t="s">
        <v>52</v>
      </c>
      <c r="H2452" t="s">
        <v>66</v>
      </c>
      <c r="I2452" t="s">
        <v>849</v>
      </c>
      <c r="J2452" t="s">
        <v>3162</v>
      </c>
      <c r="K2452" t="s">
        <v>37</v>
      </c>
      <c r="L2452" t="s">
        <v>38</v>
      </c>
      <c r="M2452" t="s">
        <v>81</v>
      </c>
      <c r="N2452" t="s">
        <v>57</v>
      </c>
      <c r="O2452" s="4">
        <v>3</v>
      </c>
      <c r="P2452" s="4">
        <v>6</v>
      </c>
      <c r="Q2452" t="s">
        <v>41</v>
      </c>
      <c r="R2452" s="2">
        <v>46172</v>
      </c>
      <c r="S2452" s="4">
        <v>31</v>
      </c>
      <c r="T2452" s="3">
        <v>209000000</v>
      </c>
      <c r="U2452" t="s">
        <v>42</v>
      </c>
      <c r="V2452" t="s">
        <v>43</v>
      </c>
      <c r="W2452" t="s">
        <v>203</v>
      </c>
      <c r="Y2452" t="s">
        <v>165</v>
      </c>
      <c r="Z2452" t="s">
        <v>3177</v>
      </c>
      <c r="AA2452" t="s">
        <v>62</v>
      </c>
      <c r="AB2452" t="s">
        <v>63</v>
      </c>
      <c r="AC2452" t="s">
        <v>62</v>
      </c>
    </row>
    <row r="2453" spans="1:29">
      <c r="A2453" t="s">
        <v>2870</v>
      </c>
      <c r="B2453" s="2">
        <v>46175</v>
      </c>
      <c r="C2453" t="s">
        <v>30</v>
      </c>
      <c r="D2453" t="s">
        <v>134</v>
      </c>
      <c r="E2453" t="s">
        <v>50</v>
      </c>
      <c r="F2453" t="s">
        <v>51</v>
      </c>
      <c r="G2453" t="s">
        <v>270</v>
      </c>
      <c r="H2453" t="s">
        <v>90</v>
      </c>
      <c r="I2453" t="s">
        <v>91</v>
      </c>
      <c r="J2453" t="s">
        <v>3012</v>
      </c>
      <c r="K2453" t="s">
        <v>37</v>
      </c>
      <c r="L2453" t="s">
        <v>38</v>
      </c>
      <c r="M2453" t="s">
        <v>81</v>
      </c>
      <c r="N2453" t="s">
        <v>196</v>
      </c>
      <c r="O2453" s="4">
        <v>7</v>
      </c>
      <c r="P2453" s="4">
        <v>11</v>
      </c>
      <c r="Q2453" t="s">
        <v>83</v>
      </c>
      <c r="R2453" s="2">
        <v>46166</v>
      </c>
      <c r="S2453" s="4">
        <v>37</v>
      </c>
      <c r="T2453" s="3">
        <v>262000000</v>
      </c>
      <c r="U2453" t="s">
        <v>196</v>
      </c>
      <c r="V2453" t="s">
        <v>70</v>
      </c>
      <c r="W2453" t="s">
        <v>243</v>
      </c>
      <c r="Y2453" t="s">
        <v>369</v>
      </c>
      <c r="Z2453" t="s">
        <v>3181</v>
      </c>
      <c r="AA2453" t="s">
        <v>62</v>
      </c>
      <c r="AB2453" t="s">
        <v>199</v>
      </c>
      <c r="AC2453" t="s">
        <v>62</v>
      </c>
    </row>
    <row r="2454" spans="1:29">
      <c r="A2454" t="s">
        <v>2871</v>
      </c>
      <c r="B2454" s="2">
        <v>46198</v>
      </c>
      <c r="C2454" t="s">
        <v>30</v>
      </c>
      <c r="D2454" t="s">
        <v>49</v>
      </c>
      <c r="E2454" t="s">
        <v>32</v>
      </c>
      <c r="F2454" t="s">
        <v>256</v>
      </c>
      <c r="G2454" t="s">
        <v>257</v>
      </c>
      <c r="H2454" t="s">
        <v>35</v>
      </c>
      <c r="I2454" t="s">
        <v>604</v>
      </c>
      <c r="J2454" t="s">
        <v>3130</v>
      </c>
      <c r="K2454" t="s">
        <v>56</v>
      </c>
      <c r="L2454" t="s">
        <v>150</v>
      </c>
      <c r="M2454" t="s">
        <v>93</v>
      </c>
      <c r="N2454" t="s">
        <v>57</v>
      </c>
      <c r="O2454" s="4">
        <v>3</v>
      </c>
      <c r="P2454" s="4">
        <v>2</v>
      </c>
      <c r="Q2454" t="s">
        <v>69</v>
      </c>
      <c r="R2454" s="2">
        <v>46189</v>
      </c>
      <c r="S2454" s="4">
        <v>14</v>
      </c>
      <c r="T2454" s="3">
        <v>411000000</v>
      </c>
      <c r="U2454" t="s">
        <v>42</v>
      </c>
      <c r="V2454" t="s">
        <v>59</v>
      </c>
      <c r="W2454" t="s">
        <v>157</v>
      </c>
      <c r="Y2454" t="s">
        <v>158</v>
      </c>
      <c r="Z2454" t="s">
        <v>3177</v>
      </c>
      <c r="AA2454" t="s">
        <v>46</v>
      </c>
      <c r="AB2454" t="s">
        <v>63</v>
      </c>
      <c r="AC2454" t="s">
        <v>46</v>
      </c>
    </row>
    <row r="2455" spans="1:29">
      <c r="A2455" t="s">
        <v>2872</v>
      </c>
      <c r="B2455" s="2">
        <v>46197</v>
      </c>
      <c r="C2455" t="s">
        <v>30</v>
      </c>
      <c r="D2455" t="s">
        <v>49</v>
      </c>
      <c r="E2455" t="s">
        <v>50</v>
      </c>
      <c r="F2455" t="s">
        <v>89</v>
      </c>
      <c r="G2455" t="s">
        <v>343</v>
      </c>
      <c r="H2455" t="s">
        <v>53</v>
      </c>
      <c r="I2455" t="s">
        <v>373</v>
      </c>
      <c r="J2455" t="s">
        <v>3066</v>
      </c>
      <c r="K2455" t="s">
        <v>105</v>
      </c>
      <c r="L2455" t="s">
        <v>187</v>
      </c>
      <c r="M2455" t="s">
        <v>93</v>
      </c>
      <c r="N2455" t="s">
        <v>213</v>
      </c>
      <c r="O2455" s="4">
        <v>6</v>
      </c>
      <c r="P2455" s="4">
        <v>12</v>
      </c>
      <c r="Q2455" t="s">
        <v>41</v>
      </c>
      <c r="R2455" s="2">
        <v>46187</v>
      </c>
      <c r="S2455" s="4">
        <v>16</v>
      </c>
      <c r="T2455" s="3">
        <v>158000000</v>
      </c>
      <c r="U2455" t="s">
        <v>214</v>
      </c>
      <c r="V2455" t="s">
        <v>70</v>
      </c>
      <c r="W2455" t="s">
        <v>438</v>
      </c>
      <c r="Y2455" t="s">
        <v>432</v>
      </c>
      <c r="Z2455" t="s">
        <v>3179</v>
      </c>
      <c r="AA2455" t="s">
        <v>62</v>
      </c>
      <c r="AB2455" t="s">
        <v>97</v>
      </c>
      <c r="AC2455" t="s">
        <v>62</v>
      </c>
    </row>
    <row r="2456" spans="1:29">
      <c r="A2456" t="s">
        <v>2873</v>
      </c>
      <c r="B2456" s="2">
        <v>46178</v>
      </c>
      <c r="C2456" t="s">
        <v>30</v>
      </c>
      <c r="D2456" t="s">
        <v>134</v>
      </c>
      <c r="E2456" t="s">
        <v>50</v>
      </c>
      <c r="F2456" t="s">
        <v>351</v>
      </c>
      <c r="G2456" t="s">
        <v>65</v>
      </c>
      <c r="H2456" t="s">
        <v>66</v>
      </c>
      <c r="I2456" t="s">
        <v>280</v>
      </c>
      <c r="J2456" t="s">
        <v>3040</v>
      </c>
      <c r="K2456" t="s">
        <v>105</v>
      </c>
      <c r="L2456" t="s">
        <v>187</v>
      </c>
      <c r="M2456" t="s">
        <v>129</v>
      </c>
      <c r="N2456" t="s">
        <v>196</v>
      </c>
      <c r="O2456" s="4">
        <v>7</v>
      </c>
      <c r="P2456" s="4">
        <v>22</v>
      </c>
      <c r="Q2456" t="s">
        <v>138</v>
      </c>
      <c r="R2456" s="2">
        <v>46174</v>
      </c>
      <c r="S2456" s="4">
        <v>29</v>
      </c>
      <c r="T2456" s="3">
        <v>285000000</v>
      </c>
      <c r="U2456" t="s">
        <v>564</v>
      </c>
      <c r="V2456" t="s">
        <v>70</v>
      </c>
      <c r="W2456" t="s">
        <v>209</v>
      </c>
      <c r="Y2456" t="s">
        <v>210</v>
      </c>
      <c r="Z2456" t="s">
        <v>3181</v>
      </c>
      <c r="AA2456" t="s">
        <v>62</v>
      </c>
      <c r="AB2456" t="s">
        <v>199</v>
      </c>
      <c r="AC2456" t="s">
        <v>62</v>
      </c>
    </row>
    <row r="2457" spans="1:29">
      <c r="A2457" t="s">
        <v>2874</v>
      </c>
      <c r="B2457" s="2">
        <v>46175</v>
      </c>
      <c r="C2457" t="s">
        <v>30</v>
      </c>
      <c r="D2457" t="s">
        <v>134</v>
      </c>
      <c r="E2457" t="s">
        <v>120</v>
      </c>
      <c r="F2457" t="s">
        <v>121</v>
      </c>
      <c r="G2457" t="s">
        <v>224</v>
      </c>
      <c r="H2457" t="s">
        <v>136</v>
      </c>
      <c r="I2457" t="s">
        <v>627</v>
      </c>
      <c r="J2457" t="s">
        <v>3134</v>
      </c>
      <c r="K2457" t="s">
        <v>56</v>
      </c>
      <c r="L2457" t="s">
        <v>68</v>
      </c>
      <c r="M2457" t="s">
        <v>81</v>
      </c>
      <c r="N2457" t="s">
        <v>57</v>
      </c>
      <c r="O2457" s="4">
        <v>3</v>
      </c>
      <c r="P2457" s="4">
        <v>11</v>
      </c>
      <c r="Q2457" t="s">
        <v>69</v>
      </c>
      <c r="R2457" s="2">
        <v>46175</v>
      </c>
      <c r="S2457" s="4">
        <v>28</v>
      </c>
      <c r="T2457" s="3">
        <v>247000000</v>
      </c>
      <c r="U2457" t="s">
        <v>42</v>
      </c>
      <c r="V2457" t="s">
        <v>59</v>
      </c>
      <c r="W2457" t="s">
        <v>60</v>
      </c>
      <c r="Y2457" t="s">
        <v>158</v>
      </c>
      <c r="Z2457" t="s">
        <v>3177</v>
      </c>
      <c r="AA2457" t="s">
        <v>97</v>
      </c>
      <c r="AB2457" t="s">
        <v>63</v>
      </c>
      <c r="AC2457" t="s">
        <v>97</v>
      </c>
    </row>
    <row r="2458" spans="1:29">
      <c r="A2458" t="s">
        <v>2875</v>
      </c>
      <c r="B2458" s="2">
        <v>46198</v>
      </c>
      <c r="C2458" t="s">
        <v>30</v>
      </c>
      <c r="D2458" t="s">
        <v>49</v>
      </c>
      <c r="E2458" t="s">
        <v>152</v>
      </c>
      <c r="F2458" t="s">
        <v>221</v>
      </c>
      <c r="G2458" t="s">
        <v>328</v>
      </c>
      <c r="H2458" t="s">
        <v>283</v>
      </c>
      <c r="I2458" t="s">
        <v>287</v>
      </c>
      <c r="J2458" t="s">
        <v>3042</v>
      </c>
      <c r="K2458" t="s">
        <v>92</v>
      </c>
      <c r="L2458" t="s">
        <v>150</v>
      </c>
      <c r="M2458" t="s">
        <v>129</v>
      </c>
      <c r="N2458" t="s">
        <v>94</v>
      </c>
      <c r="O2458" s="4">
        <v>4</v>
      </c>
      <c r="P2458" s="4">
        <v>8</v>
      </c>
      <c r="Q2458" t="s">
        <v>58</v>
      </c>
      <c r="R2458" s="2">
        <v>46198</v>
      </c>
      <c r="S2458" s="4">
        <v>5</v>
      </c>
      <c r="T2458" s="3">
        <v>217000000</v>
      </c>
      <c r="U2458" t="s">
        <v>42</v>
      </c>
      <c r="V2458" t="s">
        <v>70</v>
      </c>
      <c r="W2458" t="s">
        <v>95</v>
      </c>
      <c r="Y2458" t="s">
        <v>108</v>
      </c>
      <c r="Z2458" t="s">
        <v>3179</v>
      </c>
      <c r="AA2458" t="s">
        <v>159</v>
      </c>
      <c r="AB2458" t="s">
        <v>97</v>
      </c>
      <c r="AC2458" t="s">
        <v>159</v>
      </c>
    </row>
    <row r="2459" spans="1:29">
      <c r="A2459" t="s">
        <v>2876</v>
      </c>
      <c r="B2459" s="2">
        <v>46195</v>
      </c>
      <c r="C2459" t="s">
        <v>30</v>
      </c>
      <c r="D2459" t="s">
        <v>49</v>
      </c>
      <c r="E2459" t="s">
        <v>32</v>
      </c>
      <c r="F2459" t="s">
        <v>256</v>
      </c>
      <c r="G2459" t="s">
        <v>34</v>
      </c>
      <c r="H2459" t="s">
        <v>35</v>
      </c>
      <c r="I2459" t="s">
        <v>862</v>
      </c>
      <c r="J2459" t="s">
        <v>3164</v>
      </c>
      <c r="K2459" t="s">
        <v>92</v>
      </c>
      <c r="L2459" t="s">
        <v>38</v>
      </c>
      <c r="M2459" t="s">
        <v>81</v>
      </c>
      <c r="N2459" t="s">
        <v>57</v>
      </c>
      <c r="O2459" s="4">
        <v>3</v>
      </c>
      <c r="P2459" s="4">
        <v>5</v>
      </c>
      <c r="Q2459" t="s">
        <v>58</v>
      </c>
      <c r="R2459" s="2">
        <v>46186</v>
      </c>
      <c r="S2459" s="4">
        <v>17</v>
      </c>
      <c r="T2459" s="3">
        <v>133000000</v>
      </c>
      <c r="U2459" t="s">
        <v>42</v>
      </c>
      <c r="V2459" t="s">
        <v>59</v>
      </c>
      <c r="W2459" t="s">
        <v>203</v>
      </c>
      <c r="Y2459" t="s">
        <v>72</v>
      </c>
      <c r="Z2459" t="s">
        <v>3177</v>
      </c>
      <c r="AA2459" t="s">
        <v>46</v>
      </c>
      <c r="AB2459" t="s">
        <v>63</v>
      </c>
      <c r="AC2459" t="s">
        <v>46</v>
      </c>
    </row>
    <row r="2460" spans="1:29">
      <c r="A2460" t="s">
        <v>2877</v>
      </c>
      <c r="B2460" s="2">
        <v>46185</v>
      </c>
      <c r="C2460" t="s">
        <v>30</v>
      </c>
      <c r="D2460" t="s">
        <v>99</v>
      </c>
      <c r="E2460" t="s">
        <v>111</v>
      </c>
      <c r="F2460" t="s">
        <v>264</v>
      </c>
      <c r="G2460" t="s">
        <v>265</v>
      </c>
      <c r="H2460" t="s">
        <v>114</v>
      </c>
      <c r="I2460" t="s">
        <v>266</v>
      </c>
      <c r="J2460" t="s">
        <v>3037</v>
      </c>
      <c r="K2460" t="s">
        <v>37</v>
      </c>
      <c r="L2460" t="s">
        <v>38</v>
      </c>
      <c r="M2460" t="s">
        <v>81</v>
      </c>
      <c r="N2460" t="s">
        <v>94</v>
      </c>
      <c r="O2460" s="4">
        <v>4</v>
      </c>
      <c r="P2460" s="4">
        <v>7</v>
      </c>
      <c r="Q2460" t="s">
        <v>58</v>
      </c>
      <c r="R2460" s="2">
        <v>46176</v>
      </c>
      <c r="S2460" s="4">
        <v>27</v>
      </c>
      <c r="T2460" s="3">
        <v>200000000</v>
      </c>
      <c r="U2460" t="s">
        <v>42</v>
      </c>
      <c r="V2460" t="s">
        <v>59</v>
      </c>
      <c r="W2460" t="s">
        <v>95</v>
      </c>
      <c r="Y2460" t="s">
        <v>228</v>
      </c>
      <c r="Z2460" t="s">
        <v>3179</v>
      </c>
      <c r="AA2460" t="s">
        <v>118</v>
      </c>
      <c r="AB2460" t="s">
        <v>97</v>
      </c>
      <c r="AC2460" t="s">
        <v>118</v>
      </c>
    </row>
    <row r="2461" spans="1:29">
      <c r="A2461" t="s">
        <v>2878</v>
      </c>
      <c r="B2461" s="2">
        <v>46201</v>
      </c>
      <c r="C2461" t="s">
        <v>30</v>
      </c>
      <c r="D2461" t="s">
        <v>49</v>
      </c>
      <c r="E2461" t="s">
        <v>172</v>
      </c>
      <c r="F2461" t="s">
        <v>173</v>
      </c>
      <c r="G2461" t="s">
        <v>278</v>
      </c>
      <c r="H2461" t="s">
        <v>317</v>
      </c>
      <c r="I2461" t="s">
        <v>1124</v>
      </c>
      <c r="J2461" t="s">
        <v>3173</v>
      </c>
      <c r="K2461" t="s">
        <v>56</v>
      </c>
      <c r="L2461" t="s">
        <v>169</v>
      </c>
      <c r="M2461" t="s">
        <v>39</v>
      </c>
      <c r="N2461" t="s">
        <v>82</v>
      </c>
      <c r="O2461" s="4">
        <v>1</v>
      </c>
      <c r="P2461" s="4">
        <v>4</v>
      </c>
      <c r="Q2461" t="s">
        <v>58</v>
      </c>
      <c r="R2461" s="2">
        <v>46200</v>
      </c>
      <c r="S2461" s="4">
        <v>3</v>
      </c>
      <c r="T2461" s="3">
        <v>360000000</v>
      </c>
      <c r="U2461" t="s">
        <v>42</v>
      </c>
      <c r="V2461" t="s">
        <v>43</v>
      </c>
      <c r="W2461" t="s">
        <v>359</v>
      </c>
      <c r="Y2461" t="s">
        <v>291</v>
      </c>
      <c r="Z2461" t="s">
        <v>3176</v>
      </c>
      <c r="AA2461" t="s">
        <v>181</v>
      </c>
      <c r="AB2461" t="s">
        <v>47</v>
      </c>
      <c r="AC2461" t="s">
        <v>181</v>
      </c>
    </row>
    <row r="2462" spans="1:29">
      <c r="A2462" t="s">
        <v>2879</v>
      </c>
      <c r="B2462" s="2">
        <v>46182</v>
      </c>
      <c r="C2462" t="s">
        <v>30</v>
      </c>
      <c r="D2462" t="s">
        <v>99</v>
      </c>
      <c r="E2462" t="s">
        <v>152</v>
      </c>
      <c r="F2462" t="s">
        <v>221</v>
      </c>
      <c r="G2462" t="s">
        <v>286</v>
      </c>
      <c r="H2462" t="s">
        <v>155</v>
      </c>
      <c r="I2462" t="s">
        <v>729</v>
      </c>
      <c r="J2462" t="s">
        <v>3149</v>
      </c>
      <c r="K2462" t="s">
        <v>105</v>
      </c>
      <c r="L2462" t="s">
        <v>169</v>
      </c>
      <c r="M2462" t="s">
        <v>56</v>
      </c>
      <c r="N2462" t="s">
        <v>57</v>
      </c>
      <c r="O2462" s="4">
        <v>3</v>
      </c>
      <c r="P2462" s="4">
        <v>7</v>
      </c>
      <c r="Q2462" t="s">
        <v>83</v>
      </c>
      <c r="R2462" s="2">
        <v>46179</v>
      </c>
      <c r="S2462" s="4">
        <v>24</v>
      </c>
      <c r="T2462" s="3">
        <v>306000000</v>
      </c>
      <c r="U2462" t="s">
        <v>177</v>
      </c>
      <c r="V2462" t="s">
        <v>43</v>
      </c>
      <c r="W2462" t="s">
        <v>203</v>
      </c>
      <c r="X2462" t="s">
        <v>381</v>
      </c>
      <c r="Y2462" t="s">
        <v>61</v>
      </c>
      <c r="Z2462" t="s">
        <v>3177</v>
      </c>
      <c r="AA2462" t="s">
        <v>159</v>
      </c>
      <c r="AB2462" t="s">
        <v>63</v>
      </c>
      <c r="AC2462" t="s">
        <v>159</v>
      </c>
    </row>
    <row r="2463" spans="1:29">
      <c r="A2463" t="s">
        <v>2880</v>
      </c>
      <c r="B2463" s="2">
        <v>46203</v>
      </c>
      <c r="C2463" t="s">
        <v>30</v>
      </c>
      <c r="D2463" t="s">
        <v>31</v>
      </c>
      <c r="E2463" t="s">
        <v>32</v>
      </c>
      <c r="F2463" t="s">
        <v>256</v>
      </c>
      <c r="G2463" t="s">
        <v>218</v>
      </c>
      <c r="H2463" t="s">
        <v>258</v>
      </c>
      <c r="I2463" t="s">
        <v>1756</v>
      </c>
      <c r="J2463" t="s">
        <v>3175</v>
      </c>
      <c r="K2463" t="s">
        <v>37</v>
      </c>
      <c r="L2463" t="s">
        <v>80</v>
      </c>
      <c r="M2463" t="s">
        <v>129</v>
      </c>
      <c r="N2463" t="s">
        <v>40</v>
      </c>
      <c r="O2463" s="4">
        <v>2</v>
      </c>
      <c r="P2463" s="4">
        <v>3</v>
      </c>
      <c r="Q2463" t="s">
        <v>138</v>
      </c>
      <c r="R2463" s="2">
        <v>46194</v>
      </c>
      <c r="S2463" s="4">
        <v>9</v>
      </c>
      <c r="T2463" s="3">
        <v>203000000</v>
      </c>
      <c r="U2463" t="s">
        <v>42</v>
      </c>
      <c r="V2463" t="s">
        <v>43</v>
      </c>
      <c r="W2463" t="s">
        <v>178</v>
      </c>
      <c r="Y2463" t="s">
        <v>180</v>
      </c>
      <c r="Z2463" t="s">
        <v>3176</v>
      </c>
      <c r="AA2463" t="s">
        <v>46</v>
      </c>
      <c r="AB2463" t="s">
        <v>47</v>
      </c>
      <c r="AC2463" t="s">
        <v>46</v>
      </c>
    </row>
    <row r="2464" spans="1:29">
      <c r="A2464" t="s">
        <v>2881</v>
      </c>
      <c r="B2464" s="2">
        <v>46182</v>
      </c>
      <c r="C2464" t="s">
        <v>30</v>
      </c>
      <c r="D2464" t="s">
        <v>99</v>
      </c>
      <c r="E2464" t="s">
        <v>100</v>
      </c>
      <c r="F2464" t="s">
        <v>146</v>
      </c>
      <c r="G2464" t="s">
        <v>313</v>
      </c>
      <c r="H2464" t="s">
        <v>103</v>
      </c>
      <c r="I2464" t="s">
        <v>411</v>
      </c>
      <c r="J2464" t="s">
        <v>3077</v>
      </c>
      <c r="K2464" t="s">
        <v>92</v>
      </c>
      <c r="L2464" t="s">
        <v>150</v>
      </c>
      <c r="M2464" t="s">
        <v>106</v>
      </c>
      <c r="N2464" t="s">
        <v>196</v>
      </c>
      <c r="O2464" s="4">
        <v>7</v>
      </c>
      <c r="P2464" s="4">
        <v>22</v>
      </c>
      <c r="Q2464" t="s">
        <v>41</v>
      </c>
      <c r="R2464" s="2">
        <v>46177</v>
      </c>
      <c r="S2464" s="4">
        <v>26</v>
      </c>
      <c r="T2464" s="3">
        <v>230000000</v>
      </c>
      <c r="U2464" t="s">
        <v>196</v>
      </c>
      <c r="V2464" t="s">
        <v>70</v>
      </c>
      <c r="W2464" t="s">
        <v>243</v>
      </c>
      <c r="Y2464" t="s">
        <v>198</v>
      </c>
      <c r="Z2464" t="s">
        <v>3181</v>
      </c>
      <c r="AA2464" t="s">
        <v>109</v>
      </c>
      <c r="AB2464" t="s">
        <v>199</v>
      </c>
      <c r="AC2464" t="s">
        <v>109</v>
      </c>
    </row>
    <row r="2465" spans="1:29">
      <c r="A2465" t="s">
        <v>2882</v>
      </c>
      <c r="B2465" s="2">
        <v>46176</v>
      </c>
      <c r="C2465" t="s">
        <v>30</v>
      </c>
      <c r="D2465" t="s">
        <v>134</v>
      </c>
      <c r="E2465" t="s">
        <v>111</v>
      </c>
      <c r="F2465" t="s">
        <v>190</v>
      </c>
      <c r="G2465" t="s">
        <v>251</v>
      </c>
      <c r="H2465" t="s">
        <v>114</v>
      </c>
      <c r="I2465" t="s">
        <v>988</v>
      </c>
      <c r="J2465" t="s">
        <v>3168</v>
      </c>
      <c r="K2465" t="s">
        <v>105</v>
      </c>
      <c r="L2465" t="s">
        <v>80</v>
      </c>
      <c r="M2465" t="s">
        <v>129</v>
      </c>
      <c r="N2465" t="s">
        <v>57</v>
      </c>
      <c r="O2465" s="4">
        <v>3</v>
      </c>
      <c r="P2465" s="4">
        <v>12</v>
      </c>
      <c r="Q2465" t="s">
        <v>58</v>
      </c>
      <c r="R2465" s="2">
        <v>46167</v>
      </c>
      <c r="S2465" s="4">
        <v>36</v>
      </c>
      <c r="T2465" s="3">
        <v>159000000</v>
      </c>
      <c r="U2465" t="s">
        <v>177</v>
      </c>
      <c r="V2465" t="s">
        <v>59</v>
      </c>
      <c r="W2465" t="s">
        <v>60</v>
      </c>
      <c r="X2465" t="s">
        <v>520</v>
      </c>
      <c r="Y2465" t="s">
        <v>165</v>
      </c>
      <c r="Z2465" t="s">
        <v>3180</v>
      </c>
      <c r="AA2465" t="s">
        <v>118</v>
      </c>
      <c r="AB2465" t="s">
        <v>193</v>
      </c>
      <c r="AC2465" t="s">
        <v>118</v>
      </c>
    </row>
    <row r="2466" spans="1:29">
      <c r="A2466" t="s">
        <v>2883</v>
      </c>
      <c r="B2466" s="2">
        <v>46182</v>
      </c>
      <c r="C2466" t="s">
        <v>30</v>
      </c>
      <c r="D2466" t="s">
        <v>99</v>
      </c>
      <c r="E2466" t="s">
        <v>120</v>
      </c>
      <c r="F2466" t="s">
        <v>121</v>
      </c>
      <c r="G2466" t="s">
        <v>224</v>
      </c>
      <c r="H2466" t="s">
        <v>300</v>
      </c>
      <c r="I2466" t="s">
        <v>830</v>
      </c>
      <c r="J2466" t="s">
        <v>3159</v>
      </c>
      <c r="K2466" t="s">
        <v>116</v>
      </c>
      <c r="L2466" t="s">
        <v>55</v>
      </c>
      <c r="M2466" t="s">
        <v>106</v>
      </c>
      <c r="N2466" t="s">
        <v>82</v>
      </c>
      <c r="O2466" s="4">
        <v>1</v>
      </c>
      <c r="P2466" s="4">
        <v>12</v>
      </c>
      <c r="Q2466" t="s">
        <v>69</v>
      </c>
      <c r="R2466" s="2">
        <v>46182</v>
      </c>
      <c r="S2466" s="4">
        <v>21</v>
      </c>
      <c r="T2466" s="3">
        <v>131000000</v>
      </c>
      <c r="U2466" t="s">
        <v>42</v>
      </c>
      <c r="V2466" t="s">
        <v>43</v>
      </c>
      <c r="W2466" t="s">
        <v>404</v>
      </c>
      <c r="Y2466" t="s">
        <v>330</v>
      </c>
      <c r="Z2466" t="s">
        <v>3180</v>
      </c>
      <c r="AA2466" t="s">
        <v>97</v>
      </c>
      <c r="AB2466" t="s">
        <v>193</v>
      </c>
      <c r="AC2466" t="s">
        <v>97</v>
      </c>
    </row>
    <row r="2467" spans="1:29">
      <c r="A2467" t="s">
        <v>2884</v>
      </c>
      <c r="B2467" s="2">
        <v>46185</v>
      </c>
      <c r="C2467" t="s">
        <v>30</v>
      </c>
      <c r="D2467" t="s">
        <v>99</v>
      </c>
      <c r="E2467" t="s">
        <v>152</v>
      </c>
      <c r="F2467" t="s">
        <v>153</v>
      </c>
      <c r="G2467" t="s">
        <v>328</v>
      </c>
      <c r="H2467" t="s">
        <v>155</v>
      </c>
      <c r="I2467" t="s">
        <v>443</v>
      </c>
      <c r="J2467" t="s">
        <v>3086</v>
      </c>
      <c r="K2467" t="s">
        <v>56</v>
      </c>
      <c r="L2467" t="s">
        <v>68</v>
      </c>
      <c r="M2467" t="s">
        <v>39</v>
      </c>
      <c r="N2467" t="s">
        <v>57</v>
      </c>
      <c r="O2467" s="4">
        <v>3</v>
      </c>
      <c r="P2467" s="4">
        <v>9</v>
      </c>
      <c r="Q2467" t="s">
        <v>107</v>
      </c>
      <c r="R2467" s="2">
        <v>46177</v>
      </c>
      <c r="S2467" s="4">
        <v>26</v>
      </c>
      <c r="T2467" s="3">
        <v>132000000</v>
      </c>
      <c r="U2467" t="s">
        <v>42</v>
      </c>
      <c r="V2467" t="s">
        <v>59</v>
      </c>
      <c r="W2467" t="s">
        <v>157</v>
      </c>
      <c r="Y2467" t="s">
        <v>158</v>
      </c>
      <c r="Z2467" t="s">
        <v>3177</v>
      </c>
      <c r="AA2467" t="s">
        <v>159</v>
      </c>
      <c r="AB2467" t="s">
        <v>63</v>
      </c>
      <c r="AC2467" t="s">
        <v>159</v>
      </c>
    </row>
    <row r="2468" spans="1:29">
      <c r="A2468" t="s">
        <v>2885</v>
      </c>
      <c r="B2468" s="2">
        <v>46194</v>
      </c>
      <c r="C2468" t="s">
        <v>30</v>
      </c>
      <c r="D2468" t="s">
        <v>74</v>
      </c>
      <c r="E2468" t="s">
        <v>100</v>
      </c>
      <c r="F2468" t="s">
        <v>146</v>
      </c>
      <c r="G2468" t="s">
        <v>212</v>
      </c>
      <c r="H2468" t="s">
        <v>103</v>
      </c>
      <c r="I2468" t="s">
        <v>411</v>
      </c>
      <c r="J2468" t="s">
        <v>3077</v>
      </c>
      <c r="K2468" t="s">
        <v>37</v>
      </c>
      <c r="L2468" t="s">
        <v>150</v>
      </c>
      <c r="M2468" t="s">
        <v>56</v>
      </c>
      <c r="N2468" t="s">
        <v>213</v>
      </c>
      <c r="O2468" s="4">
        <v>6</v>
      </c>
      <c r="P2468" s="4">
        <v>21</v>
      </c>
      <c r="Q2468" t="s">
        <v>58</v>
      </c>
      <c r="R2468" s="2">
        <v>46184</v>
      </c>
      <c r="S2468" s="4">
        <v>19</v>
      </c>
      <c r="T2468" s="3">
        <v>280000000</v>
      </c>
      <c r="U2468" t="s">
        <v>214</v>
      </c>
      <c r="V2468" t="s">
        <v>70</v>
      </c>
      <c r="W2468" t="s">
        <v>248</v>
      </c>
      <c r="Y2468" t="s">
        <v>424</v>
      </c>
      <c r="Z2468" t="s">
        <v>3179</v>
      </c>
      <c r="AA2468" t="s">
        <v>109</v>
      </c>
      <c r="AB2468" t="s">
        <v>97</v>
      </c>
      <c r="AC2468" t="s">
        <v>109</v>
      </c>
    </row>
    <row r="2469" spans="1:29">
      <c r="A2469" t="s">
        <v>2886</v>
      </c>
      <c r="B2469" s="2">
        <v>46197</v>
      </c>
      <c r="C2469" t="s">
        <v>30</v>
      </c>
      <c r="D2469" t="s">
        <v>49</v>
      </c>
      <c r="E2469" t="s">
        <v>111</v>
      </c>
      <c r="F2469" t="s">
        <v>190</v>
      </c>
      <c r="G2469" t="s">
        <v>251</v>
      </c>
      <c r="H2469" t="s">
        <v>114</v>
      </c>
      <c r="I2469" t="s">
        <v>266</v>
      </c>
      <c r="J2469" t="s">
        <v>3037</v>
      </c>
      <c r="K2469" t="s">
        <v>37</v>
      </c>
      <c r="L2469" t="s">
        <v>150</v>
      </c>
      <c r="M2469" t="s">
        <v>81</v>
      </c>
      <c r="N2469" t="s">
        <v>94</v>
      </c>
      <c r="O2469" s="4">
        <v>4</v>
      </c>
      <c r="P2469" s="4">
        <v>6</v>
      </c>
      <c r="Q2469" t="s">
        <v>107</v>
      </c>
      <c r="R2469" s="2">
        <v>46188</v>
      </c>
      <c r="S2469" s="4">
        <v>15</v>
      </c>
      <c r="T2469" s="3">
        <v>191000000</v>
      </c>
      <c r="U2469" t="s">
        <v>42</v>
      </c>
      <c r="V2469" t="s">
        <v>59</v>
      </c>
      <c r="W2469" t="s">
        <v>188</v>
      </c>
      <c r="Y2469" t="s">
        <v>108</v>
      </c>
      <c r="Z2469" t="s">
        <v>3179</v>
      </c>
      <c r="AA2469" t="s">
        <v>118</v>
      </c>
      <c r="AB2469" t="s">
        <v>97</v>
      </c>
      <c r="AC2469" t="s">
        <v>118</v>
      </c>
    </row>
    <row r="2470" spans="1:29">
      <c r="A2470" t="s">
        <v>2887</v>
      </c>
      <c r="B2470" s="2">
        <v>46188</v>
      </c>
      <c r="C2470" t="s">
        <v>30</v>
      </c>
      <c r="D2470" t="s">
        <v>74</v>
      </c>
      <c r="E2470" t="s">
        <v>100</v>
      </c>
      <c r="F2470" t="s">
        <v>140</v>
      </c>
      <c r="G2470" t="s">
        <v>237</v>
      </c>
      <c r="H2470" t="s">
        <v>201</v>
      </c>
      <c r="I2470" t="s">
        <v>416</v>
      </c>
      <c r="J2470" t="s">
        <v>3078</v>
      </c>
      <c r="K2470" t="s">
        <v>56</v>
      </c>
      <c r="L2470" t="s">
        <v>68</v>
      </c>
      <c r="M2470" t="s">
        <v>106</v>
      </c>
      <c r="N2470" t="s">
        <v>196</v>
      </c>
      <c r="O2470" s="4">
        <v>7</v>
      </c>
      <c r="P2470" s="4">
        <v>19</v>
      </c>
      <c r="Q2470" t="s">
        <v>69</v>
      </c>
      <c r="R2470" s="2">
        <v>46182</v>
      </c>
      <c r="S2470" s="4">
        <v>21</v>
      </c>
      <c r="T2470" s="3">
        <v>301000000</v>
      </c>
      <c r="U2470" t="s">
        <v>196</v>
      </c>
      <c r="V2470" t="s">
        <v>70</v>
      </c>
      <c r="W2470" t="s">
        <v>243</v>
      </c>
      <c r="Y2470" t="s">
        <v>198</v>
      </c>
      <c r="Z2470" t="s">
        <v>3181</v>
      </c>
      <c r="AA2470" t="s">
        <v>109</v>
      </c>
      <c r="AB2470" t="s">
        <v>199</v>
      </c>
      <c r="AC2470" t="s">
        <v>109</v>
      </c>
    </row>
    <row r="2471" spans="1:29">
      <c r="A2471" t="s">
        <v>2888</v>
      </c>
      <c r="B2471" s="2">
        <v>46202</v>
      </c>
      <c r="C2471" t="s">
        <v>30</v>
      </c>
      <c r="D2471" t="s">
        <v>31</v>
      </c>
      <c r="E2471" t="s">
        <v>75</v>
      </c>
      <c r="F2471" t="s">
        <v>161</v>
      </c>
      <c r="G2471" t="s">
        <v>162</v>
      </c>
      <c r="H2471" t="s">
        <v>388</v>
      </c>
      <c r="I2471" t="s">
        <v>556</v>
      </c>
      <c r="J2471" t="s">
        <v>3118</v>
      </c>
      <c r="K2471" t="s">
        <v>105</v>
      </c>
      <c r="L2471" t="s">
        <v>38</v>
      </c>
      <c r="M2471" t="s">
        <v>129</v>
      </c>
      <c r="N2471" t="s">
        <v>82</v>
      </c>
      <c r="O2471" s="4">
        <v>1</v>
      </c>
      <c r="P2471" s="4">
        <v>4</v>
      </c>
      <c r="Q2471" t="s">
        <v>83</v>
      </c>
      <c r="R2471" s="2">
        <v>46193</v>
      </c>
      <c r="S2471" s="4">
        <v>10</v>
      </c>
      <c r="T2471" s="3">
        <v>86000000</v>
      </c>
      <c r="U2471" t="s">
        <v>260</v>
      </c>
      <c r="V2471" t="s">
        <v>43</v>
      </c>
      <c r="W2471" t="s">
        <v>404</v>
      </c>
      <c r="X2471" t="s">
        <v>520</v>
      </c>
      <c r="Y2471" t="s">
        <v>85</v>
      </c>
      <c r="Z2471" t="s">
        <v>3176</v>
      </c>
      <c r="AA2471" t="s">
        <v>86</v>
      </c>
      <c r="AB2471" t="s">
        <v>47</v>
      </c>
      <c r="AC2471" t="s">
        <v>86</v>
      </c>
    </row>
    <row r="2472" spans="1:29">
      <c r="A2472" t="s">
        <v>2889</v>
      </c>
      <c r="B2472" s="2">
        <v>46188</v>
      </c>
      <c r="C2472" t="s">
        <v>30</v>
      </c>
      <c r="D2472" t="s">
        <v>74</v>
      </c>
      <c r="E2472" t="s">
        <v>172</v>
      </c>
      <c r="F2472" t="s">
        <v>173</v>
      </c>
      <c r="G2472" t="s">
        <v>476</v>
      </c>
      <c r="H2472" t="s">
        <v>241</v>
      </c>
      <c r="I2472" t="s">
        <v>441</v>
      </c>
      <c r="J2472" t="s">
        <v>3085</v>
      </c>
      <c r="K2472" t="s">
        <v>92</v>
      </c>
      <c r="L2472" t="s">
        <v>169</v>
      </c>
      <c r="M2472" t="s">
        <v>164</v>
      </c>
      <c r="N2472" t="s">
        <v>94</v>
      </c>
      <c r="O2472" s="4">
        <v>4</v>
      </c>
      <c r="P2472" s="4">
        <v>4</v>
      </c>
      <c r="Q2472" t="s">
        <v>107</v>
      </c>
      <c r="R2472" s="2">
        <v>46185</v>
      </c>
      <c r="S2472" s="4">
        <v>18</v>
      </c>
      <c r="T2472" s="3">
        <v>159000000</v>
      </c>
      <c r="U2472" t="s">
        <v>42</v>
      </c>
      <c r="V2472" t="s">
        <v>59</v>
      </c>
      <c r="W2472" t="s">
        <v>170</v>
      </c>
      <c r="Y2472" t="s">
        <v>268</v>
      </c>
      <c r="Z2472" t="s">
        <v>3179</v>
      </c>
      <c r="AA2472" t="s">
        <v>181</v>
      </c>
      <c r="AB2472" t="s">
        <v>97</v>
      </c>
      <c r="AC2472" t="s">
        <v>181</v>
      </c>
    </row>
    <row r="2473" spans="1:29">
      <c r="A2473" t="s">
        <v>2890</v>
      </c>
      <c r="B2473" s="2">
        <v>46185</v>
      </c>
      <c r="C2473" t="s">
        <v>30</v>
      </c>
      <c r="D2473" t="s">
        <v>99</v>
      </c>
      <c r="E2473" t="s">
        <v>120</v>
      </c>
      <c r="F2473" t="s">
        <v>121</v>
      </c>
      <c r="G2473" t="s">
        <v>122</v>
      </c>
      <c r="H2473" t="s">
        <v>123</v>
      </c>
      <c r="I2473" t="s">
        <v>225</v>
      </c>
      <c r="J2473" t="s">
        <v>3030</v>
      </c>
      <c r="K2473" t="s">
        <v>37</v>
      </c>
      <c r="L2473" t="s">
        <v>80</v>
      </c>
      <c r="M2473" t="s">
        <v>93</v>
      </c>
      <c r="N2473" t="s">
        <v>40</v>
      </c>
      <c r="O2473" s="4">
        <v>2</v>
      </c>
      <c r="P2473" s="4">
        <v>11</v>
      </c>
      <c r="Q2473" t="s">
        <v>107</v>
      </c>
      <c r="R2473" s="2">
        <v>46185</v>
      </c>
      <c r="S2473" s="4">
        <v>18</v>
      </c>
      <c r="T2473" s="3">
        <v>126000000</v>
      </c>
      <c r="U2473" t="s">
        <v>42</v>
      </c>
      <c r="V2473" t="s">
        <v>43</v>
      </c>
      <c r="W2473" t="s">
        <v>44</v>
      </c>
      <c r="Y2473" t="s">
        <v>309</v>
      </c>
      <c r="Z2473" t="s">
        <v>3178</v>
      </c>
      <c r="AA2473" t="s">
        <v>97</v>
      </c>
      <c r="AB2473" t="s">
        <v>87</v>
      </c>
      <c r="AC2473" t="s">
        <v>97</v>
      </c>
    </row>
    <row r="2474" spans="1:29">
      <c r="A2474" t="s">
        <v>2891</v>
      </c>
      <c r="B2474" s="2">
        <v>46174</v>
      </c>
      <c r="C2474" t="s">
        <v>30</v>
      </c>
      <c r="D2474" t="s">
        <v>134</v>
      </c>
      <c r="E2474" t="s">
        <v>152</v>
      </c>
      <c r="F2474" t="s">
        <v>221</v>
      </c>
      <c r="G2474" t="s">
        <v>154</v>
      </c>
      <c r="H2474" t="s">
        <v>155</v>
      </c>
      <c r="I2474" t="s">
        <v>434</v>
      </c>
      <c r="J2474" t="s">
        <v>3083</v>
      </c>
      <c r="K2474" t="s">
        <v>92</v>
      </c>
      <c r="L2474" t="s">
        <v>38</v>
      </c>
      <c r="M2474" t="s">
        <v>129</v>
      </c>
      <c r="N2474" t="s">
        <v>40</v>
      </c>
      <c r="O2474" s="4">
        <v>2</v>
      </c>
      <c r="P2474" s="4">
        <v>13</v>
      </c>
      <c r="Q2474" t="s">
        <v>142</v>
      </c>
      <c r="R2474" s="2">
        <v>46173</v>
      </c>
      <c r="S2474" s="4">
        <v>30</v>
      </c>
      <c r="T2474" s="3">
        <v>164000000</v>
      </c>
      <c r="U2474" t="s">
        <v>42</v>
      </c>
      <c r="V2474" t="s">
        <v>43</v>
      </c>
      <c r="W2474" t="s">
        <v>178</v>
      </c>
      <c r="Y2474" t="s">
        <v>309</v>
      </c>
      <c r="Z2474" t="s">
        <v>3180</v>
      </c>
      <c r="AA2474" t="s">
        <v>159</v>
      </c>
      <c r="AB2474" t="s">
        <v>193</v>
      </c>
      <c r="AC2474" t="s">
        <v>159</v>
      </c>
    </row>
    <row r="2475" spans="1:29">
      <c r="A2475" t="s">
        <v>2892</v>
      </c>
      <c r="B2475" s="2">
        <v>46200</v>
      </c>
      <c r="C2475" t="s">
        <v>30</v>
      </c>
      <c r="D2475" t="s">
        <v>49</v>
      </c>
      <c r="E2475" t="s">
        <v>111</v>
      </c>
      <c r="F2475" t="s">
        <v>264</v>
      </c>
      <c r="G2475" t="s">
        <v>126</v>
      </c>
      <c r="H2475" t="s">
        <v>127</v>
      </c>
      <c r="I2475" t="s">
        <v>311</v>
      </c>
      <c r="J2475" t="s">
        <v>3048</v>
      </c>
      <c r="K2475" t="s">
        <v>116</v>
      </c>
      <c r="L2475" t="s">
        <v>55</v>
      </c>
      <c r="M2475" t="s">
        <v>39</v>
      </c>
      <c r="N2475" t="s">
        <v>130</v>
      </c>
      <c r="O2475" s="4">
        <v>5</v>
      </c>
      <c r="P2475" s="4">
        <v>8</v>
      </c>
      <c r="Q2475" t="s">
        <v>41</v>
      </c>
      <c r="R2475" s="2">
        <v>46192</v>
      </c>
      <c r="S2475" s="4">
        <v>11</v>
      </c>
      <c r="T2475" s="3">
        <v>72000000</v>
      </c>
      <c r="U2475" t="s">
        <v>42</v>
      </c>
      <c r="V2475" t="s">
        <v>59</v>
      </c>
      <c r="W2475" t="s">
        <v>355</v>
      </c>
      <c r="Y2475" t="s">
        <v>254</v>
      </c>
      <c r="Z2475" t="s">
        <v>3179</v>
      </c>
      <c r="AA2475" t="s">
        <v>118</v>
      </c>
      <c r="AB2475" t="s">
        <v>97</v>
      </c>
      <c r="AC2475" t="s">
        <v>118</v>
      </c>
    </row>
    <row r="2476" spans="1:29">
      <c r="A2476" t="s">
        <v>2893</v>
      </c>
      <c r="B2476" s="2">
        <v>46184</v>
      </c>
      <c r="C2476" t="s">
        <v>30</v>
      </c>
      <c r="D2476" t="s">
        <v>99</v>
      </c>
      <c r="E2476" t="s">
        <v>50</v>
      </c>
      <c r="F2476" t="s">
        <v>351</v>
      </c>
      <c r="G2476" t="s">
        <v>52</v>
      </c>
      <c r="H2476" t="s">
        <v>53</v>
      </c>
      <c r="I2476" t="s">
        <v>787</v>
      </c>
      <c r="J2476" t="s">
        <v>3154</v>
      </c>
      <c r="K2476" t="s">
        <v>92</v>
      </c>
      <c r="L2476" t="s">
        <v>68</v>
      </c>
      <c r="M2476" t="s">
        <v>93</v>
      </c>
      <c r="N2476" t="s">
        <v>57</v>
      </c>
      <c r="O2476" s="4">
        <v>3</v>
      </c>
      <c r="P2476" s="4">
        <v>9</v>
      </c>
      <c r="Q2476" t="s">
        <v>138</v>
      </c>
      <c r="R2476" s="2">
        <v>46178</v>
      </c>
      <c r="S2476" s="4">
        <v>25</v>
      </c>
      <c r="T2476" s="3">
        <v>104000000</v>
      </c>
      <c r="U2476" t="s">
        <v>42</v>
      </c>
      <c r="V2476" t="s">
        <v>59</v>
      </c>
      <c r="W2476" t="s">
        <v>203</v>
      </c>
      <c r="Y2476" t="s">
        <v>158</v>
      </c>
      <c r="Z2476" t="s">
        <v>3177</v>
      </c>
      <c r="AA2476" t="s">
        <v>62</v>
      </c>
      <c r="AB2476" t="s">
        <v>63</v>
      </c>
      <c r="AC2476" t="s">
        <v>62</v>
      </c>
    </row>
    <row r="2477" spans="1:29">
      <c r="A2477" t="s">
        <v>2894</v>
      </c>
      <c r="B2477" s="2">
        <v>46196</v>
      </c>
      <c r="C2477" t="s">
        <v>30</v>
      </c>
      <c r="D2477" t="s">
        <v>49</v>
      </c>
      <c r="E2477" t="s">
        <v>172</v>
      </c>
      <c r="F2477" t="s">
        <v>195</v>
      </c>
      <c r="G2477" t="s">
        <v>476</v>
      </c>
      <c r="H2477" t="s">
        <v>317</v>
      </c>
      <c r="I2477" t="s">
        <v>756</v>
      </c>
      <c r="J2477" t="s">
        <v>3152</v>
      </c>
      <c r="K2477" t="s">
        <v>37</v>
      </c>
      <c r="L2477" t="s">
        <v>55</v>
      </c>
      <c r="M2477" t="s">
        <v>106</v>
      </c>
      <c r="N2477" t="s">
        <v>82</v>
      </c>
      <c r="O2477" s="4">
        <v>1</v>
      </c>
      <c r="P2477" s="4">
        <v>9</v>
      </c>
      <c r="Q2477" t="s">
        <v>107</v>
      </c>
      <c r="R2477" s="2">
        <v>46187</v>
      </c>
      <c r="S2477" s="4">
        <v>16</v>
      </c>
      <c r="T2477" s="3">
        <v>200000000</v>
      </c>
      <c r="U2477" t="s">
        <v>42</v>
      </c>
      <c r="V2477" t="s">
        <v>43</v>
      </c>
      <c r="W2477" t="s">
        <v>290</v>
      </c>
      <c r="Y2477" t="s">
        <v>305</v>
      </c>
      <c r="Z2477" t="s">
        <v>3178</v>
      </c>
      <c r="AA2477" t="s">
        <v>181</v>
      </c>
      <c r="AB2477" t="s">
        <v>87</v>
      </c>
      <c r="AC2477" t="s">
        <v>181</v>
      </c>
    </row>
    <row r="2478" spans="1:29">
      <c r="A2478" t="s">
        <v>2895</v>
      </c>
      <c r="B2478" s="2">
        <v>46176</v>
      </c>
      <c r="C2478" t="s">
        <v>30</v>
      </c>
      <c r="D2478" t="s">
        <v>134</v>
      </c>
      <c r="E2478" t="s">
        <v>75</v>
      </c>
      <c r="F2478" t="s">
        <v>183</v>
      </c>
      <c r="G2478" t="s">
        <v>184</v>
      </c>
      <c r="H2478" t="s">
        <v>185</v>
      </c>
      <c r="I2478" t="s">
        <v>721</v>
      </c>
      <c r="J2478" t="s">
        <v>3147</v>
      </c>
      <c r="K2478" t="s">
        <v>37</v>
      </c>
      <c r="L2478" t="s">
        <v>55</v>
      </c>
      <c r="M2478" t="s">
        <v>39</v>
      </c>
      <c r="N2478" t="s">
        <v>40</v>
      </c>
      <c r="O2478" s="4">
        <v>2</v>
      </c>
      <c r="P2478" s="4">
        <v>9</v>
      </c>
      <c r="Q2478" t="s">
        <v>41</v>
      </c>
      <c r="R2478" s="2">
        <v>46171</v>
      </c>
      <c r="S2478" s="4">
        <v>32</v>
      </c>
      <c r="T2478" s="3">
        <v>247000000</v>
      </c>
      <c r="U2478" t="s">
        <v>42</v>
      </c>
      <c r="V2478" t="s">
        <v>59</v>
      </c>
      <c r="W2478" t="s">
        <v>44</v>
      </c>
      <c r="Y2478" t="s">
        <v>45</v>
      </c>
      <c r="Z2478" t="s">
        <v>3178</v>
      </c>
      <c r="AA2478" t="s">
        <v>86</v>
      </c>
      <c r="AB2478" t="s">
        <v>87</v>
      </c>
      <c r="AC2478" t="s">
        <v>86</v>
      </c>
    </row>
    <row r="2479" spans="1:29">
      <c r="A2479" t="s">
        <v>2896</v>
      </c>
      <c r="B2479" s="2">
        <v>46184</v>
      </c>
      <c r="C2479" t="s">
        <v>30</v>
      </c>
      <c r="D2479" t="s">
        <v>99</v>
      </c>
      <c r="E2479" t="s">
        <v>152</v>
      </c>
      <c r="F2479" t="s">
        <v>221</v>
      </c>
      <c r="G2479" t="s">
        <v>328</v>
      </c>
      <c r="H2479" t="s">
        <v>207</v>
      </c>
      <c r="I2479" t="s">
        <v>637</v>
      </c>
      <c r="J2479" t="s">
        <v>3137</v>
      </c>
      <c r="K2479" t="s">
        <v>105</v>
      </c>
      <c r="L2479" t="s">
        <v>55</v>
      </c>
      <c r="M2479" t="s">
        <v>39</v>
      </c>
      <c r="N2479" t="s">
        <v>40</v>
      </c>
      <c r="O2479" s="4">
        <v>2</v>
      </c>
      <c r="P2479" s="4">
        <v>11</v>
      </c>
      <c r="Q2479" t="s">
        <v>41</v>
      </c>
      <c r="R2479" s="2">
        <v>46174</v>
      </c>
      <c r="S2479" s="4">
        <v>29</v>
      </c>
      <c r="T2479" s="3">
        <v>292000000</v>
      </c>
      <c r="U2479" t="s">
        <v>42</v>
      </c>
      <c r="V2479" t="s">
        <v>59</v>
      </c>
      <c r="W2479" t="s">
        <v>178</v>
      </c>
      <c r="Y2479" t="s">
        <v>180</v>
      </c>
      <c r="Z2479" t="s">
        <v>3178</v>
      </c>
      <c r="AA2479" t="s">
        <v>159</v>
      </c>
      <c r="AB2479" t="s">
        <v>87</v>
      </c>
      <c r="AC2479" t="s">
        <v>159</v>
      </c>
    </row>
    <row r="2480" spans="1:29">
      <c r="A2480" t="s">
        <v>2897</v>
      </c>
      <c r="B2480" s="2">
        <v>46188</v>
      </c>
      <c r="C2480" t="s">
        <v>30</v>
      </c>
      <c r="D2480" t="s">
        <v>74</v>
      </c>
      <c r="E2480" t="s">
        <v>172</v>
      </c>
      <c r="F2480" t="s">
        <v>173</v>
      </c>
      <c r="G2480" t="s">
        <v>289</v>
      </c>
      <c r="H2480" t="s">
        <v>317</v>
      </c>
      <c r="I2480" t="s">
        <v>478</v>
      </c>
      <c r="J2480" t="s">
        <v>3099</v>
      </c>
      <c r="K2480" t="s">
        <v>116</v>
      </c>
      <c r="L2480" t="s">
        <v>68</v>
      </c>
      <c r="M2480" t="s">
        <v>129</v>
      </c>
      <c r="N2480" t="s">
        <v>82</v>
      </c>
      <c r="O2480" s="4">
        <v>1</v>
      </c>
      <c r="P2480" s="4">
        <v>9</v>
      </c>
      <c r="Q2480" t="s">
        <v>107</v>
      </c>
      <c r="R2480" s="2">
        <v>46183</v>
      </c>
      <c r="S2480" s="4">
        <v>20</v>
      </c>
      <c r="T2480" s="3">
        <v>76000000</v>
      </c>
      <c r="U2480" t="s">
        <v>42</v>
      </c>
      <c r="V2480" t="s">
        <v>43</v>
      </c>
      <c r="W2480" t="s">
        <v>359</v>
      </c>
      <c r="Y2480" t="s">
        <v>305</v>
      </c>
      <c r="Z2480" t="s">
        <v>3178</v>
      </c>
      <c r="AA2480" t="s">
        <v>181</v>
      </c>
      <c r="AB2480" t="s">
        <v>87</v>
      </c>
      <c r="AC2480" t="s">
        <v>181</v>
      </c>
    </row>
    <row r="2481" spans="1:29">
      <c r="A2481" t="s">
        <v>2898</v>
      </c>
      <c r="B2481" s="2">
        <v>46196</v>
      </c>
      <c r="C2481" t="s">
        <v>30</v>
      </c>
      <c r="D2481" t="s">
        <v>49</v>
      </c>
      <c r="E2481" t="s">
        <v>172</v>
      </c>
      <c r="F2481" t="s">
        <v>195</v>
      </c>
      <c r="G2481" t="s">
        <v>476</v>
      </c>
      <c r="H2481" t="s">
        <v>241</v>
      </c>
      <c r="I2481" t="s">
        <v>632</v>
      </c>
      <c r="J2481" t="s">
        <v>3136</v>
      </c>
      <c r="K2481" t="s">
        <v>92</v>
      </c>
      <c r="L2481" t="s">
        <v>55</v>
      </c>
      <c r="M2481" t="s">
        <v>106</v>
      </c>
      <c r="N2481" t="s">
        <v>94</v>
      </c>
      <c r="O2481" s="4">
        <v>4</v>
      </c>
      <c r="P2481" s="4">
        <v>5</v>
      </c>
      <c r="Q2481" t="s">
        <v>69</v>
      </c>
      <c r="R2481" s="2">
        <v>46191</v>
      </c>
      <c r="S2481" s="4">
        <v>12</v>
      </c>
      <c r="T2481" s="3">
        <v>223000000</v>
      </c>
      <c r="U2481" t="s">
        <v>42</v>
      </c>
      <c r="V2481" t="s">
        <v>59</v>
      </c>
      <c r="W2481" t="s">
        <v>170</v>
      </c>
      <c r="Y2481" t="s">
        <v>228</v>
      </c>
      <c r="Z2481" t="s">
        <v>3179</v>
      </c>
      <c r="AA2481" t="s">
        <v>181</v>
      </c>
      <c r="AB2481" t="s">
        <v>97</v>
      </c>
      <c r="AC2481" t="s">
        <v>181</v>
      </c>
    </row>
    <row r="2482" spans="1:29">
      <c r="A2482" t="s">
        <v>2899</v>
      </c>
      <c r="B2482" s="2">
        <v>46194</v>
      </c>
      <c r="C2482" t="s">
        <v>30</v>
      </c>
      <c r="D2482" t="s">
        <v>74</v>
      </c>
      <c r="E2482" t="s">
        <v>111</v>
      </c>
      <c r="F2482" t="s">
        <v>112</v>
      </c>
      <c r="G2482" t="s">
        <v>126</v>
      </c>
      <c r="H2482" t="s">
        <v>191</v>
      </c>
      <c r="I2482" t="s">
        <v>449</v>
      </c>
      <c r="J2482" t="s">
        <v>3089</v>
      </c>
      <c r="K2482" t="s">
        <v>56</v>
      </c>
      <c r="L2482" t="s">
        <v>68</v>
      </c>
      <c r="M2482" t="s">
        <v>93</v>
      </c>
      <c r="N2482" t="s">
        <v>94</v>
      </c>
      <c r="O2482" s="4">
        <v>4</v>
      </c>
      <c r="P2482" s="4">
        <v>15</v>
      </c>
      <c r="Q2482" t="s">
        <v>41</v>
      </c>
      <c r="R2482" s="2">
        <v>46190</v>
      </c>
      <c r="S2482" s="4">
        <v>13</v>
      </c>
      <c r="T2482" s="3">
        <v>153000000</v>
      </c>
      <c r="U2482" t="s">
        <v>42</v>
      </c>
      <c r="V2482" t="s">
        <v>70</v>
      </c>
      <c r="W2482" t="s">
        <v>267</v>
      </c>
      <c r="Y2482" t="s">
        <v>228</v>
      </c>
      <c r="Z2482" t="s">
        <v>3179</v>
      </c>
      <c r="AA2482" t="s">
        <v>118</v>
      </c>
      <c r="AB2482" t="s">
        <v>97</v>
      </c>
      <c r="AC2482" t="s">
        <v>118</v>
      </c>
    </row>
    <row r="2483" spans="1:29">
      <c r="A2483" t="s">
        <v>2900</v>
      </c>
      <c r="B2483" s="2">
        <v>46192</v>
      </c>
      <c r="C2483" t="s">
        <v>30</v>
      </c>
      <c r="D2483" t="s">
        <v>74</v>
      </c>
      <c r="E2483" t="s">
        <v>32</v>
      </c>
      <c r="F2483" t="s">
        <v>273</v>
      </c>
      <c r="G2483" t="s">
        <v>361</v>
      </c>
      <c r="H2483" t="s">
        <v>303</v>
      </c>
      <c r="I2483" t="s">
        <v>483</v>
      </c>
      <c r="J2483" t="s">
        <v>3100</v>
      </c>
      <c r="K2483" t="s">
        <v>37</v>
      </c>
      <c r="L2483" t="s">
        <v>55</v>
      </c>
      <c r="M2483" t="s">
        <v>93</v>
      </c>
      <c r="N2483" t="s">
        <v>57</v>
      </c>
      <c r="O2483" s="4">
        <v>3</v>
      </c>
      <c r="P2483" s="4">
        <v>4</v>
      </c>
      <c r="Q2483" t="s">
        <v>107</v>
      </c>
      <c r="R2483" s="2">
        <v>46187</v>
      </c>
      <c r="S2483" s="4">
        <v>16</v>
      </c>
      <c r="T2483" s="3">
        <v>214000000</v>
      </c>
      <c r="U2483" t="s">
        <v>42</v>
      </c>
      <c r="V2483" t="s">
        <v>43</v>
      </c>
      <c r="W2483" t="s">
        <v>157</v>
      </c>
      <c r="Y2483" t="s">
        <v>165</v>
      </c>
      <c r="Z2483" t="s">
        <v>3177</v>
      </c>
      <c r="AA2483" t="s">
        <v>46</v>
      </c>
      <c r="AB2483" t="s">
        <v>63</v>
      </c>
      <c r="AC2483" t="s">
        <v>46</v>
      </c>
    </row>
    <row r="2484" spans="1:29">
      <c r="A2484" t="s">
        <v>2901</v>
      </c>
      <c r="B2484" s="2">
        <v>46180</v>
      </c>
      <c r="C2484" t="s">
        <v>30</v>
      </c>
      <c r="D2484" t="s">
        <v>134</v>
      </c>
      <c r="E2484" t="s">
        <v>50</v>
      </c>
      <c r="F2484" t="s">
        <v>51</v>
      </c>
      <c r="G2484" t="s">
        <v>270</v>
      </c>
      <c r="H2484" t="s">
        <v>53</v>
      </c>
      <c r="I2484" t="s">
        <v>368</v>
      </c>
      <c r="J2484" t="s">
        <v>3064</v>
      </c>
      <c r="K2484" t="s">
        <v>56</v>
      </c>
      <c r="L2484" t="s">
        <v>187</v>
      </c>
      <c r="M2484" t="s">
        <v>129</v>
      </c>
      <c r="N2484" t="s">
        <v>82</v>
      </c>
      <c r="O2484" s="4">
        <v>1</v>
      </c>
      <c r="P2484" s="4">
        <v>9</v>
      </c>
      <c r="Q2484" t="s">
        <v>69</v>
      </c>
      <c r="R2484" s="2">
        <v>46178</v>
      </c>
      <c r="S2484" s="4">
        <v>25</v>
      </c>
      <c r="T2484" s="3">
        <v>372000000</v>
      </c>
      <c r="U2484" t="s">
        <v>42</v>
      </c>
      <c r="V2484" t="s">
        <v>59</v>
      </c>
      <c r="W2484" t="s">
        <v>359</v>
      </c>
      <c r="Y2484" t="s">
        <v>85</v>
      </c>
      <c r="Z2484" t="s">
        <v>3178</v>
      </c>
      <c r="AA2484" t="s">
        <v>62</v>
      </c>
      <c r="AB2484" t="s">
        <v>87</v>
      </c>
      <c r="AC2484" t="s">
        <v>62</v>
      </c>
    </row>
    <row r="2485" spans="1:29">
      <c r="A2485" t="s">
        <v>2902</v>
      </c>
      <c r="B2485" s="2">
        <v>46181</v>
      </c>
      <c r="C2485" t="s">
        <v>30</v>
      </c>
      <c r="D2485" t="s">
        <v>99</v>
      </c>
      <c r="E2485" t="s">
        <v>172</v>
      </c>
      <c r="F2485" t="s">
        <v>277</v>
      </c>
      <c r="G2485" t="s">
        <v>338</v>
      </c>
      <c r="H2485" t="s">
        <v>317</v>
      </c>
      <c r="I2485" t="s">
        <v>815</v>
      </c>
      <c r="J2485" t="s">
        <v>3158</v>
      </c>
      <c r="K2485" t="s">
        <v>37</v>
      </c>
      <c r="L2485" t="s">
        <v>55</v>
      </c>
      <c r="M2485" t="s">
        <v>106</v>
      </c>
      <c r="N2485" t="s">
        <v>94</v>
      </c>
      <c r="O2485" s="4">
        <v>4</v>
      </c>
      <c r="P2485" s="4">
        <v>6</v>
      </c>
      <c r="Q2485" t="s">
        <v>58</v>
      </c>
      <c r="R2485" s="2">
        <v>46180</v>
      </c>
      <c r="S2485" s="4">
        <v>23</v>
      </c>
      <c r="T2485" s="3">
        <v>150000000</v>
      </c>
      <c r="U2485" t="s">
        <v>42</v>
      </c>
      <c r="V2485" t="s">
        <v>59</v>
      </c>
      <c r="W2485" t="s">
        <v>267</v>
      </c>
      <c r="Y2485" t="s">
        <v>268</v>
      </c>
      <c r="Z2485" t="s">
        <v>3179</v>
      </c>
      <c r="AA2485" t="s">
        <v>181</v>
      </c>
      <c r="AB2485" t="s">
        <v>97</v>
      </c>
      <c r="AC2485" t="s">
        <v>181</v>
      </c>
    </row>
    <row r="2486" spans="1:29">
      <c r="A2486" t="s">
        <v>2903</v>
      </c>
      <c r="B2486" s="2">
        <v>46182</v>
      </c>
      <c r="C2486" t="s">
        <v>30</v>
      </c>
      <c r="D2486" t="s">
        <v>99</v>
      </c>
      <c r="E2486" t="s">
        <v>75</v>
      </c>
      <c r="F2486" t="s">
        <v>76</v>
      </c>
      <c r="G2486" t="s">
        <v>77</v>
      </c>
      <c r="H2486" t="s">
        <v>78</v>
      </c>
      <c r="I2486" t="s">
        <v>1145</v>
      </c>
      <c r="J2486" t="s">
        <v>3174</v>
      </c>
      <c r="K2486" t="s">
        <v>105</v>
      </c>
      <c r="L2486" t="s">
        <v>80</v>
      </c>
      <c r="M2486" t="s">
        <v>129</v>
      </c>
      <c r="N2486" t="s">
        <v>40</v>
      </c>
      <c r="O2486" s="4">
        <v>2</v>
      </c>
      <c r="P2486" s="4">
        <v>8</v>
      </c>
      <c r="Q2486" t="s">
        <v>142</v>
      </c>
      <c r="R2486" s="2">
        <v>46172</v>
      </c>
      <c r="S2486" s="4">
        <v>31</v>
      </c>
      <c r="T2486" s="3">
        <v>211000000</v>
      </c>
      <c r="U2486" t="s">
        <v>42</v>
      </c>
      <c r="V2486" t="s">
        <v>43</v>
      </c>
      <c r="W2486" t="s">
        <v>239</v>
      </c>
      <c r="Y2486" t="s">
        <v>45</v>
      </c>
      <c r="Z2486" t="s">
        <v>3178</v>
      </c>
      <c r="AA2486" t="s">
        <v>86</v>
      </c>
      <c r="AB2486" t="s">
        <v>87</v>
      </c>
      <c r="AC2486" t="s">
        <v>86</v>
      </c>
    </row>
    <row r="2487" spans="1:29">
      <c r="A2487" t="s">
        <v>2904</v>
      </c>
      <c r="B2487" s="2">
        <v>46182</v>
      </c>
      <c r="C2487" t="s">
        <v>30</v>
      </c>
      <c r="D2487" t="s">
        <v>99</v>
      </c>
      <c r="E2487" t="s">
        <v>172</v>
      </c>
      <c r="F2487" t="s">
        <v>173</v>
      </c>
      <c r="G2487" t="s">
        <v>476</v>
      </c>
      <c r="H2487" t="s">
        <v>175</v>
      </c>
      <c r="I2487" t="s">
        <v>602</v>
      </c>
      <c r="J2487" t="s">
        <v>3129</v>
      </c>
      <c r="K2487" t="s">
        <v>105</v>
      </c>
      <c r="L2487" t="s">
        <v>80</v>
      </c>
      <c r="M2487" t="s">
        <v>81</v>
      </c>
      <c r="N2487" t="s">
        <v>94</v>
      </c>
      <c r="O2487" s="4">
        <v>4</v>
      </c>
      <c r="P2487" s="4">
        <v>10</v>
      </c>
      <c r="Q2487" t="s">
        <v>69</v>
      </c>
      <c r="R2487" s="2">
        <v>46180</v>
      </c>
      <c r="S2487" s="4">
        <v>23</v>
      </c>
      <c r="T2487" s="3">
        <v>331000000</v>
      </c>
      <c r="U2487" t="s">
        <v>42</v>
      </c>
      <c r="V2487" t="s">
        <v>143</v>
      </c>
      <c r="W2487" t="s">
        <v>188</v>
      </c>
      <c r="Y2487" t="s">
        <v>228</v>
      </c>
      <c r="Z2487" t="s">
        <v>3179</v>
      </c>
      <c r="AA2487" t="s">
        <v>181</v>
      </c>
      <c r="AB2487" t="s">
        <v>97</v>
      </c>
      <c r="AC2487" t="s">
        <v>181</v>
      </c>
    </row>
    <row r="2488" spans="1:29">
      <c r="A2488" t="s">
        <v>2905</v>
      </c>
      <c r="B2488" s="2">
        <v>46198</v>
      </c>
      <c r="C2488" t="s">
        <v>30</v>
      </c>
      <c r="D2488" t="s">
        <v>49</v>
      </c>
      <c r="E2488" t="s">
        <v>50</v>
      </c>
      <c r="F2488" t="s">
        <v>351</v>
      </c>
      <c r="G2488" t="s">
        <v>52</v>
      </c>
      <c r="H2488" t="s">
        <v>66</v>
      </c>
      <c r="I2488" t="s">
        <v>902</v>
      </c>
      <c r="J2488" t="s">
        <v>3165</v>
      </c>
      <c r="K2488" t="s">
        <v>105</v>
      </c>
      <c r="L2488" t="s">
        <v>55</v>
      </c>
      <c r="M2488" t="s">
        <v>56</v>
      </c>
      <c r="N2488" t="s">
        <v>196</v>
      </c>
      <c r="O2488" s="4">
        <v>7</v>
      </c>
      <c r="P2488" s="4">
        <v>12</v>
      </c>
      <c r="Q2488" t="s">
        <v>58</v>
      </c>
      <c r="R2488" s="2">
        <v>46197</v>
      </c>
      <c r="S2488" s="4">
        <v>6</v>
      </c>
      <c r="T2488" s="3">
        <v>64000000</v>
      </c>
      <c r="U2488" t="s">
        <v>564</v>
      </c>
      <c r="V2488" t="s">
        <v>70</v>
      </c>
      <c r="W2488" t="s">
        <v>197</v>
      </c>
      <c r="Y2488" t="s">
        <v>244</v>
      </c>
      <c r="Z2488" t="s">
        <v>3181</v>
      </c>
      <c r="AA2488" t="s">
        <v>62</v>
      </c>
      <c r="AB2488" t="s">
        <v>199</v>
      </c>
      <c r="AC2488" t="s">
        <v>62</v>
      </c>
    </row>
    <row r="2489" spans="1:29">
      <c r="A2489" t="s">
        <v>2906</v>
      </c>
      <c r="B2489" s="2">
        <v>46193</v>
      </c>
      <c r="C2489" t="s">
        <v>30</v>
      </c>
      <c r="D2489" t="s">
        <v>74</v>
      </c>
      <c r="E2489" t="s">
        <v>120</v>
      </c>
      <c r="F2489" t="s">
        <v>167</v>
      </c>
      <c r="G2489" t="s">
        <v>224</v>
      </c>
      <c r="H2489" t="s">
        <v>300</v>
      </c>
      <c r="I2489" t="s">
        <v>301</v>
      </c>
      <c r="J2489" t="s">
        <v>3045</v>
      </c>
      <c r="K2489" t="s">
        <v>92</v>
      </c>
      <c r="L2489" t="s">
        <v>68</v>
      </c>
      <c r="M2489" t="s">
        <v>106</v>
      </c>
      <c r="N2489" t="s">
        <v>82</v>
      </c>
      <c r="O2489" s="4">
        <v>1</v>
      </c>
      <c r="P2489" s="4">
        <v>8</v>
      </c>
      <c r="Q2489" t="s">
        <v>138</v>
      </c>
      <c r="R2489" s="2">
        <v>46190</v>
      </c>
      <c r="S2489" s="4">
        <v>13</v>
      </c>
      <c r="T2489" s="3">
        <v>146000000</v>
      </c>
      <c r="U2489" t="s">
        <v>42</v>
      </c>
      <c r="V2489" t="s">
        <v>43</v>
      </c>
      <c r="W2489" t="s">
        <v>290</v>
      </c>
      <c r="Y2489" t="s">
        <v>330</v>
      </c>
      <c r="Z2489" t="s">
        <v>3178</v>
      </c>
      <c r="AA2489" t="s">
        <v>97</v>
      </c>
      <c r="AB2489" t="s">
        <v>87</v>
      </c>
      <c r="AC2489" t="s">
        <v>97</v>
      </c>
    </row>
    <row r="2490" spans="1:29">
      <c r="A2490" t="s">
        <v>2907</v>
      </c>
      <c r="B2490" s="2">
        <v>46174</v>
      </c>
      <c r="C2490" t="s">
        <v>30</v>
      </c>
      <c r="D2490" t="s">
        <v>134</v>
      </c>
      <c r="E2490" t="s">
        <v>100</v>
      </c>
      <c r="F2490" t="s">
        <v>146</v>
      </c>
      <c r="G2490" t="s">
        <v>237</v>
      </c>
      <c r="H2490" t="s">
        <v>148</v>
      </c>
      <c r="I2490" t="s">
        <v>851</v>
      </c>
      <c r="J2490" t="s">
        <v>3163</v>
      </c>
      <c r="K2490" t="s">
        <v>105</v>
      </c>
      <c r="L2490" t="s">
        <v>150</v>
      </c>
      <c r="M2490" t="s">
        <v>129</v>
      </c>
      <c r="N2490" t="s">
        <v>196</v>
      </c>
      <c r="O2490" s="4">
        <v>7</v>
      </c>
      <c r="P2490" s="4">
        <v>16</v>
      </c>
      <c r="Q2490" t="s">
        <v>107</v>
      </c>
      <c r="R2490" s="2">
        <v>46167</v>
      </c>
      <c r="S2490" s="4">
        <v>36</v>
      </c>
      <c r="T2490" s="3">
        <v>256000000</v>
      </c>
      <c r="U2490" t="s">
        <v>196</v>
      </c>
      <c r="V2490" t="s">
        <v>70</v>
      </c>
      <c r="W2490" t="s">
        <v>243</v>
      </c>
      <c r="Y2490" t="s">
        <v>210</v>
      </c>
      <c r="Z2490" t="s">
        <v>3181</v>
      </c>
      <c r="AA2490" t="s">
        <v>109</v>
      </c>
      <c r="AB2490" t="s">
        <v>199</v>
      </c>
      <c r="AC2490" t="s">
        <v>109</v>
      </c>
    </row>
    <row r="2491" spans="1:29">
      <c r="A2491" t="s">
        <v>2908</v>
      </c>
      <c r="B2491" s="2">
        <v>46186</v>
      </c>
      <c r="C2491" t="s">
        <v>30</v>
      </c>
      <c r="D2491" t="s">
        <v>99</v>
      </c>
      <c r="E2491" t="s">
        <v>120</v>
      </c>
      <c r="F2491" t="s">
        <v>167</v>
      </c>
      <c r="G2491" t="s">
        <v>420</v>
      </c>
      <c r="H2491" t="s">
        <v>136</v>
      </c>
      <c r="I2491" t="s">
        <v>137</v>
      </c>
      <c r="J2491" t="s">
        <v>3017</v>
      </c>
      <c r="K2491" t="s">
        <v>56</v>
      </c>
      <c r="L2491" t="s">
        <v>55</v>
      </c>
      <c r="M2491" t="s">
        <v>164</v>
      </c>
      <c r="N2491" t="s">
        <v>94</v>
      </c>
      <c r="O2491" s="4">
        <v>4</v>
      </c>
      <c r="P2491" s="4">
        <v>11</v>
      </c>
      <c r="Q2491" t="s">
        <v>142</v>
      </c>
      <c r="R2491" s="2">
        <v>46176</v>
      </c>
      <c r="S2491" s="4">
        <v>27</v>
      </c>
      <c r="T2491" s="3">
        <v>357000000</v>
      </c>
      <c r="U2491" t="s">
        <v>426</v>
      </c>
      <c r="V2491" t="s">
        <v>59</v>
      </c>
      <c r="W2491" t="s">
        <v>267</v>
      </c>
      <c r="X2491" t="s">
        <v>308</v>
      </c>
      <c r="Y2491" t="s">
        <v>268</v>
      </c>
      <c r="Z2491" t="s">
        <v>3179</v>
      </c>
      <c r="AA2491" t="s">
        <v>97</v>
      </c>
      <c r="AB2491" t="s">
        <v>97</v>
      </c>
      <c r="AC2491" t="s">
        <v>97</v>
      </c>
    </row>
    <row r="2492" spans="1:29">
      <c r="A2492" t="s">
        <v>2909</v>
      </c>
      <c r="B2492" s="2">
        <v>46180</v>
      </c>
      <c r="C2492" t="s">
        <v>30</v>
      </c>
      <c r="D2492" t="s">
        <v>134</v>
      </c>
      <c r="E2492" t="s">
        <v>100</v>
      </c>
      <c r="F2492" t="s">
        <v>146</v>
      </c>
      <c r="G2492" t="s">
        <v>102</v>
      </c>
      <c r="H2492" t="s">
        <v>103</v>
      </c>
      <c r="I2492" t="s">
        <v>141</v>
      </c>
      <c r="J2492" t="s">
        <v>3018</v>
      </c>
      <c r="K2492" t="s">
        <v>56</v>
      </c>
      <c r="L2492" t="s">
        <v>80</v>
      </c>
      <c r="M2492" t="s">
        <v>39</v>
      </c>
      <c r="N2492" t="s">
        <v>130</v>
      </c>
      <c r="O2492" s="4">
        <v>5</v>
      </c>
      <c r="P2492" s="4">
        <v>9</v>
      </c>
      <c r="Q2492" t="s">
        <v>138</v>
      </c>
      <c r="R2492" s="2">
        <v>46170</v>
      </c>
      <c r="S2492" s="4">
        <v>33</v>
      </c>
      <c r="T2492" s="3">
        <v>315000000</v>
      </c>
      <c r="U2492" t="s">
        <v>42</v>
      </c>
      <c r="V2492" t="s">
        <v>59</v>
      </c>
      <c r="W2492" t="s">
        <v>144</v>
      </c>
      <c r="Y2492" t="s">
        <v>254</v>
      </c>
      <c r="Z2492" t="s">
        <v>3179</v>
      </c>
      <c r="AA2492" t="s">
        <v>109</v>
      </c>
      <c r="AB2492" t="s">
        <v>97</v>
      </c>
      <c r="AC2492" t="s">
        <v>109</v>
      </c>
    </row>
    <row r="2493" spans="1:29">
      <c r="A2493" t="s">
        <v>2910</v>
      </c>
      <c r="B2493" s="2">
        <v>46193</v>
      </c>
      <c r="C2493" t="s">
        <v>30</v>
      </c>
      <c r="D2493" t="s">
        <v>74</v>
      </c>
      <c r="E2493" t="s">
        <v>172</v>
      </c>
      <c r="F2493" t="s">
        <v>195</v>
      </c>
      <c r="G2493" t="s">
        <v>476</v>
      </c>
      <c r="H2493" t="s">
        <v>241</v>
      </c>
      <c r="I2493" t="s">
        <v>457</v>
      </c>
      <c r="J2493" t="s">
        <v>3092</v>
      </c>
      <c r="K2493" t="s">
        <v>105</v>
      </c>
      <c r="L2493" t="s">
        <v>68</v>
      </c>
      <c r="M2493" t="s">
        <v>106</v>
      </c>
      <c r="N2493" t="s">
        <v>82</v>
      </c>
      <c r="O2493" s="4">
        <v>1</v>
      </c>
      <c r="P2493" s="4">
        <v>3</v>
      </c>
      <c r="Q2493" t="s">
        <v>107</v>
      </c>
      <c r="R2493" s="2">
        <v>46190</v>
      </c>
      <c r="S2493" s="4">
        <v>13</v>
      </c>
      <c r="T2493" s="3">
        <v>132000000</v>
      </c>
      <c r="U2493" t="s">
        <v>42</v>
      </c>
      <c r="V2493" t="s">
        <v>43</v>
      </c>
      <c r="W2493" t="s">
        <v>359</v>
      </c>
      <c r="Y2493" t="s">
        <v>85</v>
      </c>
      <c r="Z2493" t="s">
        <v>3176</v>
      </c>
      <c r="AA2493" t="s">
        <v>181</v>
      </c>
      <c r="AB2493" t="s">
        <v>47</v>
      </c>
      <c r="AC2493" t="s">
        <v>181</v>
      </c>
    </row>
    <row r="2494" spans="1:29">
      <c r="A2494" t="s">
        <v>2911</v>
      </c>
      <c r="B2494" s="2">
        <v>46179</v>
      </c>
      <c r="C2494" t="s">
        <v>30</v>
      </c>
      <c r="D2494" t="s">
        <v>134</v>
      </c>
      <c r="E2494" t="s">
        <v>152</v>
      </c>
      <c r="F2494" t="s">
        <v>221</v>
      </c>
      <c r="G2494" t="s">
        <v>154</v>
      </c>
      <c r="H2494" t="s">
        <v>207</v>
      </c>
      <c r="I2494" t="s">
        <v>208</v>
      </c>
      <c r="J2494" t="s">
        <v>3027</v>
      </c>
      <c r="K2494" t="s">
        <v>37</v>
      </c>
      <c r="L2494" t="s">
        <v>187</v>
      </c>
      <c r="M2494" t="s">
        <v>93</v>
      </c>
      <c r="N2494" t="s">
        <v>94</v>
      </c>
      <c r="O2494" s="4">
        <v>4</v>
      </c>
      <c r="P2494" s="4">
        <v>13</v>
      </c>
      <c r="Q2494" t="s">
        <v>83</v>
      </c>
      <c r="R2494" s="2">
        <v>46173</v>
      </c>
      <c r="S2494" s="4">
        <v>30</v>
      </c>
      <c r="T2494" s="3">
        <v>82000000</v>
      </c>
      <c r="U2494" t="s">
        <v>42</v>
      </c>
      <c r="V2494" t="s">
        <v>59</v>
      </c>
      <c r="W2494" t="s">
        <v>188</v>
      </c>
      <c r="Y2494" t="s">
        <v>108</v>
      </c>
      <c r="Z2494" t="s">
        <v>3179</v>
      </c>
      <c r="AA2494" t="s">
        <v>159</v>
      </c>
      <c r="AB2494" t="s">
        <v>97</v>
      </c>
      <c r="AC2494" t="s">
        <v>159</v>
      </c>
    </row>
    <row r="2495" spans="1:29">
      <c r="A2495" t="s">
        <v>2912</v>
      </c>
      <c r="B2495" s="2">
        <v>46184</v>
      </c>
      <c r="C2495" t="s">
        <v>30</v>
      </c>
      <c r="D2495" t="s">
        <v>99</v>
      </c>
      <c r="E2495" t="s">
        <v>50</v>
      </c>
      <c r="F2495" t="s">
        <v>51</v>
      </c>
      <c r="G2495" t="s">
        <v>65</v>
      </c>
      <c r="H2495" t="s">
        <v>53</v>
      </c>
      <c r="I2495" t="s">
        <v>271</v>
      </c>
      <c r="J2495" t="s">
        <v>3038</v>
      </c>
      <c r="K2495" t="s">
        <v>37</v>
      </c>
      <c r="L2495" t="s">
        <v>187</v>
      </c>
      <c r="M2495" t="s">
        <v>164</v>
      </c>
      <c r="N2495" t="s">
        <v>40</v>
      </c>
      <c r="O2495" s="4">
        <v>2</v>
      </c>
      <c r="P2495" s="4">
        <v>5</v>
      </c>
      <c r="Q2495" t="s">
        <v>58</v>
      </c>
      <c r="R2495" s="2">
        <v>46181</v>
      </c>
      <c r="S2495" s="4">
        <v>22</v>
      </c>
      <c r="T2495" s="3">
        <v>155000000</v>
      </c>
      <c r="U2495" t="s">
        <v>42</v>
      </c>
      <c r="V2495" t="s">
        <v>43</v>
      </c>
      <c r="W2495" t="s">
        <v>298</v>
      </c>
      <c r="Y2495" t="s">
        <v>180</v>
      </c>
      <c r="Z2495" t="s">
        <v>3178</v>
      </c>
      <c r="AA2495" t="s">
        <v>62</v>
      </c>
      <c r="AB2495" t="s">
        <v>87</v>
      </c>
      <c r="AC2495" t="s">
        <v>62</v>
      </c>
    </row>
    <row r="2496" spans="1:29">
      <c r="A2496" t="s">
        <v>2913</v>
      </c>
      <c r="B2496" s="2">
        <v>46177</v>
      </c>
      <c r="C2496" t="s">
        <v>30</v>
      </c>
      <c r="D2496" t="s">
        <v>134</v>
      </c>
      <c r="E2496" t="s">
        <v>32</v>
      </c>
      <c r="F2496" t="s">
        <v>33</v>
      </c>
      <c r="G2496" t="s">
        <v>257</v>
      </c>
      <c r="H2496" t="s">
        <v>303</v>
      </c>
      <c r="I2496" t="s">
        <v>487</v>
      </c>
      <c r="J2496" t="s">
        <v>3102</v>
      </c>
      <c r="K2496" t="s">
        <v>37</v>
      </c>
      <c r="L2496" t="s">
        <v>187</v>
      </c>
      <c r="M2496" t="s">
        <v>39</v>
      </c>
      <c r="N2496" t="s">
        <v>82</v>
      </c>
      <c r="O2496" s="4">
        <v>1</v>
      </c>
      <c r="P2496" s="4">
        <v>5</v>
      </c>
      <c r="Q2496" t="s">
        <v>69</v>
      </c>
      <c r="R2496" s="2">
        <v>46176</v>
      </c>
      <c r="S2496" s="4">
        <v>27</v>
      </c>
      <c r="T2496" s="3">
        <v>149000000</v>
      </c>
      <c r="U2496" t="s">
        <v>260</v>
      </c>
      <c r="V2496" t="s">
        <v>43</v>
      </c>
      <c r="W2496" t="s">
        <v>290</v>
      </c>
      <c r="X2496" t="s">
        <v>381</v>
      </c>
      <c r="Y2496" t="s">
        <v>291</v>
      </c>
      <c r="Z2496" t="s">
        <v>3178</v>
      </c>
      <c r="AA2496" t="s">
        <v>46</v>
      </c>
      <c r="AB2496" t="s">
        <v>87</v>
      </c>
      <c r="AC2496" t="s">
        <v>46</v>
      </c>
    </row>
    <row r="2497" spans="1:29">
      <c r="A2497" t="s">
        <v>2914</v>
      </c>
      <c r="B2497" s="2">
        <v>46180</v>
      </c>
      <c r="C2497" t="s">
        <v>30</v>
      </c>
      <c r="D2497" t="s">
        <v>134</v>
      </c>
      <c r="E2497" t="s">
        <v>172</v>
      </c>
      <c r="F2497" t="s">
        <v>173</v>
      </c>
      <c r="G2497" t="s">
        <v>278</v>
      </c>
      <c r="H2497" t="s">
        <v>175</v>
      </c>
      <c r="I2497" t="s">
        <v>602</v>
      </c>
      <c r="J2497" t="s">
        <v>3129</v>
      </c>
      <c r="K2497" t="s">
        <v>105</v>
      </c>
      <c r="L2497" t="s">
        <v>80</v>
      </c>
      <c r="M2497" t="s">
        <v>81</v>
      </c>
      <c r="N2497" t="s">
        <v>57</v>
      </c>
      <c r="O2497" s="4">
        <v>3</v>
      </c>
      <c r="P2497" s="4">
        <v>3</v>
      </c>
      <c r="Q2497" t="s">
        <v>41</v>
      </c>
      <c r="R2497" s="2">
        <v>46174</v>
      </c>
      <c r="S2497" s="4">
        <v>29</v>
      </c>
      <c r="T2497" s="3">
        <v>136000000</v>
      </c>
      <c r="U2497" t="s">
        <v>260</v>
      </c>
      <c r="V2497" t="s">
        <v>59</v>
      </c>
      <c r="W2497" t="s">
        <v>60</v>
      </c>
      <c r="X2497" t="s">
        <v>422</v>
      </c>
      <c r="Y2497" t="s">
        <v>72</v>
      </c>
      <c r="Z2497" t="s">
        <v>3177</v>
      </c>
      <c r="AA2497" t="s">
        <v>181</v>
      </c>
      <c r="AB2497" t="s">
        <v>63</v>
      </c>
      <c r="AC2497" t="s">
        <v>181</v>
      </c>
    </row>
    <row r="2498" spans="1:29">
      <c r="A2498" t="s">
        <v>2915</v>
      </c>
      <c r="B2498" s="2">
        <v>46180</v>
      </c>
      <c r="C2498" t="s">
        <v>30</v>
      </c>
      <c r="D2498" t="s">
        <v>134</v>
      </c>
      <c r="E2498" t="s">
        <v>75</v>
      </c>
      <c r="F2498" t="s">
        <v>161</v>
      </c>
      <c r="G2498" t="s">
        <v>230</v>
      </c>
      <c r="H2498" t="s">
        <v>185</v>
      </c>
      <c r="I2498" t="s">
        <v>673</v>
      </c>
      <c r="J2498" t="s">
        <v>3146</v>
      </c>
      <c r="K2498" t="s">
        <v>56</v>
      </c>
      <c r="L2498" t="s">
        <v>150</v>
      </c>
      <c r="M2498" t="s">
        <v>56</v>
      </c>
      <c r="N2498" t="s">
        <v>57</v>
      </c>
      <c r="O2498" s="4">
        <v>3</v>
      </c>
      <c r="P2498" s="4">
        <v>9</v>
      </c>
      <c r="Q2498" t="s">
        <v>41</v>
      </c>
      <c r="R2498" s="2">
        <v>46180</v>
      </c>
      <c r="S2498" s="4">
        <v>23</v>
      </c>
      <c r="T2498" s="3">
        <v>203000000</v>
      </c>
      <c r="U2498" t="s">
        <v>42</v>
      </c>
      <c r="V2498" t="s">
        <v>59</v>
      </c>
      <c r="W2498" t="s">
        <v>157</v>
      </c>
      <c r="Y2498" t="s">
        <v>61</v>
      </c>
      <c r="Z2498" t="s">
        <v>3177</v>
      </c>
      <c r="AA2498" t="s">
        <v>86</v>
      </c>
      <c r="AB2498" t="s">
        <v>63</v>
      </c>
      <c r="AC2498" t="s">
        <v>86</v>
      </c>
    </row>
    <row r="2499" spans="1:29">
      <c r="A2499" t="s">
        <v>2916</v>
      </c>
      <c r="B2499" s="2">
        <v>46202</v>
      </c>
      <c r="C2499" t="s">
        <v>30</v>
      </c>
      <c r="D2499" t="s">
        <v>31</v>
      </c>
      <c r="E2499" t="s">
        <v>152</v>
      </c>
      <c r="F2499" t="s">
        <v>205</v>
      </c>
      <c r="G2499" t="s">
        <v>206</v>
      </c>
      <c r="H2499" t="s">
        <v>283</v>
      </c>
      <c r="I2499" t="s">
        <v>474</v>
      </c>
      <c r="J2499" t="s">
        <v>3098</v>
      </c>
      <c r="K2499" t="s">
        <v>116</v>
      </c>
      <c r="L2499" t="s">
        <v>150</v>
      </c>
      <c r="M2499" t="s">
        <v>106</v>
      </c>
      <c r="N2499" t="s">
        <v>82</v>
      </c>
      <c r="O2499" s="4">
        <v>1</v>
      </c>
      <c r="P2499" s="4">
        <v>11</v>
      </c>
      <c r="Q2499" t="s">
        <v>142</v>
      </c>
      <c r="R2499" s="2">
        <v>46192</v>
      </c>
      <c r="S2499" s="4">
        <v>11</v>
      </c>
      <c r="T2499" s="3">
        <v>109000000</v>
      </c>
      <c r="U2499" t="s">
        <v>42</v>
      </c>
      <c r="V2499" t="s">
        <v>43</v>
      </c>
      <c r="W2499" t="s">
        <v>84</v>
      </c>
      <c r="Y2499" t="s">
        <v>305</v>
      </c>
      <c r="Z2499" t="s">
        <v>3178</v>
      </c>
      <c r="AA2499" t="s">
        <v>159</v>
      </c>
      <c r="AB2499" t="s">
        <v>87</v>
      </c>
      <c r="AC2499" t="s">
        <v>159</v>
      </c>
    </row>
    <row r="2500" spans="1:29">
      <c r="A2500" t="s">
        <v>2917</v>
      </c>
      <c r="B2500" s="2">
        <v>46179</v>
      </c>
      <c r="C2500" t="s">
        <v>30</v>
      </c>
      <c r="D2500" t="s">
        <v>134</v>
      </c>
      <c r="E2500" t="s">
        <v>120</v>
      </c>
      <c r="F2500" t="s">
        <v>121</v>
      </c>
      <c r="G2500" t="s">
        <v>122</v>
      </c>
      <c r="H2500" t="s">
        <v>123</v>
      </c>
      <c r="I2500" t="s">
        <v>225</v>
      </c>
      <c r="J2500" t="s">
        <v>3030</v>
      </c>
      <c r="K2500" t="s">
        <v>92</v>
      </c>
      <c r="L2500" t="s">
        <v>55</v>
      </c>
      <c r="M2500" t="s">
        <v>129</v>
      </c>
      <c r="N2500" t="s">
        <v>130</v>
      </c>
      <c r="O2500" s="4">
        <v>5</v>
      </c>
      <c r="P2500" s="4">
        <v>14</v>
      </c>
      <c r="Q2500" t="s">
        <v>69</v>
      </c>
      <c r="R2500" s="2">
        <v>46175</v>
      </c>
      <c r="S2500" s="4">
        <v>28</v>
      </c>
      <c r="T2500" s="3">
        <v>198000000</v>
      </c>
      <c r="U2500" t="s">
        <v>42</v>
      </c>
      <c r="V2500" t="s">
        <v>70</v>
      </c>
      <c r="W2500" t="s">
        <v>355</v>
      </c>
      <c r="Y2500" t="s">
        <v>254</v>
      </c>
      <c r="Z2500" t="s">
        <v>3179</v>
      </c>
      <c r="AA2500" t="s">
        <v>97</v>
      </c>
      <c r="AB2500" t="s">
        <v>97</v>
      </c>
      <c r="AC2500" t="s">
        <v>97</v>
      </c>
    </row>
    <row r="2501" spans="1:29">
      <c r="A2501" t="s">
        <v>2918</v>
      </c>
      <c r="B2501" s="2">
        <v>46194</v>
      </c>
      <c r="C2501" t="s">
        <v>30</v>
      </c>
      <c r="D2501" t="s">
        <v>74</v>
      </c>
      <c r="E2501" t="s">
        <v>75</v>
      </c>
      <c r="F2501" t="s">
        <v>161</v>
      </c>
      <c r="G2501" t="s">
        <v>77</v>
      </c>
      <c r="H2501" t="s">
        <v>388</v>
      </c>
      <c r="I2501" t="s">
        <v>389</v>
      </c>
      <c r="J2501" t="s">
        <v>3071</v>
      </c>
      <c r="K2501" t="s">
        <v>37</v>
      </c>
      <c r="L2501" t="s">
        <v>55</v>
      </c>
      <c r="M2501" t="s">
        <v>81</v>
      </c>
      <c r="N2501" t="s">
        <v>40</v>
      </c>
      <c r="O2501" s="4">
        <v>2</v>
      </c>
      <c r="P2501" s="4">
        <v>11</v>
      </c>
      <c r="Q2501" t="s">
        <v>41</v>
      </c>
      <c r="R2501" s="2">
        <v>46191</v>
      </c>
      <c r="S2501" s="4">
        <v>12</v>
      </c>
      <c r="T2501" s="3">
        <v>222000000</v>
      </c>
      <c r="U2501" t="s">
        <v>42</v>
      </c>
      <c r="V2501" t="s">
        <v>43</v>
      </c>
      <c r="W2501" t="s">
        <v>44</v>
      </c>
      <c r="Y2501" t="s">
        <v>309</v>
      </c>
      <c r="Z2501" t="s">
        <v>3178</v>
      </c>
      <c r="AA2501" t="s">
        <v>86</v>
      </c>
      <c r="AB2501" t="s">
        <v>87</v>
      </c>
      <c r="AC2501" t="s">
        <v>86</v>
      </c>
    </row>
  </sheetData>
  <conditionalFormatting sqref="O2:O25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P2:P2501">
    <cfRule type="dataBar" priority="2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{D7053219-54F1-0753-FA10-FC5BC69FCE66}</x14:id>
        </ext>
      </extLst>
    </cfRule>
  </conditionalFormatting>
  <conditionalFormatting sqref="T2:T2501">
    <cfRule type="dataBar" priority="3">
      <dataBar>
        <cfvo type="min"/>
        <cfvo type="max"/>
        <color rgb="FF2563EB"/>
      </dataBar>
    </cfRule>
    <cfRule type="dataBar" priority="5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{EB181EE7-173C-EE70-D5A6-27D542618413}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053219-54F1-0753-FA10-FC5BC69FCE66}">
            <x14:dataBar>
              <x14:cfvo type="min"/>
              <x14:cfvo type="max"/>
              <x14:negativeFillColor auto="1"/>
              <x14:axisColor auto="1"/>
            </x14:dataBar>
          </x14:cfRule>
          <xm:sqref>P2:P2501</xm:sqref>
        </x14:conditionalFormatting>
        <x14:conditionalFormatting xmlns:xm="http://schemas.microsoft.com/office/excel/2006/main">
          <x14:cfRule type="dataBar" id="{EB181EE7-173C-EE70-D5A6-27D542618413}">
            <x14:dataBar>
              <x14:cfvo type="min"/>
              <x14:cfvo type="max"/>
              <x14:negativeFillColor auto="1"/>
              <x14:axisColor auto="1"/>
            </x14:dataBar>
          </x14:cfRule>
          <xm:sqref>T2:T2501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C6" sqref="C6"/>
    </sheetView>
  </sheetViews>
  <sheetFormatPr defaultRowHeight="14.25"/>
  <cols>
    <col min="1" max="4" width="20" customWidth="1"/>
  </cols>
  <sheetData>
    <row r="1" spans="1:6" ht="24" customHeight="1">
      <c r="A1" s="7" t="s">
        <v>3007</v>
      </c>
      <c r="B1" s="8" t="s">
        <v>2919</v>
      </c>
      <c r="C1" s="8" t="s">
        <v>2919</v>
      </c>
      <c r="D1" s="8" t="s">
        <v>2919</v>
      </c>
      <c r="E1" s="8" t="s">
        <v>2919</v>
      </c>
      <c r="F1" s="8" t="s">
        <v>2919</v>
      </c>
    </row>
    <row r="3" spans="1:6" ht="15">
      <c r="A3" s="5" t="s">
        <v>2920</v>
      </c>
      <c r="B3" s="3">
        <f>COUNTA(Pipeline_Activity_Data!$A:$A)-1</f>
        <v>2500</v>
      </c>
    </row>
    <row r="4" spans="1:6" ht="15">
      <c r="A4" s="5" t="s">
        <v>2921</v>
      </c>
      <c r="B4" s="3">
        <f>SUM(Pipeline_Activity_Data!$P:$P)</f>
        <v>23798</v>
      </c>
    </row>
    <row r="5" spans="1:6" ht="15">
      <c r="A5" s="5" t="s">
        <v>2922</v>
      </c>
      <c r="B5" s="3">
        <f>SUM(Pipeline_Activity_Data!$T:$T)</f>
        <v>491331000000</v>
      </c>
    </row>
    <row r="6" spans="1:6" ht="15">
      <c r="A6" s="5" t="s">
        <v>2923</v>
      </c>
      <c r="B6" s="3">
        <f>COUNTIF(Pipeline_Activity_Data!$U:$U,"Cair")+COUNTIF(Pipeline_Activity_Data!$U:$U,"Sudah Cair")+COUNTIF(Pipeline_Activity_Data!$U:$U,"Terealisasi")</f>
        <v>215</v>
      </c>
    </row>
    <row r="7" spans="1:6" ht="15">
      <c r="A7" s="5" t="s">
        <v>2924</v>
      </c>
      <c r="B7" s="3">
        <f>COUNTIF(Pipeline_Activity_Data!$N:$N,"Tidak Bertemu")+COUNTIF(Pipeline_Activity_Data!$N:$N,"Dingin")</f>
        <v>700</v>
      </c>
    </row>
    <row r="8" spans="1:6" ht="15">
      <c r="A8" s="5" t="s">
        <v>2925</v>
      </c>
      <c r="B8" s="3">
        <f>COUNTIF(Pipeline_Activity_Data!$N:$N,"Panas")+COUNTIF(Pipeline_Activity_Data!$N:$N,"Pemberkasan")+COUNTIF(Pipeline_Activity_Data!$N:$N,"Perjanjian")</f>
        <v>1068</v>
      </c>
    </row>
    <row r="9" spans="1:6" ht="15">
      <c r="A9" s="5" t="s">
        <v>2</v>
      </c>
      <c r="B9" s="3" t="s">
        <v>30</v>
      </c>
    </row>
    <row r="10" spans="1:6" ht="15">
      <c r="A10" s="5" t="s">
        <v>2926</v>
      </c>
      <c r="B10" s="3">
        <f ca="1">COUNTA(_xludf.UNIQUE(Pipeline_Activity_Data!$E$2:$E$2501))</f>
        <v>1</v>
      </c>
    </row>
    <row r="13" spans="1:6" ht="15">
      <c r="A13" s="1" t="s">
        <v>2927</v>
      </c>
      <c r="B13" s="1" t="s">
        <v>2928</v>
      </c>
      <c r="C13" s="1" t="s">
        <v>2921</v>
      </c>
      <c r="D13" s="1" t="s">
        <v>2922</v>
      </c>
    </row>
    <row r="14" spans="1:6">
      <c r="A14" t="s">
        <v>82</v>
      </c>
      <c r="B14" s="3">
        <f>COUNTIF(Pipeline_Activity_Data!$N:$N,A14)</f>
        <v>311</v>
      </c>
      <c r="C14" s="3">
        <f>SUMIF(Pipeline_Activity_Data!$N:$N,A14,Pipeline_Activity_Data!$P:$P)</f>
        <v>2289</v>
      </c>
      <c r="D14" s="3">
        <f>SUMIF(Pipeline_Activity_Data!$N:$N,A14,Pipeline_Activity_Data!$T:$T)</f>
        <v>59113000000</v>
      </c>
    </row>
    <row r="15" spans="1:6">
      <c r="A15" t="s">
        <v>40</v>
      </c>
      <c r="B15" s="3">
        <f>COUNTIF(Pipeline_Activity_Data!$N:$N,A15)</f>
        <v>389</v>
      </c>
      <c r="C15" s="3">
        <f>SUMIF(Pipeline_Activity_Data!$N:$N,A15,Pipeline_Activity_Data!$P:$P)</f>
        <v>2995</v>
      </c>
      <c r="D15" s="3">
        <f>SUMIF(Pipeline_Activity_Data!$N:$N,A15,Pipeline_Activity_Data!$T:$T)</f>
        <v>72399000000</v>
      </c>
    </row>
    <row r="16" spans="1:6">
      <c r="A16" t="s">
        <v>57</v>
      </c>
      <c r="B16" s="3">
        <f>COUNTIF(Pipeline_Activity_Data!$N:$N,A16)</f>
        <v>517</v>
      </c>
      <c r="C16" s="3">
        <f>SUMIF(Pipeline_Activity_Data!$N:$N,A16,Pipeline_Activity_Data!$P:$P)</f>
        <v>4229</v>
      </c>
      <c r="D16" s="3">
        <f>SUMIF(Pipeline_Activity_Data!$N:$N,A16,Pipeline_Activity_Data!$T:$T)</f>
        <v>97748000000</v>
      </c>
    </row>
    <row r="17" spans="1:4">
      <c r="A17" t="s">
        <v>94</v>
      </c>
      <c r="B17" s="3">
        <f>COUNTIF(Pipeline_Activity_Data!$N:$N,A17)</f>
        <v>530</v>
      </c>
      <c r="C17" s="3">
        <f>SUMIF(Pipeline_Activity_Data!$N:$N,A17,Pipeline_Activity_Data!$P:$P)</f>
        <v>5179</v>
      </c>
      <c r="D17" s="3">
        <f>SUMIF(Pipeline_Activity_Data!$N:$N,A17,Pipeline_Activity_Data!$T:$T)</f>
        <v>107491000000</v>
      </c>
    </row>
    <row r="18" spans="1:4">
      <c r="A18" t="s">
        <v>130</v>
      </c>
      <c r="B18" s="3">
        <f>COUNTIF(Pipeline_Activity_Data!$N:$N,A18)</f>
        <v>360</v>
      </c>
      <c r="C18" s="3">
        <f>SUMIF(Pipeline_Activity_Data!$N:$N,A18,Pipeline_Activity_Data!$P:$P)</f>
        <v>3960</v>
      </c>
      <c r="D18" s="3">
        <f>SUMIF(Pipeline_Activity_Data!$N:$N,A18,Pipeline_Activity_Data!$T:$T)</f>
        <v>73052000000</v>
      </c>
    </row>
    <row r="19" spans="1:4">
      <c r="A19" t="s">
        <v>213</v>
      </c>
      <c r="B19" s="3">
        <f>COUNTIF(Pipeline_Activity_Data!$N:$N,A19)</f>
        <v>178</v>
      </c>
      <c r="C19" s="3">
        <f>SUMIF(Pipeline_Activity_Data!$N:$N,A19,Pipeline_Activity_Data!$P:$P)</f>
        <v>2157</v>
      </c>
      <c r="D19" s="3">
        <f>SUMIF(Pipeline_Activity_Data!$N:$N,A19,Pipeline_Activity_Data!$T:$T)</f>
        <v>36290000000</v>
      </c>
    </row>
    <row r="20" spans="1:4">
      <c r="A20" t="s">
        <v>196</v>
      </c>
      <c r="B20" s="3">
        <f>COUNTIF(Pipeline_Activity_Data!$N:$N,A20)</f>
        <v>215</v>
      </c>
      <c r="C20" s="3">
        <f>SUMIF(Pipeline_Activity_Data!$N:$N,A20,Pipeline_Activity_Data!$P:$P)</f>
        <v>2989</v>
      </c>
      <c r="D20" s="3">
        <f>SUMIF(Pipeline_Activity_Data!$N:$N,A20,Pipeline_Activity_Data!$T:$T)</f>
        <v>45238000000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selection activeCell="D15" sqref="D15"/>
    </sheetView>
  </sheetViews>
  <sheetFormatPr defaultRowHeight="14.25"/>
  <cols>
    <col min="1" max="1" width="24" customWidth="1"/>
    <col min="2" max="2" width="16" customWidth="1"/>
    <col min="3" max="3" width="20" customWidth="1"/>
    <col min="4" max="4" width="70" customWidth="1"/>
  </cols>
  <sheetData>
    <row r="1" spans="1:4" ht="24" customHeight="1">
      <c r="A1" s="1" t="s">
        <v>2929</v>
      </c>
      <c r="B1" s="1" t="s">
        <v>2930</v>
      </c>
      <c r="C1" s="1" t="s">
        <v>2931</v>
      </c>
      <c r="D1" s="1" t="s">
        <v>25</v>
      </c>
    </row>
    <row r="2" spans="1:4">
      <c r="A2" t="s">
        <v>0</v>
      </c>
      <c r="B2" t="s">
        <v>2932</v>
      </c>
      <c r="C2" t="s">
        <v>2933</v>
      </c>
      <c r="D2" t="s">
        <v>3006</v>
      </c>
    </row>
    <row r="3" spans="1:4">
      <c r="A3" t="s">
        <v>1</v>
      </c>
      <c r="B3" t="s">
        <v>2934</v>
      </c>
      <c r="C3" t="s">
        <v>2935</v>
      </c>
      <c r="D3" t="s">
        <v>2936</v>
      </c>
    </row>
    <row r="4" spans="1:4">
      <c r="A4" t="s">
        <v>2</v>
      </c>
      <c r="B4" t="s">
        <v>2932</v>
      </c>
      <c r="C4" t="s">
        <v>2935</v>
      </c>
      <c r="D4" t="s">
        <v>2937</v>
      </c>
    </row>
    <row r="5" spans="1:4">
      <c r="A5" t="s">
        <v>3</v>
      </c>
      <c r="B5" t="s">
        <v>2932</v>
      </c>
      <c r="C5" t="s">
        <v>2933</v>
      </c>
      <c r="D5" t="s">
        <v>2938</v>
      </c>
    </row>
    <row r="6" spans="1:4">
      <c r="A6" t="s">
        <v>4</v>
      </c>
      <c r="B6" t="s">
        <v>2932</v>
      </c>
      <c r="C6" t="s">
        <v>2939</v>
      </c>
      <c r="D6" t="s">
        <v>2940</v>
      </c>
    </row>
    <row r="7" spans="1:4">
      <c r="A7" t="s">
        <v>5</v>
      </c>
      <c r="B7" t="s">
        <v>2932</v>
      </c>
      <c r="C7" t="s">
        <v>2941</v>
      </c>
      <c r="D7" t="s">
        <v>2942</v>
      </c>
    </row>
    <row r="8" spans="1:4">
      <c r="A8" t="s">
        <v>6</v>
      </c>
      <c r="B8" t="s">
        <v>2932</v>
      </c>
      <c r="C8" t="s">
        <v>2939</v>
      </c>
      <c r="D8" t="s">
        <v>2943</v>
      </c>
    </row>
    <row r="9" spans="1:4">
      <c r="A9" t="s">
        <v>7</v>
      </c>
      <c r="B9" t="s">
        <v>2932</v>
      </c>
      <c r="C9" t="s">
        <v>2939</v>
      </c>
      <c r="D9" t="s">
        <v>2944</v>
      </c>
    </row>
    <row r="10" spans="1:4">
      <c r="A10" t="s">
        <v>8</v>
      </c>
      <c r="B10" t="s">
        <v>2932</v>
      </c>
      <c r="C10" t="s">
        <v>2939</v>
      </c>
      <c r="D10" t="s">
        <v>2945</v>
      </c>
    </row>
    <row r="11" spans="1:4">
      <c r="A11" t="s">
        <v>9</v>
      </c>
      <c r="B11" t="s">
        <v>2932</v>
      </c>
      <c r="C11" t="s">
        <v>2933</v>
      </c>
      <c r="D11" t="s">
        <v>3182</v>
      </c>
    </row>
    <row r="12" spans="1:4">
      <c r="A12" t="s">
        <v>10</v>
      </c>
      <c r="B12" t="s">
        <v>2932</v>
      </c>
      <c r="C12" t="s">
        <v>2941</v>
      </c>
      <c r="D12" t="s">
        <v>2946</v>
      </c>
    </row>
    <row r="13" spans="1:4">
      <c r="A13" t="s">
        <v>11</v>
      </c>
      <c r="B13" t="s">
        <v>2932</v>
      </c>
      <c r="C13" t="s">
        <v>2941</v>
      </c>
      <c r="D13" t="s">
        <v>2947</v>
      </c>
    </row>
    <row r="14" spans="1:4">
      <c r="A14" t="s">
        <v>12</v>
      </c>
      <c r="B14" t="s">
        <v>2932</v>
      </c>
      <c r="C14" t="s">
        <v>2941</v>
      </c>
      <c r="D14" t="s">
        <v>2948</v>
      </c>
    </row>
    <row r="15" spans="1:4">
      <c r="A15" t="s">
        <v>13</v>
      </c>
      <c r="B15" t="s">
        <v>2932</v>
      </c>
      <c r="C15" t="s">
        <v>2939</v>
      </c>
      <c r="D15" t="s">
        <v>2949</v>
      </c>
    </row>
    <row r="16" spans="1:4">
      <c r="A16" t="s">
        <v>14</v>
      </c>
      <c r="B16" t="s">
        <v>2950</v>
      </c>
      <c r="C16" t="s">
        <v>2941</v>
      </c>
      <c r="D16" t="s">
        <v>2951</v>
      </c>
    </row>
    <row r="17" spans="1:4">
      <c r="A17" t="s">
        <v>15</v>
      </c>
      <c r="B17" t="s">
        <v>2950</v>
      </c>
      <c r="C17" t="s">
        <v>2939</v>
      </c>
      <c r="D17" t="s">
        <v>2952</v>
      </c>
    </row>
    <row r="18" spans="1:4">
      <c r="A18" t="s">
        <v>16</v>
      </c>
      <c r="B18" t="s">
        <v>2932</v>
      </c>
      <c r="C18" t="s">
        <v>2941</v>
      </c>
      <c r="D18" t="s">
        <v>2953</v>
      </c>
    </row>
    <row r="19" spans="1:4">
      <c r="A19" t="s">
        <v>17</v>
      </c>
      <c r="B19" t="s">
        <v>2934</v>
      </c>
      <c r="C19" t="s">
        <v>2941</v>
      </c>
      <c r="D19" t="s">
        <v>2954</v>
      </c>
    </row>
    <row r="20" spans="1:4">
      <c r="A20" t="s">
        <v>18</v>
      </c>
      <c r="B20" t="s">
        <v>2950</v>
      </c>
      <c r="C20" t="s">
        <v>2941</v>
      </c>
      <c r="D20" t="s">
        <v>2955</v>
      </c>
    </row>
    <row r="21" spans="1:4">
      <c r="A21" t="s">
        <v>19</v>
      </c>
      <c r="B21" t="s">
        <v>2950</v>
      </c>
      <c r="C21" t="s">
        <v>2941</v>
      </c>
      <c r="D21" t="s">
        <v>2956</v>
      </c>
    </row>
    <row r="22" spans="1:4">
      <c r="A22" t="s">
        <v>20</v>
      </c>
      <c r="B22" t="s">
        <v>2932</v>
      </c>
      <c r="C22" t="s">
        <v>2939</v>
      </c>
      <c r="D22" t="s">
        <v>2957</v>
      </c>
    </row>
    <row r="23" spans="1:4">
      <c r="A23" t="s">
        <v>21</v>
      </c>
      <c r="B23" t="s">
        <v>2932</v>
      </c>
      <c r="C23" t="s">
        <v>2941</v>
      </c>
      <c r="D23" t="s">
        <v>2958</v>
      </c>
    </row>
    <row r="24" spans="1:4">
      <c r="A24" t="s">
        <v>22</v>
      </c>
      <c r="B24" t="s">
        <v>2932</v>
      </c>
      <c r="C24" t="s">
        <v>2959</v>
      </c>
      <c r="D24" t="s">
        <v>2960</v>
      </c>
    </row>
    <row r="25" spans="1:4">
      <c r="A25" t="s">
        <v>23</v>
      </c>
      <c r="B25" t="s">
        <v>2932</v>
      </c>
      <c r="C25" t="s">
        <v>2959</v>
      </c>
      <c r="D25" t="s">
        <v>2961</v>
      </c>
    </row>
    <row r="26" spans="1:4">
      <c r="A26" t="s">
        <v>24</v>
      </c>
      <c r="B26" t="s">
        <v>2932</v>
      </c>
      <c r="C26" t="s">
        <v>2941</v>
      </c>
      <c r="D26" t="s">
        <v>2962</v>
      </c>
    </row>
    <row r="27" spans="1:4">
      <c r="A27" t="s">
        <v>25</v>
      </c>
      <c r="B27" t="s">
        <v>2932</v>
      </c>
      <c r="C27" t="s">
        <v>2941</v>
      </c>
      <c r="D27" t="s">
        <v>3183</v>
      </c>
    </row>
    <row r="28" spans="1:4">
      <c r="A28" t="s">
        <v>26</v>
      </c>
      <c r="B28" t="s">
        <v>2932</v>
      </c>
      <c r="C28" t="s">
        <v>2933</v>
      </c>
      <c r="D28" t="s">
        <v>3184</v>
      </c>
    </row>
    <row r="29" spans="1:4">
      <c r="A29" t="s">
        <v>27</v>
      </c>
      <c r="B29" t="s">
        <v>2932</v>
      </c>
      <c r="C29" t="s">
        <v>2933</v>
      </c>
      <c r="D29" t="s">
        <v>3185</v>
      </c>
    </row>
    <row r="30" spans="1:4">
      <c r="A30" t="s">
        <v>28</v>
      </c>
      <c r="B30" t="s">
        <v>2932</v>
      </c>
      <c r="C30" t="s">
        <v>2933</v>
      </c>
      <c r="D30" t="s">
        <v>2963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workbookViewId="0">
      <selection activeCell="A18" sqref="A18"/>
    </sheetView>
  </sheetViews>
  <sheetFormatPr defaultRowHeight="14.25"/>
  <cols>
    <col min="1" max="1" width="110" customWidth="1"/>
  </cols>
  <sheetData>
    <row r="1" spans="1:1" ht="24" customHeight="1">
      <c r="A1" s="6" t="s">
        <v>3186</v>
      </c>
    </row>
    <row r="2" spans="1:1">
      <c r="A2" t="s">
        <v>2964</v>
      </c>
    </row>
    <row r="3" spans="1:1">
      <c r="A3" t="s">
        <v>2965</v>
      </c>
    </row>
    <row r="4" spans="1:1">
      <c r="A4" t="s">
        <v>2966</v>
      </c>
    </row>
    <row r="5" spans="1:1">
      <c r="A5" t="s">
        <v>2967</v>
      </c>
    </row>
    <row r="6" spans="1:1">
      <c r="A6" t="s">
        <v>2968</v>
      </c>
    </row>
    <row r="7" spans="1:1">
      <c r="A7" t="s">
        <v>2969</v>
      </c>
    </row>
    <row r="8" spans="1:1">
      <c r="A8" t="s">
        <v>2970</v>
      </c>
    </row>
    <row r="9" spans="1:1">
      <c r="A9" t="s">
        <v>2971</v>
      </c>
    </row>
    <row r="10" spans="1:1">
      <c r="A10" t="s">
        <v>2972</v>
      </c>
    </row>
    <row r="11" spans="1:1">
      <c r="A11" t="s">
        <v>2973</v>
      </c>
    </row>
    <row r="12" spans="1:1">
      <c r="A12" t="s">
        <v>2974</v>
      </c>
    </row>
    <row r="13" spans="1:1">
      <c r="A13" t="s">
        <v>2975</v>
      </c>
    </row>
    <row r="14" spans="1:1">
      <c r="A14" t="s">
        <v>2976</v>
      </c>
    </row>
    <row r="15" spans="1:1">
      <c r="A15" t="s">
        <v>2977</v>
      </c>
    </row>
    <row r="16" spans="1:1">
      <c r="A16" t="s">
        <v>2978</v>
      </c>
    </row>
    <row r="17" spans="1:1">
      <c r="A17" t="s">
        <v>2979</v>
      </c>
    </row>
    <row r="18" spans="1:1">
      <c r="A18" t="s">
        <v>2980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tabSelected="1" workbookViewId="0"/>
  </sheetViews>
  <sheetFormatPr defaultRowHeight="14.25"/>
  <cols>
    <col min="1" max="1" width="8" customWidth="1"/>
    <col min="2" max="2" width="44" customWidth="1"/>
    <col min="3" max="3" width="52" customWidth="1"/>
    <col min="4" max="4" width="44" customWidth="1"/>
  </cols>
  <sheetData>
    <row r="1" spans="1:4" ht="24" customHeight="1">
      <c r="A1" s="1" t="s">
        <v>2981</v>
      </c>
      <c r="B1" s="1" t="s">
        <v>2982</v>
      </c>
      <c r="C1" s="1" t="s">
        <v>2983</v>
      </c>
      <c r="D1" s="1" t="s">
        <v>2984</v>
      </c>
    </row>
    <row r="2" spans="1:4">
      <c r="A2">
        <v>1</v>
      </c>
      <c r="B2" t="s">
        <v>2985</v>
      </c>
      <c r="C2" t="s">
        <v>2986</v>
      </c>
      <c r="D2" t="s">
        <v>2987</v>
      </c>
    </row>
    <row r="3" spans="1:4">
      <c r="A3">
        <v>2</v>
      </c>
      <c r="B3" t="s">
        <v>2988</v>
      </c>
      <c r="C3" t="s">
        <v>2989</v>
      </c>
      <c r="D3" t="s">
        <v>2990</v>
      </c>
    </row>
    <row r="4" spans="1:4">
      <c r="A4">
        <v>3</v>
      </c>
      <c r="B4" t="s">
        <v>2991</v>
      </c>
      <c r="C4" t="s">
        <v>2992</v>
      </c>
      <c r="D4" t="s">
        <v>2993</v>
      </c>
    </row>
    <row r="5" spans="1:4">
      <c r="A5">
        <v>4</v>
      </c>
      <c r="B5" t="s">
        <v>2994</v>
      </c>
      <c r="C5" t="s">
        <v>2995</v>
      </c>
      <c r="D5" t="s">
        <v>2996</v>
      </c>
    </row>
    <row r="6" spans="1:4">
      <c r="A6">
        <v>5</v>
      </c>
      <c r="B6" t="s">
        <v>2997</v>
      </c>
      <c r="C6" t="s">
        <v>2998</v>
      </c>
      <c r="D6" t="s">
        <v>2999</v>
      </c>
    </row>
    <row r="7" spans="1:4">
      <c r="A7">
        <v>6</v>
      </c>
      <c r="B7" t="s">
        <v>3000</v>
      </c>
      <c r="C7" t="s">
        <v>3001</v>
      </c>
      <c r="D7" t="s">
        <v>3002</v>
      </c>
    </row>
    <row r="8" spans="1:4">
      <c r="A8">
        <v>7</v>
      </c>
      <c r="B8" t="s">
        <v>3003</v>
      </c>
      <c r="C8" t="s">
        <v>3004</v>
      </c>
      <c r="D8" t="s">
        <v>3005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Pipeline_Activity_Data</vt:lpstr>
      <vt:lpstr>Summary_Check</vt:lpstr>
      <vt:lpstr>Data_Dictionary</vt:lpstr>
      <vt:lpstr>Testing_Guide</vt:lpstr>
      <vt:lpstr>Expected_Patterns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EKA</cp:lastModifiedBy>
  <dcterms:modified xsi:type="dcterms:W3CDTF">2026-06-14T15:28:04Z</dcterms:modified>
</cp:coreProperties>
</file>